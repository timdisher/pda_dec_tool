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5_NEC\"/>
    </mc:Choice>
  </mc:AlternateContent>
  <bookViews>
    <workbookView xWindow="0" yWindow="0" windowWidth="20460" windowHeight="7755" tabRatio="663" firstSheet="7" activeTab="10"/>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36" i="20"/>
  <c r="K36" i="20"/>
  <c r="L40" i="20"/>
  <c r="K40" i="20"/>
  <c r="L28" i="20"/>
  <c r="K28" i="20"/>
  <c r="L14" i="20"/>
  <c r="K14" i="20"/>
  <c r="L44" i="20"/>
  <c r="K44" i="20"/>
  <c r="L24" i="20"/>
  <c r="K24" i="20"/>
  <c r="L43" i="20"/>
  <c r="K43" i="20"/>
  <c r="L29" i="20"/>
  <c r="K29" i="20"/>
  <c r="L49" i="20"/>
  <c r="K49" i="20"/>
  <c r="L46" i="20"/>
  <c r="K46" i="20"/>
  <c r="L39" i="20"/>
  <c r="K39" i="20"/>
  <c r="L22" i="20"/>
  <c r="K22" i="20"/>
  <c r="L47" i="20"/>
  <c r="K47" i="20"/>
  <c r="L27" i="20"/>
  <c r="K27" i="20"/>
  <c r="L37" i="20"/>
  <c r="K37" i="20"/>
  <c r="L41" i="20"/>
  <c r="K41" i="20"/>
  <c r="L12" i="20"/>
  <c r="K12" i="20"/>
  <c r="L19" i="20"/>
  <c r="K19" i="20"/>
  <c r="L5" i="20"/>
  <c r="K5" i="20"/>
  <c r="L6" i="20"/>
  <c r="K6" i="20"/>
  <c r="L31" i="20"/>
  <c r="K31" i="20"/>
  <c r="L34" i="20"/>
  <c r="K34" i="20"/>
  <c r="L48" i="20"/>
  <c r="K48" i="20"/>
  <c r="L7" i="20"/>
  <c r="K7" i="20"/>
  <c r="L35" i="20"/>
  <c r="K35" i="20"/>
  <c r="L26" i="20"/>
  <c r="K26" i="20"/>
  <c r="L30" i="20"/>
  <c r="K30" i="20"/>
  <c r="L38" i="20"/>
  <c r="K38" i="20"/>
  <c r="L20" i="20"/>
  <c r="K20" i="20"/>
  <c r="L17" i="20"/>
  <c r="K17" i="20"/>
  <c r="L11" i="20"/>
  <c r="K11" i="20"/>
  <c r="L18" i="20"/>
  <c r="K18" i="20"/>
  <c r="L16" i="20"/>
  <c r="K16" i="20"/>
  <c r="L33" i="20"/>
  <c r="K33" i="20"/>
  <c r="L15" i="20"/>
  <c r="K15" i="20"/>
  <c r="L45" i="20"/>
  <c r="K45" i="20"/>
  <c r="L21" i="20"/>
  <c r="K21" i="20"/>
  <c r="L32" i="20"/>
  <c r="K32" i="20"/>
  <c r="L9" i="20"/>
  <c r="K9" i="20"/>
  <c r="L25" i="20"/>
  <c r="K25" i="20"/>
  <c r="L42" i="20"/>
  <c r="K42" i="20"/>
  <c r="L23" i="20"/>
  <c r="K23" i="20"/>
  <c r="L13" i="20"/>
  <c r="K13" i="20"/>
  <c r="L8" i="20"/>
  <c r="K8" i="20"/>
  <c r="L10" i="20"/>
  <c r="K10"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9" i="27"/>
  <c r="K9" i="27"/>
  <c r="L17" i="27"/>
  <c r="K17" i="27"/>
  <c r="L29" i="27"/>
  <c r="K29" i="27"/>
  <c r="L40" i="27"/>
  <c r="K40" i="27"/>
  <c r="L45" i="27"/>
  <c r="K45" i="27"/>
  <c r="L16" i="27"/>
  <c r="K16" i="27"/>
  <c r="L33" i="27"/>
  <c r="K33" i="27"/>
  <c r="L14" i="27"/>
  <c r="K14" i="27"/>
  <c r="L48" i="27"/>
  <c r="K48" i="27"/>
  <c r="L42" i="27"/>
  <c r="K42" i="27"/>
  <c r="L49" i="27"/>
  <c r="K49" i="27"/>
  <c r="L18" i="27"/>
  <c r="K18" i="27"/>
  <c r="L8" i="27"/>
  <c r="K8" i="27"/>
  <c r="L19" i="27"/>
  <c r="K19" i="27"/>
  <c r="L21" i="27"/>
  <c r="K21" i="27"/>
  <c r="L35" i="27"/>
  <c r="K35" i="27"/>
  <c r="L34" i="27"/>
  <c r="K34" i="27"/>
  <c r="L26" i="27"/>
  <c r="K26" i="27"/>
  <c r="L39" i="27"/>
  <c r="K39" i="27"/>
  <c r="L28" i="27"/>
  <c r="K28" i="27"/>
  <c r="L7" i="27"/>
  <c r="K7" i="27"/>
  <c r="L36" i="27"/>
  <c r="K36" i="27"/>
  <c r="L46" i="27"/>
  <c r="K46" i="27"/>
  <c r="L11" i="27"/>
  <c r="K11" i="27"/>
  <c r="L6" i="27"/>
  <c r="K6" i="27"/>
  <c r="L15" i="27"/>
  <c r="K15" i="27"/>
  <c r="L27" i="27"/>
  <c r="K27" i="27"/>
  <c r="L12" i="27"/>
  <c r="K12" i="27"/>
  <c r="L23" i="27"/>
  <c r="K23" i="27"/>
  <c r="L43" i="27"/>
  <c r="K43" i="27"/>
  <c r="L37" i="27"/>
  <c r="K37" i="27"/>
  <c r="L10" i="27"/>
  <c r="K10" i="27"/>
  <c r="L25" i="27"/>
  <c r="K25" i="27"/>
  <c r="L31" i="27"/>
  <c r="K31" i="27"/>
  <c r="L32" i="27"/>
  <c r="K32" i="27"/>
  <c r="L47" i="27"/>
  <c r="K47" i="27"/>
  <c r="L20" i="27"/>
  <c r="K20" i="27"/>
  <c r="L5" i="27"/>
  <c r="K5" i="27"/>
  <c r="L30" i="27"/>
  <c r="K30" i="27"/>
  <c r="L41" i="27"/>
  <c r="K41" i="27"/>
  <c r="L24" i="27"/>
  <c r="K24" i="27"/>
  <c r="L22" i="27"/>
  <c r="K22" i="27"/>
  <c r="L44" i="27"/>
  <c r="K44" i="27"/>
  <c r="L13" i="27"/>
  <c r="K13" i="27"/>
  <c r="L38" i="27"/>
  <c r="K38"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31" i="12"/>
  <c r="K31" i="12"/>
  <c r="L48" i="12"/>
  <c r="K48" i="12"/>
  <c r="L14" i="12"/>
  <c r="K14" i="12"/>
  <c r="L46" i="12"/>
  <c r="K46" i="12"/>
  <c r="L44" i="12"/>
  <c r="K44" i="12"/>
  <c r="L45" i="12"/>
  <c r="K45" i="12"/>
  <c r="L34" i="12"/>
  <c r="K34" i="12"/>
  <c r="L26" i="12"/>
  <c r="K26" i="12"/>
  <c r="L30" i="12"/>
  <c r="K30" i="12"/>
  <c r="L36" i="12"/>
  <c r="K36" i="12"/>
  <c r="L41" i="12"/>
  <c r="K41" i="12"/>
  <c r="L9" i="12"/>
  <c r="K9" i="12"/>
  <c r="L6" i="12"/>
  <c r="K6" i="12"/>
  <c r="L18" i="12"/>
  <c r="K18" i="12"/>
  <c r="L17" i="12"/>
  <c r="K17" i="12"/>
  <c r="L29" i="12"/>
  <c r="K29" i="12"/>
  <c r="L37" i="12"/>
  <c r="K37" i="12"/>
  <c r="L35" i="12"/>
  <c r="K35" i="12"/>
  <c r="L39" i="12"/>
  <c r="K39" i="12"/>
  <c r="L15" i="12"/>
  <c r="K15" i="12"/>
  <c r="L24" i="12"/>
  <c r="K24" i="12"/>
  <c r="L33" i="12"/>
  <c r="K33" i="12"/>
  <c r="L8" i="12"/>
  <c r="K8" i="12"/>
  <c r="L19" i="12"/>
  <c r="K19" i="12"/>
  <c r="L11" i="12"/>
  <c r="K11" i="12"/>
  <c r="L22" i="12"/>
  <c r="K22" i="12"/>
  <c r="L10" i="12"/>
  <c r="K10" i="12"/>
  <c r="L27" i="12"/>
  <c r="K27" i="12"/>
  <c r="L49" i="12"/>
  <c r="K49" i="12"/>
  <c r="L25" i="12"/>
  <c r="K25" i="12"/>
  <c r="L12" i="12"/>
  <c r="K12" i="12"/>
  <c r="L7" i="12"/>
  <c r="K7" i="12"/>
  <c r="L23" i="12"/>
  <c r="K23" i="12"/>
  <c r="L16" i="12"/>
  <c r="K16" i="12"/>
  <c r="L38" i="12"/>
  <c r="K38" i="12"/>
  <c r="L28" i="12"/>
  <c r="K28" i="12"/>
  <c r="L5" i="12"/>
  <c r="K5" i="12"/>
  <c r="L47" i="12"/>
  <c r="K47" i="12"/>
  <c r="L13" i="12"/>
  <c r="K13" i="12"/>
  <c r="L32" i="12"/>
  <c r="K32" i="12"/>
  <c r="L40" i="12"/>
  <c r="K40" i="12"/>
  <c r="L20" i="12"/>
  <c r="K20" i="12"/>
  <c r="L43" i="12"/>
  <c r="K43" i="12"/>
  <c r="L42" i="12"/>
  <c r="K42" i="12"/>
  <c r="L21" i="12"/>
  <c r="K21"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J134" i="40"/>
  <c r="J147" i="40"/>
  <c r="J120" i="40"/>
  <c r="J144" i="40"/>
  <c r="J121" i="40"/>
  <c r="K128" i="40"/>
  <c r="K116" i="40"/>
  <c r="I115" i="40"/>
  <c r="J116" i="40"/>
  <c r="I144" i="40"/>
  <c r="I131" i="40"/>
  <c r="J132" i="40"/>
  <c r="J112" i="40"/>
  <c r="J125" i="40"/>
  <c r="J150" i="40"/>
  <c r="J111" i="40"/>
  <c r="J114" i="40"/>
  <c r="K127" i="40"/>
  <c r="K135" i="40"/>
  <c r="I114" i="40"/>
  <c r="J115" i="40"/>
  <c r="J149" i="40"/>
  <c r="J139" i="40"/>
  <c r="I122" i="40"/>
  <c r="J130" i="40"/>
  <c r="I149" i="40"/>
  <c r="I127" i="40"/>
  <c r="K145" i="40"/>
  <c r="J148" i="40"/>
  <c r="I128" i="40"/>
  <c r="K149" i="40"/>
  <c r="J118" i="40"/>
  <c r="K119" i="40"/>
  <c r="I118" i="40"/>
  <c r="K121" i="40"/>
  <c r="J126" i="40"/>
  <c r="K113" i="40"/>
  <c r="J138" i="40"/>
  <c r="I135" i="40"/>
  <c r="J113" i="40"/>
  <c r="K125" i="40"/>
  <c r="K131" i="40"/>
  <c r="J135" i="40"/>
  <c r="I148" i="40"/>
  <c r="J137" i="40"/>
  <c r="J128" i="40"/>
  <c r="K141" i="40"/>
  <c r="K134" i="40"/>
  <c r="I130" i="40"/>
  <c r="I150" i="40"/>
  <c r="J145" i="40"/>
  <c r="K137" i="40"/>
  <c r="J124" i="40"/>
  <c r="J119" i="40"/>
  <c r="K129" i="40"/>
  <c r="I129" i="40"/>
  <c r="K143" i="40"/>
  <c r="K142" i="40"/>
  <c r="I111" i="40"/>
  <c r="K150" i="40"/>
  <c r="I125" i="40"/>
  <c r="K122" i="40"/>
  <c r="I143" i="40"/>
  <c r="J142" i="40"/>
  <c r="K140" i="40"/>
  <c r="K124" i="40"/>
  <c r="J133" i="40"/>
  <c r="I126" i="40"/>
  <c r="I139" i="40"/>
  <c r="I132" i="40"/>
  <c r="K114" i="40"/>
  <c r="I136" i="40"/>
  <c r="K126" i="40"/>
  <c r="J136" i="40"/>
  <c r="K111" i="40"/>
  <c r="K132" i="40"/>
  <c r="K118" i="40"/>
  <c r="K138" i="40"/>
  <c r="J143" i="40"/>
  <c r="I119" i="40"/>
  <c r="I142" i="40"/>
  <c r="J122" i="40"/>
  <c r="J131" i="40"/>
  <c r="K117" i="40"/>
  <c r="J117" i="40"/>
  <c r="J140" i="40"/>
  <c r="I146" i="40"/>
  <c r="I113" i="40"/>
  <c r="K146" i="40"/>
  <c r="I141" i="40"/>
  <c r="J127" i="40"/>
  <c r="I124" i="40"/>
  <c r="K123" i="40"/>
  <c r="I133" i="40"/>
  <c r="K147" i="40"/>
  <c r="I121" i="40"/>
  <c r="I116" i="40"/>
  <c r="K133" i="40"/>
  <c r="I147" i="40"/>
  <c r="I138" i="40"/>
  <c r="I140" i="40"/>
  <c r="I123" i="40"/>
  <c r="J129" i="40"/>
  <c r="K148" i="40"/>
  <c r="J123" i="40"/>
  <c r="I145" i="40"/>
  <c r="I137" i="40"/>
  <c r="K139" i="40"/>
  <c r="I117" i="40"/>
  <c r="J146" i="40"/>
  <c r="K120" i="40"/>
  <c r="I134" i="40"/>
  <c r="I120" i="40"/>
  <c r="I112" i="40"/>
  <c r="K144" i="40"/>
  <c r="K112" i="40"/>
  <c r="K115" i="40"/>
  <c r="J141" i="40"/>
  <c r="K130" i="40"/>
  <c r="K136"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0" i="46"/>
  <c r="S80" i="46"/>
  <c r="T80" i="46"/>
  <c r="U80" i="46"/>
  <c r="Q81" i="46"/>
  <c r="S81" i="46"/>
  <c r="T81" i="46"/>
  <c r="U81" i="46"/>
  <c r="Q82" i="46"/>
  <c r="S82" i="46"/>
  <c r="T82" i="46"/>
  <c r="U82" i="46"/>
  <c r="Q83" i="46"/>
  <c r="S83" i="46"/>
  <c r="T83" i="46"/>
  <c r="U83" i="46"/>
  <c r="Q84" i="46"/>
  <c r="S84" i="46"/>
  <c r="T84" i="46"/>
  <c r="U84" i="46"/>
  <c r="Q85" i="46"/>
  <c r="S85" i="46"/>
  <c r="T85" i="46"/>
  <c r="U85" i="46"/>
  <c r="Q86" i="46"/>
  <c r="S86" i="46"/>
  <c r="T86" i="46"/>
  <c r="U86" i="46"/>
  <c r="Q87" i="46"/>
  <c r="S87" i="46"/>
  <c r="T87" i="46"/>
  <c r="U87" i="46"/>
  <c r="Q88" i="46"/>
  <c r="S88" i="46"/>
  <c r="T88" i="46"/>
  <c r="U88" i="46"/>
  <c r="Q89" i="46"/>
  <c r="S89" i="46"/>
  <c r="T89" i="46"/>
  <c r="U89" i="46"/>
  <c r="Q90" i="46"/>
  <c r="S90" i="46"/>
  <c r="T90" i="46"/>
  <c r="U90" i="46"/>
  <c r="Q91" i="46"/>
  <c r="S91" i="46"/>
  <c r="T91" i="46"/>
  <c r="U91" i="46"/>
  <c r="Q92" i="46"/>
  <c r="S92" i="46"/>
  <c r="T92" i="46"/>
  <c r="U92" i="46"/>
  <c r="Q93" i="46"/>
  <c r="S93" i="46"/>
  <c r="T93" i="46"/>
  <c r="U93" i="46"/>
  <c r="Q94" i="46"/>
  <c r="S94" i="46"/>
  <c r="T94" i="46"/>
  <c r="U94" i="46"/>
  <c r="Q95" i="46"/>
  <c r="S95" i="46"/>
  <c r="T95" i="46"/>
  <c r="U95" i="46"/>
  <c r="Q96" i="46"/>
  <c r="S96" i="46"/>
  <c r="T96" i="46"/>
  <c r="U96" i="46"/>
  <c r="Q97" i="46"/>
  <c r="S97" i="46"/>
  <c r="T97" i="46"/>
  <c r="U97"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K34" i="40"/>
  <c r="I37" i="40"/>
  <c r="I32" i="40"/>
  <c r="K16" i="40"/>
  <c r="I97" i="40"/>
  <c r="J56" i="40"/>
  <c r="I25" i="40"/>
  <c r="I58" i="40"/>
  <c r="K94" i="40"/>
  <c r="I88" i="40"/>
  <c r="K103" i="40"/>
  <c r="K101" i="40"/>
  <c r="I8" i="40"/>
  <c r="K74" i="40"/>
  <c r="J38" i="40"/>
  <c r="J82" i="40"/>
  <c r="J96" i="40"/>
  <c r="K54" i="40"/>
  <c r="K72" i="40"/>
  <c r="I76" i="40"/>
  <c r="K62" i="40"/>
  <c r="J37" i="40"/>
  <c r="I15" i="40"/>
  <c r="I75" i="40"/>
  <c r="J11" i="40"/>
  <c r="K67" i="40"/>
  <c r="K81" i="40"/>
  <c r="J33" i="40"/>
  <c r="K51" i="40"/>
  <c r="J67" i="40"/>
  <c r="K96" i="40"/>
  <c r="K92" i="40"/>
  <c r="I103" i="40"/>
  <c r="J79" i="40"/>
  <c r="J44" i="40"/>
  <c r="K75" i="40"/>
  <c r="I107" i="40"/>
  <c r="K61" i="40"/>
  <c r="I24" i="40"/>
  <c r="J86" i="40"/>
  <c r="I62" i="40"/>
  <c r="I40" i="40"/>
  <c r="K63" i="40"/>
  <c r="I63" i="40"/>
  <c r="J77" i="40"/>
  <c r="K28" i="40"/>
  <c r="J8" i="40"/>
  <c r="I69" i="40"/>
  <c r="K13" i="40"/>
  <c r="K41" i="40"/>
  <c r="K73" i="40"/>
  <c r="I106" i="40"/>
  <c r="I39" i="40"/>
  <c r="K59" i="40"/>
  <c r="I60" i="40"/>
  <c r="J84" i="40"/>
  <c r="I81" i="40"/>
  <c r="I80" i="40"/>
  <c r="J83" i="40"/>
  <c r="J55" i="40"/>
  <c r="I98" i="40"/>
  <c r="I34" i="40"/>
  <c r="J72" i="40"/>
  <c r="J19" i="40"/>
  <c r="K5" i="40"/>
  <c r="I28" i="40"/>
  <c r="K10" i="40"/>
  <c r="J91" i="40"/>
  <c r="I79" i="40"/>
  <c r="J92" i="40"/>
  <c r="K11" i="40"/>
  <c r="K65" i="40"/>
  <c r="J59" i="40"/>
  <c r="I86" i="40"/>
  <c r="K42" i="40"/>
  <c r="K79" i="40"/>
  <c r="I99" i="40"/>
  <c r="J90" i="40"/>
  <c r="K71" i="40"/>
  <c r="J110" i="40"/>
  <c r="I52" i="40"/>
  <c r="I70" i="40"/>
  <c r="J60" i="40"/>
  <c r="I36" i="40"/>
  <c r="I67" i="40"/>
  <c r="K31" i="40"/>
  <c r="I102" i="40"/>
  <c r="J27" i="40"/>
  <c r="J88" i="40"/>
  <c r="K22" i="40"/>
  <c r="J51" i="40"/>
  <c r="J23" i="40"/>
  <c r="K21" i="40"/>
  <c r="K58" i="40"/>
  <c r="K37" i="40"/>
  <c r="I21" i="40"/>
  <c r="K108" i="40"/>
  <c r="K77" i="40"/>
  <c r="J12" i="40"/>
  <c r="I83" i="40"/>
  <c r="K95" i="40"/>
  <c r="I23" i="40"/>
  <c r="K80" i="40"/>
  <c r="J28" i="40"/>
  <c r="J97" i="40"/>
  <c r="K35" i="40"/>
  <c r="I87" i="40"/>
  <c r="I64" i="40"/>
  <c r="J26" i="40"/>
  <c r="I77" i="40"/>
  <c r="J41" i="40"/>
  <c r="K102" i="40"/>
  <c r="I94" i="40"/>
  <c r="I93" i="40"/>
  <c r="J24" i="40"/>
  <c r="I105" i="40"/>
  <c r="K106" i="40"/>
  <c r="I56" i="40"/>
  <c r="K90" i="40"/>
  <c r="I89" i="40"/>
  <c r="K86" i="40"/>
  <c r="K20" i="40"/>
  <c r="J104" i="40"/>
  <c r="K88" i="40"/>
  <c r="I38" i="40"/>
  <c r="K50" i="40"/>
  <c r="K85" i="40"/>
  <c r="K18" i="40"/>
  <c r="J9" i="40"/>
  <c r="J47" i="40"/>
  <c r="I49" i="40"/>
  <c r="I27" i="40"/>
  <c r="I20" i="40"/>
  <c r="K91" i="40"/>
  <c r="I92" i="40"/>
  <c r="I57" i="40"/>
  <c r="J107" i="40"/>
  <c r="J73" i="40"/>
  <c r="I66" i="40"/>
  <c r="J87" i="40"/>
  <c r="J14" i="40"/>
  <c r="I68" i="40"/>
  <c r="J29" i="40"/>
  <c r="K48" i="40"/>
  <c r="J68" i="40"/>
  <c r="I18" i="40"/>
  <c r="K52" i="40"/>
  <c r="J102" i="40"/>
  <c r="I51" i="40"/>
  <c r="J63" i="40"/>
  <c r="K29" i="40"/>
  <c r="J93" i="40"/>
  <c r="J45" i="40"/>
  <c r="J15" i="40"/>
  <c r="K32" i="40"/>
  <c r="J57" i="40"/>
  <c r="I47" i="40"/>
  <c r="J74" i="40"/>
  <c r="I6" i="40"/>
  <c r="J52" i="40"/>
  <c r="K109" i="40"/>
  <c r="J48" i="40"/>
  <c r="I65" i="40"/>
  <c r="I59" i="40"/>
  <c r="J43" i="40"/>
  <c r="I100" i="40"/>
  <c r="J18" i="40"/>
  <c r="I108" i="40"/>
  <c r="K55" i="40"/>
  <c r="J40" i="40"/>
  <c r="J81" i="40"/>
  <c r="I50" i="40"/>
  <c r="I41" i="40"/>
  <c r="I26" i="40"/>
  <c r="I13" i="40"/>
  <c r="J66" i="40"/>
  <c r="K6" i="40"/>
  <c r="K110" i="40"/>
  <c r="J99" i="40"/>
  <c r="K49" i="40"/>
  <c r="J16" i="40"/>
  <c r="I71" i="40"/>
  <c r="J6" i="40"/>
  <c r="I78" i="40"/>
  <c r="J71" i="40"/>
  <c r="K30" i="40"/>
  <c r="I110" i="40"/>
  <c r="I61" i="40"/>
  <c r="J95" i="40"/>
  <c r="J65" i="40"/>
  <c r="I11" i="40"/>
  <c r="J20" i="40"/>
  <c r="J42" i="40"/>
  <c r="K25" i="40"/>
  <c r="I9" i="40"/>
  <c r="J76" i="40"/>
  <c r="I85" i="40"/>
  <c r="J89" i="40"/>
  <c r="K47" i="40"/>
  <c r="I10" i="40"/>
  <c r="J105" i="40"/>
  <c r="J78" i="40"/>
  <c r="I109" i="40"/>
  <c r="J21" i="40"/>
  <c r="K33" i="40"/>
  <c r="J98" i="40"/>
  <c r="K57" i="40"/>
  <c r="J10" i="40"/>
  <c r="K38" i="40"/>
  <c r="I55" i="40"/>
  <c r="K53" i="40"/>
  <c r="I72" i="40"/>
  <c r="K15" i="40"/>
  <c r="J7" i="40"/>
  <c r="I22" i="40"/>
  <c r="I104" i="40"/>
  <c r="I101" i="40"/>
  <c r="K98" i="40"/>
  <c r="J103" i="40"/>
  <c r="J101" i="40"/>
  <c r="J35" i="40"/>
  <c r="J39" i="40"/>
  <c r="I46" i="40"/>
  <c r="J64" i="40"/>
  <c r="K89" i="40"/>
  <c r="J109" i="40"/>
  <c r="I73" i="40"/>
  <c r="J36" i="40"/>
  <c r="J22" i="40"/>
  <c r="I53" i="40"/>
  <c r="K56" i="40"/>
  <c r="K14" i="40"/>
  <c r="K60" i="40"/>
  <c r="K24" i="40"/>
  <c r="I35" i="40"/>
  <c r="I90" i="40"/>
  <c r="I29" i="40"/>
  <c r="J49" i="40"/>
  <c r="K45" i="40"/>
  <c r="K99" i="40"/>
  <c r="J100" i="40"/>
  <c r="K87" i="40"/>
  <c r="K83" i="40"/>
  <c r="J80" i="40"/>
  <c r="K76" i="40"/>
  <c r="K69" i="40"/>
  <c r="J85" i="40"/>
  <c r="K70" i="40"/>
  <c r="K8" i="40"/>
  <c r="J17" i="40"/>
  <c r="I30" i="40"/>
  <c r="I14" i="40"/>
  <c r="J53" i="40"/>
  <c r="I84" i="40"/>
  <c r="K78" i="40"/>
  <c r="K26" i="40"/>
  <c r="K82" i="40"/>
  <c r="I16" i="40"/>
  <c r="I95" i="40"/>
  <c r="J106" i="40"/>
  <c r="K66" i="40"/>
  <c r="K43" i="40"/>
  <c r="K93" i="40"/>
  <c r="J50" i="40"/>
  <c r="I82" i="40"/>
  <c r="K9" i="40"/>
  <c r="I44" i="40"/>
  <c r="I19" i="40"/>
  <c r="J61" i="40"/>
  <c r="K23" i="40"/>
  <c r="J31" i="40"/>
  <c r="I33" i="40"/>
  <c r="J25" i="40"/>
  <c r="I96" i="40"/>
  <c r="I91" i="40"/>
  <c r="K84" i="40"/>
  <c r="J13" i="40"/>
  <c r="I43" i="40"/>
  <c r="K12" i="40"/>
  <c r="J32" i="40"/>
  <c r="J54" i="40"/>
  <c r="K40" i="40"/>
  <c r="K39" i="40"/>
  <c r="K100" i="40"/>
  <c r="I5" i="40"/>
  <c r="J58" i="40"/>
  <c r="I74" i="40"/>
  <c r="I7" i="40"/>
  <c r="K7" i="40"/>
  <c r="K19" i="40"/>
  <c r="J46" i="40"/>
  <c r="J5" i="40"/>
  <c r="J75" i="40"/>
  <c r="J62" i="40"/>
  <c r="J108" i="40"/>
  <c r="K44" i="40"/>
  <c r="J70" i="40"/>
  <c r="J30" i="40"/>
  <c r="J34" i="40"/>
  <c r="K68" i="40"/>
  <c r="K27" i="40"/>
  <c r="I48" i="40"/>
  <c r="I12" i="40"/>
  <c r="I42" i="40"/>
  <c r="K64" i="40"/>
  <c r="K46" i="40"/>
  <c r="J69" i="40"/>
  <c r="K105" i="40"/>
  <c r="I45" i="40"/>
  <c r="K17" i="40"/>
  <c r="K36" i="40"/>
  <c r="I17" i="40"/>
  <c r="I54" i="40"/>
  <c r="K107" i="40"/>
  <c r="J94" i="40"/>
  <c r="I31" i="40"/>
  <c r="K104" i="40"/>
  <c r="K97" i="40"/>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I30" i="48"/>
  <c r="I38" i="48"/>
  <c r="J31" i="48"/>
  <c r="J32" i="48"/>
  <c r="I32" i="48"/>
  <c r="I24" i="48"/>
  <c r="I29" i="48"/>
  <c r="I37" i="48"/>
  <c r="I36" i="48"/>
  <c r="I25" i="48"/>
  <c r="I27" i="48"/>
  <c r="I34" i="48"/>
  <c r="J33" i="48"/>
  <c r="J35" i="48"/>
  <c r="J25" i="48"/>
  <c r="J36" i="48"/>
  <c r="J24" i="48"/>
  <c r="E17" i="48"/>
  <c r="J29" i="48"/>
  <c r="J27" i="48"/>
  <c r="J30" i="48"/>
  <c r="J26" i="48"/>
  <c r="I28" i="48"/>
  <c r="J37" i="48"/>
  <c r="J28" i="48"/>
  <c r="E15" i="48"/>
  <c r="I35" i="48"/>
  <c r="J34" i="48"/>
  <c r="J38" i="48"/>
  <c r="I26" i="48"/>
  <c r="I31" i="48"/>
  <c r="I33"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<sst xmlns="http://schemas.openxmlformats.org/spreadsheetml/2006/main" count="4476" uniqueCount="941">
  <si>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</si>
  <si>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</si>
  <si>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</si>
  <si>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</si>
  <si>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</si>
  <si>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</si>
  <si>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</si>
  <si>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</si>
  <si>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</si>
  <si>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</si>
  <si>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</si>
  <si>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</si>
  <si>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</si>
  <si>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</si>
  <si>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</si>
  <si>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</si>
  <si>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</si>
  <si>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</si>
  <si>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</si>
  <si>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</si>
  <si>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</si>
  <si>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</si>
  <si>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</si>
  <si>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</si>
  <si>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</si>
  <si>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</si>
  <si>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</si>
  <si>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</si>
  <si>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</si>
  <si>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</si>
  <si>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</si>
  <si>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</si>
  <si>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</si>
  <si>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</si>
  <si>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</si>
  <si>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</si>
  <si>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</si>
  <si>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</si>
  <si>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</si>
  <si>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</si>
  <si>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</si>
  <si>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</si>
  <si>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</si>
  <si>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</si>
  <si>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</si>
  <si>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</si>
  <si>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</si>
  <si>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</si>
  <si>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</si>
  <si>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</si>
  <si>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</si>
  <si>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</si>
  <si>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</si>
  <si>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</si>
  <si>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</si>
  <si>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</si>
  <si>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</si>
  <si>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</si>
  <si>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</si>
  <si>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</si>
  <si>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</si>
  <si>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</si>
  <si>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</si>
  <si>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</si>
  <si>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</si>
  <si>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</si>
  <si>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</si>
  <si>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</si>
  <si>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</si>
  <si>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</si>
  <si>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</si>
  <si>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</si>
  <si>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</si>
  <si>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</si>
  <si>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</si>
  <si>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</si>
  <si>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</si>
  <si>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</si>
  <si>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</si>
  <si>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</si>
  <si>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</si>
  <si>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</si>
  <si>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</si>
  <si>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</si>
  <si>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</si>
  <si>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</si>
  <si>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</si>
  <si>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</si>
  <si>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</si>
  <si>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</si>
  <si>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</si>
  <si>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</si>
  <si>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</si>
  <si>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</si>
  <si>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</si>
  <si>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</si>
  <si>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</si>
  <si>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</si>
  <si>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</si>
  <si>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</si>
  <si>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</si>
  <si>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</si>
  <si>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</si>
  <si>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</si>
  <si>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</si>
  <si>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</si>
  <si>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</si>
  <si>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</si>
  <si>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</si>
  <si>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</si>
  <si>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</si>
  <si>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</si>
  <si>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</si>
  <si>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</si>
  <si>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</si>
  <si>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</si>
  <si>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</si>
  <si>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</si>
  <si>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</si>
  <si>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</si>
  <si>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</si>
  <si>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</si>
  <si>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</si>
  <si>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</si>
  <si>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</si>
  <si>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</si>
  <si>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</si>
  <si>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</si>
  <si>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</si>
  <si>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</si>
  <si>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</si>
  <si>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</si>
  <si>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</si>
  <si>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</si>
  <si>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</si>
  <si>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</si>
  <si>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</si>
  <si>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</si>
  <si>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</si>
  <si>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</si>
  <si>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</si>
  <si>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</si>
  <si>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</si>
  <si>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</si>
  <si>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</si>
  <si>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</si>
  <si>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</si>
  <si>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</si>
  <si>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</si>
  <si>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</si>
  <si>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</si>
  <si>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</si>
  <si>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</si>
  <si>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</si>
  <si>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</si>
  <si>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</si>
  <si>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</si>
  <si>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</si>
  <si>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</si>
  <si>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</si>
  <si>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</si>
  <si>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</si>
  <si>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</si>
  <si>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</si>
  <si>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</si>
  <si>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</si>
  <si>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</si>
  <si>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</si>
  <si>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</si>
  <si>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</si>
  <si>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</si>
  <si>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</si>
  <si>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</si>
  <si>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</si>
  <si>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</si>
  <si>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</si>
  <si>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</si>
  <si>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</si>
  <si>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</si>
  <si>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</si>
  <si>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</si>
  <si>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</si>
  <si>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</si>
  <si>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</si>
  <si>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</si>
  <si>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</si>
  <si>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</si>
  <si>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</si>
  <si>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</si>
  <si>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</si>
  <si>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</si>
  <si>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</si>
  <si>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</si>
  <si>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</si>
  <si>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</si>
  <si>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</si>
  <si>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</si>
  <si>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</si>
  <si>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</si>
  <si>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</si>
  <si>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</si>
  <si>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</si>
  <si>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</si>
  <si>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</si>
  <si>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</si>
  <si>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</si>
  <si>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</si>
  <si>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</si>
  <si>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</si>
  <si>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</si>
  <si>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</si>
  <si>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</si>
  <si>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</si>
  <si>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</si>
  <si>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</si>
  <si>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</si>
  <si>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</si>
  <si>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</si>
  <si>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</si>
  <si>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</si>
  <si>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</si>
  <si>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</si>
  <si>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</si>
  <si>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</si>
  <si>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</si>
  <si>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</si>
  <si>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</si>
  <si>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</si>
  <si>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</si>
  <si>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</si>
  <si>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</si>
  <si>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</si>
  <si>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</si>
  <si>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</si>
  <si>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</si>
  <si>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</si>
  <si>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</si>
  <si>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</si>
  <si>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</si>
  <si>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</si>
  <si>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</si>
  <si>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</si>
  <si>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</si>
  <si>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</si>
  <si>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</si>
  <si>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</si>
  <si>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</si>
  <si>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</si>
  <si>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</si>
  <si>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</si>
  <si>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</si>
  <si>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</si>
  <si>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</si>
  <si>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</si>
  <si>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</si>
  <si>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</si>
  <si>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</si>
  <si>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</si>
  <si>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</si>
  <si>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</si>
  <si>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</si>
  <si>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</si>
  <si>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</si>
  <si>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</si>
  <si>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</si>
  <si>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</si>
  <si>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</si>
  <si>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</si>
  <si>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</si>
  <si>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</si>
  <si>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</si>
  <si>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</si>
  <si>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</si>
  <si>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</si>
  <si>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</si>
  <si>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</si>
  <si>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</si>
  <si>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</si>
  <si>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</si>
  <si>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</si>
  <si>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</si>
  <si>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</si>
  <si>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</si>
  <si>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</si>
  <si>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</si>
  <si>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</si>
  <si>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</si>
  <si>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</si>
  <si>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</si>
  <si>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</si>
  <si>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</si>
  <si>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</si>
  <si>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</si>
  <si>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</si>
  <si>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</si>
  <si>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</si>
  <si>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</si>
  <si>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</si>
  <si>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</si>
  <si>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</si>
  <si>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</si>
  <si>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</si>
  <si>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</si>
  <si>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</si>
  <si>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</si>
  <si>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</si>
  <si>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</si>
  <si>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</si>
  <si>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</si>
  <si>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</si>
  <si>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</si>
  <si>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</si>
  <si>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</si>
  <si>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</si>
  <si>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</si>
  <si>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</si>
  <si>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</si>
  <si>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</si>
  <si>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</si>
  <si>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</si>
  <si>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</si>
  <si>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</si>
  <si>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</si>
  <si>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</si>
  <si>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</si>
  <si>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</si>
  <si>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</si>
  <si>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</si>
  <si>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</si>
  <si>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</si>
  <si>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</si>
  <si>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</si>
  <si>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</si>
  <si>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</si>
  <si>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</si>
  <si>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</si>
  <si>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</si>
  <si>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</si>
  <si>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</si>
  <si>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</si>
  <si>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</si>
  <si>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</si>
  <si>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</si>
  <si>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</si>
  <si>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</si>
  <si>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</si>
  <si>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</si>
  <si>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</si>
  <si>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</si>
  <si>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</si>
  <si>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</si>
  <si>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</si>
  <si>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</si>
  <si>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</si>
  <si>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</si>
  <si>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</si>
  <si>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</si>
  <si>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</si>
  <si>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</si>
  <si>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</si>
  <si>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</si>
  <si>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</si>
  <si>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</si>
  <si>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</si>
  <si>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</si>
  <si>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</si>
  <si>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</si>
  <si>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</si>
  <si>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</si>
  <si>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</si>
  <si>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</si>
  <si>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</si>
  <si>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</si>
  <si>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</si>
  <si>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</si>
  <si>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</si>
  <si>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</si>
  <si>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</si>
  <si>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</si>
  <si>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</si>
  <si>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</si>
  <si>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</si>
  <si>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</si>
  <si>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IBUPO vs. PARAPO</t>
  </si>
  <si>
    <t>IBUIV vs. IBUPO</t>
  </si>
  <si>
    <t>INDOIV vs. INDOIVCONT</t>
  </si>
  <si>
    <t>INDOIV vs. PLAC_NORX</t>
  </si>
  <si>
    <t>IBUIV vs. INDOIVCONT</t>
  </si>
  <si>
    <t>IBUIV vs. IBUIVHIGHDOSE</t>
  </si>
  <si>
    <t>IBUPO vs. INDOTHERS</t>
  </si>
  <si>
    <t>INDOIV vs. IBUIV</t>
  </si>
  <si>
    <t>IBUIV vs. IBUIVCONT</t>
  </si>
  <si>
    <t>IBUPO vs. IBUPOHIGHDOSE</t>
  </si>
  <si>
    <t>INDOTHERS vs. PLAC_NORX</t>
  </si>
  <si>
    <t>display(log)</t>
  </si>
  <si>
    <t>data(C:/WinBUGS data/Inconsistency Data List.txt)</t>
  </si>
  <si>
    <t>data(C:/WinBUGS data/Inconsistency Data Table.txt)</t>
  </si>
  <si>
    <t>command #Bugs:gen.inits cannot be executed (is greyed out)</t>
  </si>
  <si>
    <t>update(40000)</t>
  </si>
  <si>
    <t>stats(*)</t>
  </si>
  <si>
    <t>check(C:/WinBUGS data/Fixed Effect Model.txt)</t>
  </si>
  <si>
    <t>model is syntactically correct</t>
  </si>
  <si>
    <t>data(C:/WinBUGS data/Data List.txt)</t>
  </si>
  <si>
    <t>data loaded</t>
  </si>
  <si>
    <t>data(C:/WinBUGS data/Data Table.txt)</t>
  </si>
  <si>
    <t>model compiled</t>
  </si>
  <si>
    <t>inits(1,C:/WinBUGS data/Fixed Effect Inits1.txt)</t>
  </si>
  <si>
    <t>chain initialized but other chain(s) contain uninitialized variables</t>
  </si>
  <si>
    <t>inits(2,C:/WinBUGS data/Fixed Effect Inits2.txt)</t>
  </si>
  <si>
    <t>inits(3,C:/WinBUGS data/Fixed Effect Inits3.txt)</t>
  </si>
  <si>
    <t>model is initialized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</si>
  <si>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</si>
  <si>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</si>
  <si>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</si>
  <si>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</si>
  <si>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</si>
  <si>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</si>
  <si>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</si>
  <si>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</si>
  <si>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</si>
  <si>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</si>
  <si>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</si>
  <si>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</si>
  <si>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</si>
  <si>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</si>
  <si>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</si>
  <si>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</si>
  <si>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</si>
  <si>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</si>
  <si>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</si>
  <si>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</si>
  <si>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</si>
  <si>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</si>
  <si>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</si>
  <si>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</si>
  <si>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</si>
  <si>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</si>
  <si>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</si>
  <si>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</si>
  <si>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</si>
  <si>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</si>
  <si>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</si>
  <si>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</si>
  <si>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</si>
  <si>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</si>
  <si>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</si>
  <si>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</si>
  <si>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</si>
  <si>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</si>
  <si>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</si>
  <si>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</si>
  <si>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</si>
  <si>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</si>
  <si>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</si>
  <si>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</si>
  <si>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</si>
  <si>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</si>
  <si>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</si>
  <si>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</si>
  <si>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</si>
  <si>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</si>
  <si>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</si>
  <si>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</si>
  <si>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</si>
  <si>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</si>
  <si>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</si>
  <si>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</si>
  <si>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</si>
  <si>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</si>
  <si>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</si>
  <si>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</si>
  <si>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</si>
  <si>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</si>
  <si>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</si>
  <si>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</si>
  <si>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</si>
  <si>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</si>
  <si>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</si>
  <si>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</si>
  <si>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</si>
  <si>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</si>
  <si>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</si>
  <si>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</si>
  <si>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</si>
  <si>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</si>
  <si>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</si>
  <si>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</si>
  <si>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</si>
  <si>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</si>
  <si>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</si>
  <si>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</si>
  <si>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</si>
  <si>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</si>
  <si>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</si>
  <si>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</si>
  <si>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</si>
  <si>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</si>
  <si>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</si>
  <si>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</si>
  <si>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</si>
  <si>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</si>
  <si>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</si>
  <si>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</si>
  <si>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</si>
  <si>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</si>
  <si>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</si>
  <si>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</si>
  <si>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</si>
  <si>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</si>
  <si>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</si>
  <si>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</si>
  <si>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</si>
  <si>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</si>
  <si>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</si>
  <si>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</si>
  <si>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</si>
  <si>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</si>
  <si>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</si>
  <si>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</si>
  <si>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</si>
  <si>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</si>
  <si>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</si>
  <si>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</si>
  <si>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</si>
  <si>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</si>
  <si>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</si>
  <si>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</si>
  <si>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</si>
  <si>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</si>
  <si>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</si>
  <si>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</si>
  <si>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</si>
  <si>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</si>
  <si>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</si>
  <si>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</si>
  <si>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</si>
  <si>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</si>
  <si>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</si>
  <si>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</si>
  <si>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</si>
  <si>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</si>
  <si>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</si>
  <si>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</si>
  <si>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</si>
  <si>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</si>
  <si>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</si>
  <si>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</si>
  <si>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</si>
  <si>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</si>
  <si>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</si>
  <si>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</si>
  <si>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</si>
  <si>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</si>
  <si>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</si>
  <si>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</si>
  <si>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</si>
  <si>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</si>
  <si>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dev[34,1]</t>
  </si>
  <si>
    <t>dev[34,2]</t>
  </si>
  <si>
    <t>dev[35,1]</t>
  </si>
  <si>
    <t>dev[35,2]</t>
  </si>
  <si>
    <t>dev[36,1]</t>
  </si>
  <si>
    <t>dev[36,2]</t>
  </si>
  <si>
    <t>dev[37,1]</t>
  </si>
  <si>
    <t>dev[37,2]</t>
  </si>
  <si>
    <t>dev[38,1]</t>
  </si>
  <si>
    <t>dev[38,2]</t>
  </si>
  <si>
    <t>dev[39,1]</t>
  </si>
  <si>
    <t>dev[39,2]</t>
  </si>
  <si>
    <t>dev[40,1]</t>
  </si>
  <si>
    <t>dev[40,2]</t>
  </si>
  <si>
    <t>dev[41,1]</t>
  </si>
  <si>
    <t>dev[41,2]</t>
  </si>
  <si>
    <t>dev[42,1]</t>
  </si>
  <si>
    <t>dev[42,2]</t>
  </si>
  <si>
    <t>dev[43,1]</t>
  </si>
  <si>
    <t>dev[43,2]</t>
  </si>
  <si>
    <t>dev[44,1]</t>
  </si>
  <si>
    <t>dev[44,2]</t>
  </si>
  <si>
    <t>dev[45,1]</t>
  </si>
  <si>
    <t>dev[45,2]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</si>
  <si>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</si>
  <si>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</si>
  <si>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</si>
  <si>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</si>
  <si>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</si>
  <si>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</si>
  <si>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</si>
  <si>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</si>
  <si>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</si>
  <si>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</si>
  <si>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</si>
  <si>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</si>
  <si>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</si>
  <si>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</si>
  <si>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</si>
  <si>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</si>
  <si>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</si>
  <si>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</si>
  <si>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</si>
  <si>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</si>
  <si>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</si>
  <si>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</si>
  <si>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</si>
  <si>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</si>
  <si>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</si>
  <si>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</si>
  <si>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</si>
  <si>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</si>
  <si>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</si>
  <si>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</si>
  <si>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</si>
  <si>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</si>
  <si>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</si>
  <si>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</si>
  <si>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</si>
  <si>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</si>
  <si>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</si>
  <si>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</si>
  <si>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</si>
  <si>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</si>
  <si>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</si>
  <si>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</si>
  <si>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</si>
  <si>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</si>
  <si>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</si>
  <si>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</si>
  <si>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</si>
  <si>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</si>
  <si>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</si>
  <si>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</si>
  <si>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</si>
  <si>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</si>
  <si>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</si>
  <si>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</si>
  <si>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</si>
  <si>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</si>
  <si>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</si>
  <si>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</si>
  <si>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</si>
  <si>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</si>
  <si>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</si>
  <si>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</si>
  <si>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</si>
  <si>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</si>
  <si>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</si>
  <si>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</si>
  <si>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</si>
  <si>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</si>
  <si>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</si>
  <si>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</si>
  <si>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</si>
  <si>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</si>
  <si>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</si>
  <si>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</si>
  <si>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</si>
  <si>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</si>
  <si>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</si>
  <si>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</si>
  <si>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</si>
  <si>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</si>
  <si>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</si>
  <si>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</si>
  <si>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</si>
  <si>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</si>
  <si>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</si>
  <si>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</si>
  <si>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</si>
  <si>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</si>
  <si>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</si>
  <si>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</si>
  <si>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</si>
  <si>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</si>
  <si>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</si>
  <si>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</si>
  <si>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</si>
  <si>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</si>
  <si>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</si>
  <si>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</si>
  <si>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</si>
  <si>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</si>
  <si>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</si>
  <si>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</si>
  <si>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</si>
  <si>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</si>
  <si>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</si>
  <si>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</si>
  <si>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</si>
  <si>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</si>
  <si>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</si>
  <si>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</si>
  <si>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</si>
  <si>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</si>
  <si>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</si>
  <si>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</si>
  <si>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</si>
  <si>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</si>
  <si>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</si>
  <si>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</si>
  <si>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</si>
  <si>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</si>
  <si>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</si>
  <si>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</si>
  <si>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</si>
  <si>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</si>
  <si>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</si>
  <si>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</si>
  <si>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</si>
  <si>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</si>
  <si>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</si>
  <si>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</si>
  <si>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</si>
  <si>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</si>
  <si>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</si>
  <si>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resdev[34]</t>
  </si>
  <si>
    <t>resdev[35]</t>
  </si>
  <si>
    <t>resdev[36]</t>
  </si>
  <si>
    <t>resdev[37]</t>
  </si>
  <si>
    <t>resdev[38]</t>
  </si>
  <si>
    <t>resdev[39]</t>
  </si>
  <si>
    <t>resdev[40]</t>
  </si>
  <si>
    <t>resdev[41]</t>
  </si>
  <si>
    <t>resdev[42]</t>
  </si>
  <si>
    <t>resdev[43]</t>
  </si>
  <si>
    <t>resdev[44]</t>
  </si>
  <si>
    <t>resdev[45]</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</si>
  <si>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</si>
  <si>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</si>
  <si>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</si>
  <si>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</si>
  <si>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</si>
  <si>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</si>
  <si>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</si>
  <si>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</si>
  <si>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</si>
  <si>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</si>
  <si>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</si>
  <si>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</si>
  <si>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</si>
  <si>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</si>
  <si>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</si>
  <si>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</si>
  <si>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</si>
  <si>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</si>
  <si>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</si>
  <si>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</si>
  <si>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</si>
  <si>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</si>
  <si>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</si>
  <si>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</si>
  <si>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</si>
  <si>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</si>
  <si>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</si>
  <si>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</si>
  <si>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</si>
  <si>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</si>
  <si>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</si>
  <si>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</si>
  <si>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</si>
  <si>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</si>
  <si>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</si>
  <si>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</si>
  <si>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</si>
  <si>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</si>
  <si>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</si>
  <si>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</si>
  <si>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</si>
  <si>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</si>
  <si>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</si>
  <si>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</si>
  <si>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</si>
  <si>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</si>
  <si>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</si>
  <si>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</si>
  <si>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</si>
  <si>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</si>
  <si>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</si>
  <si>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</si>
  <si>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</si>
  <si>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</si>
  <si>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</si>
  <si>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</si>
  <si>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</si>
  <si>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</si>
  <si>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</si>
  <si>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</si>
  <si>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</si>
  <si>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</si>
  <si>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</si>
  <si>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</si>
  <si>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</si>
  <si>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</si>
  <si>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</si>
  <si>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</si>
  <si>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INDOTHERS</t>
  </si>
  <si>
    <t>IBUPOHIGHDOSE versus INDOIVCONT</t>
  </si>
  <si>
    <t>IBUPOHIGHDOSE versus PLAC_NORX</t>
  </si>
  <si>
    <t>IBUIVHIGHDOSE versus INDOTHERS</t>
  </si>
  <si>
    <t>PARAPO versus INDOTHERS</t>
  </si>
  <si>
    <t>PARAPO versus PLAC_NORX</t>
  </si>
  <si>
    <t>IBUPO versus INDOTHERS</t>
  </si>
  <si>
    <t>IBUPO versus INDOIVCONT</t>
  </si>
  <si>
    <t>IBUPO versus PLAC_NORX</t>
  </si>
  <si>
    <t>INDOIV versus INDOTHERS</t>
  </si>
  <si>
    <t>INDOIVCONT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</si>
  <si>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</si>
  <si>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</si>
  <si>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</si>
  <si>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</si>
  <si>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</si>
  <si>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</si>
  <si>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</si>
  <si>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</si>
  <si>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</si>
  <si>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</si>
  <si>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</si>
  <si>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</si>
  <si>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</si>
  <si>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</si>
  <si>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</si>
  <si>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</si>
  <si>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</si>
  <si>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</si>
  <si>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</si>
  <si>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</si>
  <si>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</si>
  <si>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</si>
  <si>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</si>
  <si>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</si>
  <si>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</si>
  <si>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</si>
  <si>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</si>
  <si>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</si>
  <si>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</si>
  <si>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</si>
  <si>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</si>
  <si>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</si>
  <si>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</si>
  <si>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</si>
  <si>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</si>
  <si>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</si>
  <si>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</si>
  <si>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</si>
  <si>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</si>
  <si>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</si>
  <si>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</si>
  <si>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</si>
  <si>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</si>
  <si>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</si>
  <si>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</si>
  <si>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</si>
  <si>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</si>
  <si>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</si>
  <si>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</si>
  <si>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</si>
  <si>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</si>
  <si>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</si>
  <si>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</si>
  <si>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</si>
  <si>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</si>
  <si>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</si>
  <si>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</si>
  <si>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list(NS=45, NT=10)</t>
  </si>
  <si>
    <t>list(d=c(NA,1.5,0.5,0,1.5,1.5,2,2,1.5,1.5), sd=1.5, mu=c(1.5,2,1.5,1,1.5,0,0.5,1,2,0.5,1,0.5,0.5,1,1.5,2,1,1.5,0,1,1,1,0.5,1,0.5,1.5,2,1,1,1.5,0,0.5,1.5,0,1,1.5,0,1,0.5,0.5,1,1.5,0.5,0.5,0.5))</t>
  </si>
  <si>
    <t>list(d=c(NA,1,0.5,1.5,0,1.5,1.5,0.5,0,1.5), sd=1.5, mu=c(1.5,2,2,0,0,0,0,0.5,1,0.5,1,1.5,1,2,1,1.5,0,2,1,1.5,1,0.5,2,0.5,1,1,1.5,0,1.5,0,0,0,1,0.5,0.5,2,1.5,1,0,2,0.5,0.5,0,1.5,1))</t>
  </si>
  <si>
    <t>list(d=c(NA,1,1.5,1.5,1,0.5,0,1,1,1.5), sd=1.5, mu=c(1,0.5,0.5,2,1,1.5,0.5,2,0.5,1.5,1.5,0.5,0,0.5,0.5,1.5,1,1.5,2,1,0.5,0,0,1,0.5,0.5,1,1.5,1,0.5,0.5,1,1.5,1.5,0.5,1,1,0.5,1,0,1.5,1.5,0,0.5,0.5))</t>
  </si>
  <si>
    <t>list(d=c(NA,0.5,0.5,1.5,1,1,2,0.5,2,1.5), var=1.5, mu=c(1.5,2,1,1,1,0.5,1.5,0.5,1,0.5,0.5,1,1.5,0,1,0,1.5,0.5,1.5,1.5,1.5,1,1.5,1.5,1,1.5,0.5,2,2,1,0.5,1,1,1.5,0.5,1.5,1.5,2,2,0,1.5,0.5,1,1.5,0.5))</t>
  </si>
  <si>
    <t>list(d=c(NA,0,1.5,2,0,2,1,1,0.5,2), var=1.5, mu=c(1.5,0.5,1.5,1,1,1,2,0.5,0.5,2,1.5,1.5,0.5,0,1,0.5,1,1,1,0,0,0.5,1.5,0.5,2,0.5,0,1,0.5,0.5,1,2,1.5,1.5,0.5,0,1.5,1.5,2,2,1,0.5,0,1.5,2))</t>
  </si>
  <si>
    <t>list(d=c(NA,1,1,0.5,1.5,0,0.5,0.5,0,1.5), var=2, mu=c(1.5,1,0.5,1.5,1,1,0.5,0.5,1,1,1.5,0.5,2,1.5,0,0,1,1.5,2,1.5,1,2,1,0.5,0,0,1,1,1,1,2,1.5,0,1,0.5,1,0.5,1.5,1,1.5,0,1,0.5,1,0.5))</t>
  </si>
  <si>
    <t>list(d=c(NA,0.5,1,1,1.5,1,0.5,0.5,1.5,1), mu=c(1,0.5,1.5,2,0,1,0.5,1,1,0.5,0,1.5,2,1,1,1,0,1,1,0.5,1.5,0,0.5,1,0.5,1.5,1,1,0.5,1,0,2,1.5,2,1.5,1.5,0.5,0.5,0.5,1.5,1.5,1.5,1,2,2))</t>
  </si>
  <si>
    <t>list(d=c(NA,1.5,0.5,0.5,1,0.5,0.5,0,0.5,1.5), mu=c(0,1.5,0.5,0.5,2,2,1.5,1.5,1,1,2,2,1.5,1.5,0.5,0.5,0.5,0.5,0,1.5,0.5,0.5,2,1.5,0,1.5,1,0.5,1,1,1,2,1,0.5,0,0,1,0.5,1,1,1,1,1.5,0.5,0.5))</t>
  </si>
  <si>
    <t>list(d=c(NA,0.5,2,1,2,1.5,0.5,1.5,1.5,1.5), mu=c(1,0.5,1,2,1.5,1,0,0.5,1,0.5,0,0.5,1,1.5,0.5,1,1.5,2,1,2,0,1,1.5,0.5,1.5,0.5,1.5,0.5,0.5,1,0.5,2,1.5,0.5,0.5,0,1,1.5,1,1.5,2,0.5,1,1.5,0.5))</t>
  </si>
  <si>
    <t>save(C:/WinBUGS Results/Fixed Effect Results 7 6 2017 7 19 12 PM.txt)</t>
  </si>
  <si>
    <t>IBUIVCONT versus INDOIVCONT</t>
  </si>
  <si>
    <t>IBUIVCONT versus INDOTHERS</t>
  </si>
  <si>
    <t>IBUPO versus PARAPO</t>
  </si>
  <si>
    <t>IBUPO versus IBUIVHIGHDOSE</t>
  </si>
  <si>
    <t>INDOIVCONT versus INDOTHERS</t>
  </si>
  <si>
    <t>PARAPO versus IBUIVHIGHDOSE</t>
  </si>
  <si>
    <t>IBUIV versus IBUIVHIGHDOSE</t>
  </si>
  <si>
    <t>IBUIV versus INDOTHERS</t>
  </si>
  <si>
    <t>check(C:/WinBUGS data/Random Effect Model (Vague).txt)</t>
  </si>
  <si>
    <t>inits(1,C:/WinBUGS data/Random Effect Inits (Vague)1.txt)</t>
  </si>
  <si>
    <t>inits(2,C:/WinBUGS data/Random Effect Inits (Vague)2.txt)</t>
  </si>
  <si>
    <t>inits(3,C:/WinBUGS data/Random Effect Inits (Vague)3.txt)</t>
  </si>
  <si>
    <t>save(C:/WinBUGS Results/Random Effect Results (Vague ) 7 6 2017 7 25 59 PM.txt)</t>
  </si>
  <si>
    <t>save(C:/WinBUGS Results/Random Effect Results (Informative) 7 6 2017 7 32 21 PM.txt)</t>
  </si>
  <si>
    <t>list(mu=c(0,1.5,0.5,1.5,1,1.5,2,1,0.5,0.5,1,1,1,0.5,1,0.5,1.5,1.5,1.5,1,1.5,2,0,1.5,1,1,0.5,1,1.5,1.5,1.5,0,1.5,0.5,0.5,1.5,1.5,0.5,0.5,1.5,1.5,1,2,1,0), d= structure(.Data = c(NA,0.5,1.5,1.5,1,0,1,0.5,0.5,1, NA,NA,0.5,1.5,1.5,0.5,1,1.5,0.5,1, NA,NA,NA,0.5,1,1,0.5,0,1,1.5, NA,NA,NA,NA,2,1.5,0.5,1.5,0.5,1, NA,NA,NA,NA,NA,0,0,0.5,0.5,0.5, NA,NA,NA,NA,NA,NA,0.5,1,0.5,1, NA,NA,NA,NA,NA,NA,NA,2,0,1.5, NA,NA,NA,NA,NA,NA,NA,NA,0.5,1, NA,NA,NA,NA,NA,NA,NA,NA,NA,1.5, NA,NA,NA,NA,NA,NA,NA,NA,NA,NA), .Dim =c(10, 10)))</t>
  </si>
  <si>
    <t>list(mu=c(0.5,1,1,0,0,1,2,1,0.5,1,1.5,0,1,2,1,0,2,1.5,1,2,0,0,0.5,0,0.5,1.5,0,1.5,1.5,1.5,0.5,0.5,0.5,2,1.5,1.5,1.5,0.5,0.5,0.5,1.5,0.5,1.5,1,1.5), d= structure(.Data = c(NA,0,0.5,1,0.5,2,0.5,1.5,0,1, NA,NA,0.5,1.5,1,2,1,1.5,1,0.5, NA,NA,NA,2,1,0.5,0.5,1,1,0.5, NA,NA,NA,NA,0,1.5,1,1,0.5,1, NA,NA,NA,NA,NA,1.5,0.5,1.5,0.5,1, NA,NA,NA,NA,NA,NA,1.5,0,0.5,0.5, NA,NA,NA,NA,NA,NA,NA,1,0.5,2, NA,NA,NA,NA,NA,NA,NA,NA,2,1, NA,NA,NA,NA,NA,NA,NA,NA,NA,1.5, NA,NA,NA,NA,NA,NA,NA,NA,NA,NA), .Dim =c(10, 10)))</t>
  </si>
  <si>
    <t>list(mu=c(2,1,1.5,1,1,1,1,0,0,1,0,0.5,1,1.5,1.5,0.5,0.5,0,0.5,2,1.5,2,1,0,1,1,1,1,1,1.5,1.5,2,0.5,0.5,1.5,0.5,2,1,1,0,1.5,1,1,1.5,2), d= structure(.Data = c(NA,1,1,1.5,0.5,0.5,1.5,0.5,1,0, NA,NA,0.5,2,1,0.5,1.5,1.5,1,1, NA,NA,NA,1,0,1.5,1,1.5,0.5,0, NA,NA,NA,NA,1,1.5,1.5,1,1.5,1.5, NA,NA,NA,NA,NA,0.5,2,0.5,0.5,1, NA,NA,NA,NA,NA,NA,1,0,1,1.5, NA,NA,NA,NA,NA,NA,NA,1,0.5,0.5, NA,NA,NA,NA,NA,NA,NA,NA,0.5,1, NA,NA,NA,NA,NA,NA,NA,NA,NA,0, NA,NA,NA,NA,NA,NA,NA,NA,NA,NA), .Dim =c(10, 10)))</t>
  </si>
  <si>
    <t>Random Effects (Vague) Rankogram</t>
  </si>
  <si>
    <t>OR &lt;1 Means the Treatment in Top Left is Better</t>
  </si>
  <si>
    <t>list(mu=c(1,1.5,1,1.5,2,1,0.5,1.5,1,1,0,1,0.5,0.5,0.5,0.5,2,1.5,1.5,0.5,1,1.5,1,1,0,2,1,1,0.5,0.5,0.5,0.5,1,0,0.5,0.5,1.5,2,1.5,1.5,0.5,1,1.5,0,1.5), sd=1, d= structure(.Data = c(NA,0.5,1,0,0.5,1.5,1,1.5,0.5,1, NA,NA,0.5,0.5,0.5,1.5,1.5,1,0.5,0.5, NA,NA,NA,1,1,1,0.5,1.5,0.5,0, NA,NA,NA,NA,0.5,2,2,2,1.5,0.5, NA,NA,NA,NA,NA,2,1.5,1,1,1, NA,NA,NA,NA,NA,NA,2,0.5,1,1.5, NA,NA,NA,NA,NA,NA,NA,1.5,0,0.5, NA,NA,NA,NA,NA,NA,NA,NA,0.5,1, NA,NA,NA,NA,NA,NA,NA,NA,NA,0), .Dim =c(9, 10)))</t>
  </si>
  <si>
    <t>list(mu=c(1.5,1,1.5,2,2,1.5,1.5,0.5,0,0.5,1.5,0,2,0.5,1,1,2,1.5,1,2,1.5,1.5,0,0,0.5,1,1,1,0.5,1,0,1,1,0,1.5,0,1,1,0.5,1,2,1,0,1.5,2), sd=1, d= structure(.Data = c(NA,2,0.5,1.5,2,1,1,1.5,0,2, NA,NA,2,1.5,2,2,1.5,0,0.5,1, NA,NA,NA,2,1.5,0,1,0.5,2,1.5, NA,NA,NA,NA,1.5,0.5,2,1,1.5,1.5, NA,NA,NA,NA,NA,1.5,1,0.5,2,2, NA,NA,NA,NA,NA,NA,1,0,1.5,2, NA,NA,NA,NA,NA,NA,NA,0.5,2,1, NA,NA,NA,NA,NA,NA,NA,NA,0.5,1, NA,NA,NA,NA,NA,NA,NA,NA,NA,0.5), .Dim =c(9, 10)))</t>
  </si>
  <si>
    <t>list(mu=c(0.5,1.5,0.5,0.5,1.5,1,1,0,0.5,2,1,1.5,0.5,0.5,1.5,1,0.5,1,1,0.5,0,1.5,1,1,0.5,0.5,0,2,1,1,1.5,2,1,0.5,0.5,1.5,1.5,0,0.5,1,0.5,1,0.5,2,1.5), sd=1.5, d= structure(.Data = c(NA,1,2,1.5,1,0.5,1,0,0,0.5, NA,NA,1,0,1.5,0.5,2,2,1,2, NA,NA,NA,1.5,1,0,0.5,1,0.5,1.5, NA,NA,NA,NA,1.5,1,1,1,2,1.5, NA,NA,NA,NA,NA,1.5,1.5,0.5,1.5,1, NA,NA,NA,NA,NA,NA,1.5,2,1.5,0, NA,NA,NA,NA,NA,NA,NA,0.5,2,0.5, NA,NA,NA,NA,NA,NA,NA,NA,0.5,1.5, NA,NA,NA,NA,NA,NA,NA,NA,NA,1.5), .Dim =c(9, 10)))</t>
  </si>
  <si>
    <t>save(C:/WinBUGS Results/Inconsistency Random Effect Results (Vague ) 7 6 2017 7 54 50 PM.txt)</t>
  </si>
  <si>
    <t>0.83
(0.07 – 8.22)</t>
  </si>
  <si>
    <t>0.62
(0.09 – 3.15)</t>
  </si>
  <si>
    <t>0.60
(0.06 – 4.36)</t>
  </si>
  <si>
    <t>0.56
(0.07 – 3.34)</t>
  </si>
  <si>
    <t>0.42
(0.06 – 2.13)</t>
  </si>
  <si>
    <t>0.37
(0.06 – 1.66)</t>
  </si>
  <si>
    <t>0.26
(0.02 – 2.48)</t>
  </si>
  <si>
    <t>0.25
(0.04 – 1.21)</t>
  </si>
  <si>
    <t>0.16
(0.02 – 0.87)</t>
  </si>
  <si>
    <t>0.75
(0.15 – 3.72)</t>
  </si>
  <si>
    <t>0.73
(0.08 – 5.80)</t>
  </si>
  <si>
    <t>0.66
(0.10 – 4.24)</t>
  </si>
  <si>
    <t>0.52
(0.08 – 3.15)</t>
  </si>
  <si>
    <t>0.45
(0.08 – 2.65)</t>
  </si>
  <si>
    <t>0.31
(0.02 – 3.63)</t>
  </si>
  <si>
    <t>0.30
(0.05 – 1.72)</t>
  </si>
  <si>
    <t>0.20
(0.03 – 1.18)</t>
  </si>
  <si>
    <t>0.98
(0.23 – 4.01)</t>
  </si>
  <si>
    <t>0.89
(0.35 – 2.36)</t>
  </si>
  <si>
    <t>0.69
(0.30 – 1.52)</t>
  </si>
  <si>
    <t>0.61
(0.30 – 1.16)</t>
  </si>
  <si>
    <t>0.42
(0.06 – 2.65)</t>
  </si>
  <si>
    <t>0.41
(0.21 – 0.75)</t>
  </si>
  <si>
    <t>0.27
(0.12 – 0.57)</t>
  </si>
  <si>
    <t>0.93
(0.17 – 4.90)</t>
  </si>
  <si>
    <t>0.70
(0.17 – 3.02)</t>
  </si>
  <si>
    <t>0.63
(0.17 – 2.22)</t>
  </si>
  <si>
    <t>0.43
(0.05 – 3.62)</t>
  </si>
  <si>
    <t>0.42
(0.11 – 1.63)</t>
  </si>
  <si>
    <t>0.27
(0.06 – 1.19)</t>
  </si>
  <si>
    <t>0.76
(0.24 – 2.45)</t>
  </si>
  <si>
    <t>0.68
(0.23 – 2.04)</t>
  </si>
  <si>
    <t>0.46
(0.05 – 3.43)</t>
  </si>
  <si>
    <t>0.46
(0.16 – 1.29)</t>
  </si>
  <si>
    <t>0.30
(0.10 – 0.91)</t>
  </si>
  <si>
    <t>0.88
(0.42 – 1.82)</t>
  </si>
  <si>
    <t>0.62
(0.08 – 3.77)</t>
  </si>
  <si>
    <t>0.60
(0.29 – 1.21)</t>
  </si>
  <si>
    <t>0.39
(0.15 – 0.94)</t>
  </si>
  <si>
    <t>0.68
(0.11 – 3.73)</t>
  </si>
  <si>
    <t>0.67
(0.40 – 1.14)</t>
  </si>
  <si>
    <t>0.44
(0.21 – 0.91)</t>
  </si>
  <si>
    <t>0.97
(0.17 – 6.29)</t>
  </si>
  <si>
    <t>0.63
(0.10 – 4.36)</t>
  </si>
  <si>
    <t>0.65
(0.38 – 1.13)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</si>
</sst>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ser>
          <c:idx val="0"/>
          <c:order val="0"/>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3.0343675102794698</c:v>
                </c:pt>
              </c:numLit>
            </c:plus>
            <c:minus>
              <c:numLit>
                <c:formatCode>General</c:formatCode>
                <c:ptCount val="1"/>
                <c:pt idx="0">
                  <c:v>0.75268897972312887</c:v>
                </c:pt>
              </c:numLit>
            </c:minus>
          </c:errBars>
          <c:xVal>
            <c:numRef>
              <c:f>'Random Effects (Vague)'!$I$5</c:f>
              <c:numCache>
                <c:formatCode>General</c:formatCode>
                <c:ptCount val="1"/>
                <c:pt idx="0">
                  <c:v>0.97847358121330719</c:v>
                </c:pt>
              </c:numCache>
            </c:numRef>
          </c:xVal>
          <c:yVal>
            <c:numLit>
              <c:formatCode>General</c:formatCode>
              <c:ptCount val="1"/>
              <c:pt idx="0">
                <c:v>1.5</c:v>
              </c:pt>
            </c:numLit>
          </c:yVal>
          <c:smooth val="0"/>
        </c:ser>
        <c:ser>
          <c:idx val="1"/>
          <c:order val="1"/>
          <c:tx>
            <c:v>IBUIVHIGHDOSE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5.3206999999999995</c:v>
                </c:pt>
              </c:numLit>
            </c:plus>
            <c:minus>
              <c:numLit>
                <c:formatCode>General</c:formatCode>
                <c:ptCount val="1"/>
                <c:pt idx="0">
                  <c:v>0.80520000000000003</c:v>
                </c:pt>
              </c:numLit>
            </c:minus>
          </c:errBars>
          <c:xVal>
            <c:numRef>
              <c:f>'Random Effects (Vague)'!$I$6</c:f>
              <c:numCache>
                <c:formatCode>General</c:formatCode>
                <c:ptCount val="1"/>
                <c:pt idx="0">
                  <c:v>0.97130000000000005</c:v>
                </c:pt>
              </c:numCache>
            </c:numRef>
          </c:xVal>
          <c:yVal>
            <c:numLit>
              <c:formatCode>General</c:formatCode>
              <c:ptCount val="1"/>
              <c:pt idx="0">
                <c:v>3.5</c:v>
              </c:pt>
            </c:numLit>
          </c:yVal>
          <c:smooth val="0"/>
        </c:ser>
        <c:ser>
          <c:idx val="2"/>
          <c:order val="2"/>
          <c:tx>
            <c:v>INDOIVCONT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3.9666999999999994</c:v>
                </c:pt>
              </c:numLit>
            </c:plus>
            <c:minus>
              <c:numLit>
                <c:formatCode>General</c:formatCode>
                <c:ptCount val="1"/>
                <c:pt idx="0">
                  <c:v>0.75580000000000003</c:v>
                </c:pt>
              </c:numLit>
            </c:minus>
          </c:errBars>
          <c:xVal>
            <c:numRef>
              <c:f>'Random Effects (Vague)'!$I$7</c:f>
              <c:numCache>
                <c:formatCode>General</c:formatCode>
                <c:ptCount val="1"/>
                <c:pt idx="0">
                  <c:v>0.92830000000000001</c:v>
                </c:pt>
              </c:numCache>
            </c:numRef>
          </c:xVal>
          <c:yVal>
            <c:numLit>
              <c:formatCode>General</c:formatCode>
              <c:ptCount val="1"/>
              <c:pt idx="0">
                <c:v>5.5</c:v>
              </c:pt>
            </c:numLit>
          </c:yVal>
          <c:smooth val="0"/>
        </c:ser>
        <c:ser>
          <c:idx val="3"/>
          <c:order val="3"/>
          <c:tx>
            <c:v>IBUPO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1.4634800665958305</c:v>
                </c:pt>
              </c:numLit>
            </c:plus>
            <c:minus>
              <c:numLit>
                <c:formatCode>General</c:formatCode>
                <c:ptCount val="1"/>
                <c:pt idx="0">
                  <c:v>0.5469908664956904</c:v>
                </c:pt>
              </c:numLit>
            </c:minus>
          </c:errBars>
          <c:xVal>
            <c:numRef>
              <c:f>'Random Effects (Vague)'!$I$8</c:f>
              <c:numCache>
                <c:formatCode>General</c:formatCode>
                <c:ptCount val="1"/>
                <c:pt idx="0">
                  <c:v>0.89445438282647571</c:v>
                </c:pt>
              </c:numCache>
            </c:numRef>
          </c:xVal>
          <c:yVal>
            <c:numLit>
              <c:formatCode>General</c:formatCode>
              <c:ptCount val="1"/>
              <c:pt idx="0">
                <c:v>7.5</c:v>
              </c:pt>
            </c:numLit>
          </c:yVal>
          <c:smooth val="0"/>
        </c:ser>
        <c:ser>
          <c:idx val="4"/>
          <c:order val="4"/>
          <c:tx>
            <c:v>PLAC_NORX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0.93850000000000011</c:v>
                </c:pt>
              </c:numLit>
            </c:plus>
            <c:minus>
              <c:numLit>
                <c:formatCode>General</c:formatCode>
                <c:ptCount val="1"/>
                <c:pt idx="0">
                  <c:v>0.45629999999999993</c:v>
                </c:pt>
              </c:numLit>
            </c:minus>
          </c:errBars>
          <c:xVal>
            <c:numRef>
              <c:f>'Random Effects (Vague)'!$I$9</c:f>
              <c:numCache>
                <c:formatCode>General</c:formatCode>
                <c:ptCount val="1"/>
                <c:pt idx="0">
                  <c:v>0.87949999999999995</c:v>
                </c:pt>
              </c:numCache>
            </c:numRef>
          </c:xVal>
          <c:yVal>
            <c:numLit>
              <c:formatCode>General</c:formatCode>
              <c:ptCount val="1"/>
              <c:pt idx="0">
                <c:v>9.5</c:v>
              </c:pt>
            </c:numLit>
          </c:yVal>
          <c:smooth val="0"/>
        </c:ser>
        <c:ser>
          <c:idx val="5"/>
          <c:order val="5"/>
          <c:tx>
            <c:v>IBUIVCONT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7.3858999999999995</c:v>
                </c:pt>
              </c:numLit>
            </c:plus>
            <c:minus>
              <c:numLit>
                <c:formatCode>General</c:formatCode>
                <c:ptCount val="1"/>
                <c:pt idx="0">
                  <c:v>0.7587299999999999</c:v>
                </c:pt>
              </c:numLit>
            </c:minus>
          </c:errBars>
          <c:xVal>
            <c:numRef>
              <c:f>'Random Effects (Vague)'!$I$10</c:f>
              <c:numCache>
                <c:formatCode>General</c:formatCode>
                <c:ptCount val="1"/>
                <c:pt idx="0">
                  <c:v>0.82909999999999995</c:v>
                </c:pt>
              </c:numCache>
            </c:numRef>
          </c:xVal>
          <c:yVal>
            <c:numLit>
              <c:formatCode>General</c:formatCode>
              <c:ptCount val="1"/>
              <c:pt idx="0">
                <c:v>11.5</c:v>
              </c:pt>
            </c:numLit>
          </c:yVal>
          <c:smooth val="0"/>
        </c:ser>
        <c:ser>
          <c:idx val="6"/>
          <c:order val="6"/>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1.6828405406249072</c:v>
                </c:pt>
              </c:numLit>
            </c:plus>
            <c:minus>
              <c:numLit>
                <c:formatCode>General</c:formatCode>
                <c:ptCount val="1"/>
                <c:pt idx="0">
                  <c:v>0.52407626519065298</c:v>
                </c:pt>
              </c:numLit>
            </c:minus>
          </c:errBars>
          <c:xVal>
            <c:numRef>
              <c:f>'Random Effects (Vague)'!$I$11</c:f>
              <c:numCache>
                <c:formatCode>General</c:formatCode>
                <c:ptCount val="1"/>
                <c:pt idx="0">
                  <c:v>0.76394194041252872</c:v>
                </c:pt>
              </c:numCache>
            </c:numRef>
          </c:xVal>
          <c:yVal>
            <c:numLit>
              <c:formatCode>General</c:formatCode>
              <c:ptCount val="1"/>
              <c:pt idx="0">
                <c:v>13.5</c:v>
              </c:pt>
            </c:numLit>
          </c:yVal>
          <c:smooth val="0"/>
        </c:ser>
        <c:ser>
          <c:idx val="7"/>
          <c:order val="7"/>
          <c:tx>
            <c:v>IBUPOHIGHDOSE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2.9710999999999999</c:v>
                </c:pt>
              </c:numLit>
            </c:plus>
            <c:minus>
              <c:numLit>
                <c:formatCode>General</c:formatCode>
                <c:ptCount val="1"/>
                <c:pt idx="0">
                  <c:v>0.60570000000000002</c:v>
                </c:pt>
              </c:numLit>
            </c:minus>
          </c:errBars>
          <c:xVal>
            <c:numRef>
              <c:f>'Random Effects (Vague)'!$I$12</c:f>
              <c:numCache>
                <c:formatCode>General</c:formatCode>
                <c:ptCount val="1"/>
                <c:pt idx="0">
                  <c:v>0.75090000000000001</c:v>
                </c:pt>
              </c:numCache>
            </c:numRef>
          </c:xVal>
          <c:yVal>
            <c:numLit>
              <c:formatCode>General</c:formatCode>
              <c:ptCount val="1"/>
              <c:pt idx="0">
                <c:v>15.5</c:v>
              </c:pt>
            </c:numLit>
          </c:yVal>
          <c:smooth val="0"/>
        </c:ser>
        <c:ser>
          <c:idx val="8"/>
          <c:order val="8"/>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5.0673262072109466</c:v>
                </c:pt>
              </c:numLit>
            </c:plus>
            <c:minus>
              <c:numLit>
                <c:formatCode>General</c:formatCode>
                <c:ptCount val="1"/>
                <c:pt idx="0">
                  <c:v>0.65008135150670776</c:v>
                </c:pt>
              </c:numLit>
            </c:minus>
          </c:errBars>
          <c:xVal>
            <c:numRef>
              <c:f>'Random Effects (Vague)'!$I$13</c:f>
              <c:numCache>
                <c:formatCode>General</c:formatCode>
                <c:ptCount val="1"/>
                <c:pt idx="0">
                  <c:v>0.73313782991202336</c:v>
                </c:pt>
              </c:numCache>
            </c:numRef>
          </c:xVal>
          <c:yVal>
            <c:numLit>
              <c:formatCode>General</c:formatCode>
              <c:ptCount val="1"/>
              <c:pt idx="0">
                <c:v>17.5</c:v>
              </c:pt>
            </c:numLit>
          </c:yVal>
          <c:smooth val="0"/>
        </c:ser>
        <c:ser>
          <c:idx val="9"/>
          <c:order val="9"/>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2.3172213967059365</c:v>
                </c:pt>
              </c:numLit>
            </c:plus>
            <c:minus>
              <c:numLit>
                <c:formatCode>General</c:formatCode>
                <c:ptCount val="1"/>
                <c:pt idx="0">
                  <c:v>0.53466235782156524</c:v>
                </c:pt>
              </c:numLit>
            </c:minus>
          </c:errBars>
          <c:xVal>
            <c:numRef>
              <c:f>'Random Effects (Vague)'!$I$14</c:f>
              <c:numCache>
                <c:formatCode>0.0000</c:formatCode>
                <c:ptCount val="1"/>
                <c:pt idx="0">
                  <c:v>0.70028011204481799</c:v>
                </c:pt>
              </c:numCache>
            </c:numRef>
          </c:xVal>
          <c:yVal>
            <c:numLit>
              <c:formatCode>General</c:formatCode>
              <c:ptCount val="1"/>
              <c:pt idx="0">
                <c:v>19.5</c:v>
              </c:pt>
            </c:numLit>
          </c:yVal>
          <c:smooth val="0"/>
        </c:ser>
        <c:ser>
          <c:idx val="10"/>
          <c:order val="10"/>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0.8292804589100885</c:v>
                </c:pt>
              </c:numLit>
            </c:plus>
            <c:minus>
              <c:numLit>
                <c:formatCode>General</c:formatCode>
                <c:ptCount val="1"/>
                <c:pt idx="0">
                  <c:v>0.38860589571823995</c:v>
                </c:pt>
              </c:numLit>
            </c:minus>
          </c:errBars>
          <c:xVal>
            <c:numRef>
              <c:f>'Random Effects (Vague)'!$I$15</c:f>
              <c:numCache>
                <c:formatCode>General</c:formatCode>
                <c:ptCount val="1"/>
                <c:pt idx="0">
                  <c:v>0.68587105624142664</c:v>
                </c:pt>
              </c:numCache>
            </c:numRef>
          </c:xVal>
          <c:yVal>
            <c:numLit>
              <c:formatCode>General</c:formatCode>
              <c:ptCount val="1"/>
              <c:pt idx="0">
                <c:v>21.5</c:v>
              </c:pt>
            </c:numLit>
          </c:yVal>
          <c:smooth val="0"/>
        </c:ser>
        <c:ser>
          <c:idx val="11"/>
          <c:order val="11"/>
          <c:tx>
            <c:v>IBUIV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3.0491984408728658</c:v>
                </c:pt>
              </c:numLit>
            </c:plus>
            <c:minus>
              <c:numLit>
                <c:formatCode>General</c:formatCode>
                <c:ptCount val="1"/>
                <c:pt idx="0">
                  <c:v>0.57311220683813313</c:v>
                </c:pt>
              </c:numLit>
            </c:minus>
          </c:errBars>
          <c:xVal>
            <c:numRef>
              <c:f>'Random Effects (Vague)'!$I$16</c:f>
              <c:numCache>
                <c:formatCode>General</c:formatCode>
                <c:ptCount val="1"/>
                <c:pt idx="0">
                  <c:v>0.68493150684931503</c:v>
                </c:pt>
              </c:numCache>
            </c:numRef>
          </c:xVal>
          <c:yVal>
            <c:numLit>
              <c:formatCode>General</c:formatCode>
              <c:ptCount val="1"/>
              <c:pt idx="0">
                <c:v>23.5</c:v>
              </c:pt>
            </c:numLit>
          </c:yVal>
          <c:smooth val="0"/>
        </c:ser>
        <c:ser>
          <c:idx val="12"/>
          <c:order val="12"/>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1.3617999999999997</c:v>
                </c:pt>
              </c:numLit>
            </c:plus>
            <c:minus>
              <c:numLit>
                <c:formatCode>General</c:formatCode>
                <c:ptCount val="1"/>
                <c:pt idx="0">
                  <c:v>0.44690000000000002</c:v>
                </c:pt>
              </c:numLit>
            </c:minus>
          </c:errBars>
          <c:xVal>
            <c:numRef>
              <c:f>'Random Effects (Vague)'!$I$17</c:f>
              <c:numCache>
                <c:formatCode>General</c:formatCode>
                <c:ptCount val="1"/>
                <c:pt idx="0">
                  <c:v>0.67620000000000002</c:v>
                </c:pt>
              </c:numCache>
            </c:numRef>
          </c:xVal>
          <c:yVal>
            <c:numLit>
              <c:formatCode>General</c:formatCode>
              <c:ptCount val="1"/>
              <c:pt idx="0">
                <c:v>25.5</c:v>
              </c:pt>
            </c:numLit>
          </c:yVal>
          <c:smooth val="0"/>
        </c:ser>
        <c:ser>
          <c:idx val="13"/>
          <c:order val="13"/>
          <c:tx>
            <c:v>IBUIV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0.46509999999999996</c:v>
                </c:pt>
              </c:numLit>
            </c:plus>
            <c:minus>
              <c:numLit>
                <c:formatCode>General</c:formatCode>
                <c:ptCount val="1"/>
                <c:pt idx="0">
                  <c:v>0.27590000000000003</c:v>
                </c:pt>
              </c:numLit>
            </c:minus>
          </c:errBars>
          <c:xVal>
            <c:numRef>
              <c:f>'Random Effects (Vague)'!$I$18</c:f>
              <c:numCache>
                <c:formatCode>General</c:formatCode>
                <c:ptCount val="1"/>
                <c:pt idx="0">
                  <c:v>0.67390000000000005</c:v>
                </c:pt>
              </c:numCache>
            </c:numRef>
          </c:xVal>
          <c:yVal>
            <c:numLit>
              <c:formatCode>General</c:formatCode>
              <c:ptCount val="1"/>
              <c:pt idx="0">
                <c:v>27.5</c:v>
              </c:pt>
            </c:numLit>
          </c:yVal>
          <c:smooth val="0"/>
        </c:ser>
        <c:ser>
          <c:idx val="14"/>
          <c:order val="14"/>
          <c:tx>
            <c:v>IBUPOHIGHDOSE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3.5800999999999998</c:v>
                </c:pt>
              </c:numLit>
            </c:plus>
            <c:minus>
              <c:numLit>
                <c:formatCode>General</c:formatCode>
                <c:ptCount val="1"/>
                <c:pt idx="0">
                  <c:v>0.5615</c:v>
                </c:pt>
              </c:numLit>
            </c:minus>
          </c:errBars>
          <c:xVal>
            <c:numRef>
              <c:f>'Random Effects (Vague)'!$I$19</c:f>
              <c:numCache>
                <c:formatCode>General</c:formatCode>
                <c:ptCount val="1"/>
                <c:pt idx="0">
                  <c:v>0.66190000000000004</c:v>
                </c:pt>
              </c:numCache>
            </c:numRef>
          </c:xVal>
          <c:yVal>
            <c:numLit>
              <c:formatCode>General</c:formatCode>
              <c:ptCount val="1"/>
              <c:pt idx="0">
                <c:v>29.5</c:v>
              </c:pt>
            </c:numLit>
          </c:yVal>
          <c:smooth val="0"/>
        </c:ser>
        <c:ser>
          <c:idx val="15"/>
          <c:order val="15"/>
          <c:tx>
            <c:v>INDOIV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0.47990502007873437</c:v>
                </c:pt>
              </c:numLit>
            </c:plus>
            <c:minus>
              <c:numLit>
                <c:formatCode>General</c:formatCode>
                <c:ptCount val="1"/>
                <c:pt idx="0">
                  <c:v>0.27100748685723858</c:v>
                </c:pt>
              </c:numLit>
            </c:minus>
          </c:errBars>
          <c:xVal>
            <c:numRef>
              <c:f>'Random Effects (Vague)'!$I$20</c:f>
              <c:numCache>
                <c:formatCode>General</c:formatCode>
                <c:ptCount val="1"/>
                <c:pt idx="0">
                  <c:v>0.64850843060959795</c:v>
                </c:pt>
              </c:numCache>
            </c:numRef>
          </c:xVal>
          <c:yVal>
            <c:numLit>
              <c:formatCode>General</c:formatCode>
              <c:ptCount val="1"/>
              <c:pt idx="0">
                <c:v>31.5</c:v>
              </c:pt>
            </c:numLit>
          </c:yVal>
          <c:smooth val="0"/>
        </c:ser>
        <c:ser>
          <c:idx val="16"/>
          <c:order val="16"/>
          <c:tx>
            <c:v>INDOIVCONT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1.5878999999999999</c:v>
                </c:pt>
              </c:numLit>
            </c:plus>
            <c:minus>
              <c:numLit>
                <c:formatCode>General</c:formatCode>
                <c:ptCount val="1"/>
                <c:pt idx="0">
                  <c:v>0.45669999999999999</c:v>
                </c:pt>
              </c:numLit>
            </c:minus>
          </c:errBars>
          <c:xVal>
            <c:numRef>
              <c:f>'Random Effects (Vague)'!$I$21</c:f>
              <c:numCache>
                <c:formatCode>General</c:formatCode>
                <c:ptCount val="1"/>
                <c:pt idx="0">
                  <c:v>0.63009999999999999</c:v>
                </c:pt>
              </c:numCache>
            </c:numRef>
          </c:xVal>
          <c:yVal>
            <c:numLit>
              <c:formatCode>General</c:formatCode>
              <c:ptCount val="1"/>
              <c:pt idx="0">
                <c:v>33.5</c:v>
              </c:pt>
            </c:numLit>
          </c:yVal>
          <c:smooth val="0"/>
        </c:ser>
        <c:ser>
          <c:idx val="17"/>
          <c:order val="17"/>
          <c:tx>
            <c:v>IBUIVHIGHDOSE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3.7294749856706471</c:v>
                </c:pt>
              </c:numLit>
            </c:plus>
            <c:minus>
              <c:numLit>
                <c:formatCode>General</c:formatCode>
                <c:ptCount val="1"/>
                <c:pt idx="0">
                  <c:v>0.53235193846742479</c:v>
                </c:pt>
              </c:numLit>
            </c:minus>
          </c:errBars>
          <c:xVal>
            <c:numRef>
              <c:f>'Random Effects (Vague)'!$I$22</c:f>
              <c:numCache>
                <c:formatCode>0.0000</c:formatCode>
                <c:ptCount val="1"/>
                <c:pt idx="0">
                  <c:v>0.62972292191435764</c:v>
                </c:pt>
              </c:numCache>
            </c:numRef>
          </c:xVal>
          <c:yVal>
            <c:numLit>
              <c:formatCode>General</c:formatCode>
              <c:ptCount val="1"/>
              <c:pt idx="0">
                <c:v>35.5</c:v>
              </c:pt>
            </c:numLit>
          </c:yVal>
          <c:smooth val="0"/>
        </c:ser>
        <c:ser>
          <c:idx val="18"/>
          <c:order val="18"/>
          <c:tx>
            <c:v>IBUIVCONT versus IBUPO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2.5373999999999999</c:v>
                </c:pt>
              </c:numLit>
            </c:plus>
            <c:minus>
              <c:numLit>
                <c:formatCode>General</c:formatCode>
                <c:ptCount val="1"/>
                <c:pt idx="0">
                  <c:v>0.52218000000000009</c:v>
                </c:pt>
              </c:numLit>
            </c:minus>
          </c:errBars>
          <c:xVal>
            <c:numRef>
              <c:f>'Random Effects (Vague)'!$I$23</c:f>
              <c:numCache>
                <c:formatCode>General</c:formatCode>
                <c:ptCount val="1"/>
                <c:pt idx="0">
                  <c:v>0.61560000000000004</c:v>
                </c:pt>
              </c:numCache>
            </c:numRef>
          </c:xVal>
          <c:yVal>
            <c:numLit>
              <c:formatCode>General</c:formatCode>
              <c:ptCount val="1"/>
              <c:pt idx="0">
                <c:v>37.5</c:v>
              </c:pt>
            </c:numLit>
          </c:yVal>
          <c:smooth val="0"/>
        </c:ser>
        <c:ser>
          <c:idx val="19"/>
          <c:order val="19"/>
          <c:tx>
            <c:v>PLAC_NORX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3.1539999999999999</c:v>
                </c:pt>
              </c:numLit>
            </c:plus>
            <c:minus>
              <c:numLit>
                <c:formatCode>General</c:formatCode>
                <c:ptCount val="1"/>
                <c:pt idx="0">
                  <c:v>0.53127999999999997</c:v>
                </c:pt>
              </c:numLit>
            </c:minus>
          </c:errBars>
          <c:xVal>
            <c:numRef>
              <c:f>'Random Effects (Vague)'!$I$24</c:f>
              <c:numCache>
                <c:formatCode>0.0000</c:formatCode>
                <c:ptCount val="1"/>
                <c:pt idx="0">
                  <c:v>0.61499999999999999</c:v>
                </c:pt>
              </c:numCache>
            </c:numRef>
          </c:xVal>
          <c:yVal>
            <c:numLit>
              <c:formatCode>General</c:formatCode>
              <c:ptCount val="1"/>
              <c:pt idx="0">
                <c:v>39.5</c:v>
              </c:pt>
            </c:numLit>
          </c:yVal>
          <c:smooth val="0"/>
        </c:ser>
        <c:ser>
          <c:idx val="20"/>
          <c:order val="20"/>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0.55230000000000001</c:v>
                </c:pt>
              </c:numLit>
            </c:plus>
            <c:minus>
              <c:numLit>
                <c:formatCode>General</c:formatCode>
                <c:ptCount val="1"/>
                <c:pt idx="0">
                  <c:v>0.31360000000000005</c:v>
                </c:pt>
              </c:numLit>
            </c:minus>
          </c:errBars>
          <c:xVal>
            <c:numRef>
              <c:f>'Random Effects (Vague)'!$I$25</c:f>
              <c:numCache>
                <c:formatCode>General</c:formatCode>
                <c:ptCount val="1"/>
                <c:pt idx="0">
                  <c:v>0.61070000000000002</c:v>
                </c:pt>
              </c:numCache>
            </c:numRef>
          </c:xVal>
          <c:yVal>
            <c:numLit>
              <c:formatCode>General</c:formatCode>
              <c:ptCount val="1"/>
              <c:pt idx="0">
                <c:v>41.5</c:v>
              </c:pt>
            </c:numLit>
          </c:yVal>
          <c:smooth val="0"/>
        </c:ser>
        <c:ser>
          <c:idx val="21"/>
          <c:order val="21"/>
          <c:tx>
            <c:v>PLAC_NORX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0.61260000000000003</c:v>
                </c:pt>
              </c:numLit>
            </c:plus>
            <c:minus>
              <c:numLit>
                <c:formatCode>General</c:formatCode>
                <c:ptCount val="1"/>
                <c:pt idx="0">
                  <c:v>0.31450000000000006</c:v>
                </c:pt>
              </c:numLit>
            </c:minus>
          </c:errBars>
          <c:xVal>
            <c:numRef>
              <c:f>'Random Effects (Vague)'!$I$26</c:f>
              <c:numCache>
                <c:formatCode>General</c:formatCode>
                <c:ptCount val="1"/>
                <c:pt idx="0">
                  <c:v>0.60040000000000004</c:v>
                </c:pt>
              </c:numCache>
            </c:numRef>
          </c:xVal>
          <c:yVal>
            <c:numLit>
              <c:formatCode>General</c:formatCode>
              <c:ptCount val="1"/>
              <c:pt idx="0">
                <c:v>43.5</c:v>
              </c:pt>
            </c:numLit>
          </c:yVal>
          <c:smooth val="0"/>
        </c:ser>
        <c:ser>
          <c:idx val="22"/>
          <c:order val="22"/>
          <c:tx>
            <c:v>IBUIVCONT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3.7633703657457964</c:v>
                </c:pt>
              </c:numLit>
            </c:plus>
            <c:minus>
              <c:numLit>
                <c:formatCode>General</c:formatCode>
                <c:ptCount val="1"/>
                <c:pt idx="0">
                  <c:v>0.53522863120143449</c:v>
                </c:pt>
              </c:numLit>
            </c:minus>
          </c:errBars>
          <c:xVal>
            <c:numRef>
              <c:f>'Random Effects (Vague)'!$I$27</c:f>
              <c:numCache>
                <c:formatCode>0.0000</c:formatCode>
                <c:ptCount val="1"/>
                <c:pt idx="0">
                  <c:v>0.59772863120143449</c:v>
                </c:pt>
              </c:numCache>
            </c:numRef>
          </c:xVal>
          <c:yVal>
            <c:numLit>
              <c:formatCode>General</c:formatCode>
              <c:ptCount val="1"/>
              <c:pt idx="0">
                <c:v>45.5</c:v>
              </c:pt>
            </c:numLit>
          </c:yVal>
          <c:smooth val="0"/>
        </c:ser>
        <c:ser>
          <c:idx val="23"/>
          <c:order val="23"/>
          <c:tx>
            <c:v>IBUIVCONT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2.7757000000000001</c:v>
                </c:pt>
              </c:numLit>
            </c:plus>
            <c:minus>
              <c:numLit>
                <c:formatCode>General</c:formatCode>
                <c:ptCount val="1"/>
                <c:pt idx="0">
                  <c:v>0.49009000000000003</c:v>
                </c:pt>
              </c:numLit>
            </c:minus>
          </c:errBars>
          <c:xVal>
            <c:numRef>
              <c:f>'Random Effects (Vague)'!$I$28</c:f>
              <c:numCache>
                <c:formatCode>0.0000</c:formatCode>
                <c:ptCount val="1"/>
                <c:pt idx="0">
                  <c:v>0.56330000000000002</c:v>
                </c:pt>
              </c:numCache>
            </c:numRef>
          </c:xVal>
          <c:yVal>
            <c:numLit>
              <c:formatCode>General</c:formatCode>
              <c:ptCount val="1"/>
              <c:pt idx="0">
                <c:v>47.5</c:v>
              </c:pt>
            </c:numLit>
          </c:yVal>
          <c:smooth val="0"/>
        </c:ser>
        <c:ser>
          <c:idx val="24"/>
          <c:order val="24"/>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2.6369757888068133</c:v>
                </c:pt>
              </c:numLit>
            </c:plus>
            <c:minus>
              <c:numLit>
                <c:formatCode>General</c:formatCode>
                <c:ptCount val="1"/>
                <c:pt idx="0">
                  <c:v>0.43688809348352459</c:v>
                </c:pt>
              </c:numLit>
            </c:minus>
          </c:errBars>
          <c:xVal>
            <c:numRef>
              <c:f>'Random Effects (Vague)'!$I$29</c:f>
              <c:numCache>
                <c:formatCode>0.0000</c:formatCode>
                <c:ptCount val="1"/>
                <c:pt idx="0">
                  <c:v>0.51759834368530022</c:v>
                </c:pt>
              </c:numCache>
            </c:numRef>
          </c:xVal>
          <c:yVal>
            <c:numLit>
              <c:formatCode>General</c:formatCode>
              <c:ptCount val="1"/>
              <c:pt idx="0">
                <c:v>49.5</c:v>
              </c:pt>
            </c:numLit>
          </c:yVal>
          <c:smooth val="0"/>
        </c:ser>
        <c:ser>
          <c:idx val="25"/>
          <c:order val="25"/>
          <c:tx>
            <c:v>PARAPO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2.9654309091719591</c:v>
                </c:pt>
              </c:numLit>
            </c:plus>
            <c:minus>
              <c:numLit>
                <c:formatCode>General</c:formatCode>
                <c:ptCount val="1"/>
                <c:pt idx="0">
                  <c:v>0.40783384550799573</c:v>
                </c:pt>
              </c:numLit>
            </c:minus>
          </c:errBars>
          <c:xVal>
            <c:numRef>
              <c:f>'Random Effects (Vague)'!$I$30</c:f>
              <c:numCache>
                <c:formatCode>General</c:formatCode>
                <c:ptCount val="1"/>
                <c:pt idx="0">
                  <c:v>0.46274872744099954</c:v>
                </c:pt>
              </c:numCache>
            </c:numRef>
          </c:xVal>
          <c:yVal>
            <c:numLit>
              <c:formatCode>General</c:formatCode>
              <c:ptCount val="1"/>
              <c:pt idx="0">
                <c:v>51.5</c:v>
              </c:pt>
            </c:numLit>
          </c:yVal>
          <c:smooth val="0"/>
        </c:ser>
        <c:ser>
          <c:idx val="26"/>
          <c:order val="26"/>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0.82820000000000005</c:v>
                </c:pt>
              </c:numLit>
            </c:plus>
            <c:minus>
              <c:numLit>
                <c:formatCode>General</c:formatCode>
                <c:ptCount val="1"/>
                <c:pt idx="0">
                  <c:v>0.30220000000000002</c:v>
                </c:pt>
              </c:numLit>
            </c:minus>
          </c:errBars>
          <c:xVal>
            <c:numRef>
              <c:f>'Random Effects (Vague)'!$I$31</c:f>
              <c:numCache>
                <c:formatCode>General</c:formatCode>
                <c:ptCount val="1"/>
                <c:pt idx="0">
                  <c:v>0.45979999999999999</c:v>
                </c:pt>
              </c:numCache>
            </c:numRef>
          </c:xVal>
          <c:yVal>
            <c:numLit>
              <c:formatCode>General</c:formatCode>
              <c:ptCount val="1"/>
              <c:pt idx="0">
                <c:v>53.5</c:v>
              </c:pt>
            </c:numLit>
          </c:yVal>
          <c:smooth val="0"/>
        </c:ser>
        <c:ser>
          <c:idx val="27"/>
          <c:order val="27"/>
          <c:tx>
            <c:v>IBUPOHIGHDOSE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2.1987000000000001</c:v>
                </c:pt>
              </c:numLit>
            </c:plus>
            <c:minus>
              <c:numLit>
                <c:formatCode>General</c:formatCode>
                <c:ptCount val="1"/>
                <c:pt idx="0">
                  <c:v>0.37035999999999997</c:v>
                </c:pt>
              </c:numLit>
            </c:minus>
          </c:errBars>
          <c:xVal>
            <c:numRef>
              <c:f>'Random Effects (Vague)'!$I$32</c:f>
              <c:numCache>
                <c:formatCode>General</c:formatCode>
                <c:ptCount val="1"/>
                <c:pt idx="0">
                  <c:v>0.44629999999999997</c:v>
                </c:pt>
              </c:numCache>
            </c:numRef>
          </c:xVal>
          <c:yVal>
            <c:numLit>
              <c:formatCode>General</c:formatCode>
              <c:ptCount val="1"/>
              <c:pt idx="0">
                <c:v>55.5</c:v>
              </c:pt>
            </c:numLit>
          </c:yVal>
          <c:smooth val="0"/>
        </c:ser>
        <c:ser>
          <c:idx val="28"/>
          <c:order val="28"/>
          <c:tx>
            <c:v>IBUIV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0.47501696489160322</c:v>
                </c:pt>
              </c:numLit>
            </c:plus>
            <c:minus>
              <c:numLit>
                <c:formatCode>General</c:formatCode>
                <c:ptCount val="1"/>
                <c:pt idx="0">
                  <c:v>0.22782963959434549</c:v>
                </c:pt>
              </c:numLit>
            </c:minus>
          </c:errBars>
          <c:xVal>
            <c:numRef>
              <c:f>'Random Effects (Vague)'!$I$33</c:f>
              <c:numCache>
                <c:formatCode>General</c:formatCode>
                <c:ptCount val="1"/>
                <c:pt idx="0">
                  <c:v>0.4357298474945534</c:v>
                </c:pt>
              </c:numCache>
            </c:numRef>
          </c:xVal>
          <c:yVal>
            <c:numLit>
              <c:formatCode>General</c:formatCode>
              <c:ptCount val="1"/>
              <c:pt idx="0">
                <c:v>57.5</c:v>
              </c:pt>
            </c:numLit>
          </c:yVal>
          <c:smooth val="0"/>
        </c:ser>
        <c:ser>
          <c:idx val="29"/>
          <c:order val="29"/>
          <c:tx>
            <c:v>INDOIVCONT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3.1952000000000003</c:v>
                </c:pt>
              </c:numLit>
            </c:plus>
            <c:minus>
              <c:numLit>
                <c:formatCode>General</c:formatCode>
                <c:ptCount val="1"/>
                <c:pt idx="0">
                  <c:v>0.37984000000000001</c:v>
                </c:pt>
              </c:numLit>
            </c:minus>
          </c:errBars>
          <c:xVal>
            <c:numRef>
              <c:f>'Random Effects (Vague)'!$I$34</c:f>
              <c:numCache>
                <c:formatCode>General</c:formatCode>
                <c:ptCount val="1"/>
                <c:pt idx="0">
                  <c:v>0.42880000000000001</c:v>
                </c:pt>
              </c:numCache>
            </c:numRef>
          </c:xVal>
          <c:yVal>
            <c:numLit>
              <c:formatCode>General</c:formatCode>
              <c:ptCount val="1"/>
              <c:pt idx="0">
                <c:v>59.5</c:v>
              </c:pt>
            </c:numLit>
          </c:yVal>
          <c:smooth val="0"/>
        </c:ser>
        <c:ser>
          <c:idx val="30"/>
          <c:order val="30"/>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1.7026663621745786</c:v>
                </c:pt>
              </c:numLit>
            </c:plus>
            <c:minus>
              <c:numLit>
                <c:formatCode>General</c:formatCode>
                <c:ptCount val="1"/>
                <c:pt idx="0">
                  <c:v>0.36197640910551626</c:v>
                </c:pt>
              </c:numLit>
            </c:minus>
          </c:errBars>
          <c:xVal>
            <c:numRef>
              <c:f>'Random Effects (Vague)'!$I$35</c:f>
              <c:numCache>
                <c:formatCode>General</c:formatCode>
                <c:ptCount val="1"/>
                <c:pt idx="0">
                  <c:v>0.42408821034775229</c:v>
                </c:pt>
              </c:numCache>
            </c:numRef>
          </c:xVal>
          <c:yVal>
            <c:numLit>
              <c:formatCode>General</c:formatCode>
              <c:ptCount val="1"/>
              <c:pt idx="0">
                <c:v>61.5</c:v>
              </c:pt>
            </c:numLit>
          </c:yVal>
          <c:smooth val="0"/>
        </c:ser>
        <c:ser>
          <c:idx val="31"/>
          <c:order val="31"/>
          <c:tx>
            <c:v>IBUPO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2.2323529986446906</c:v>
                </c:pt>
              </c:numLit>
            </c:plus>
            <c:minus>
              <c:numLit>
                <c:formatCode>General</c:formatCode>
                <c:ptCount val="1"/>
                <c:pt idx="0">
                  <c:v>0.35687928089291343</c:v>
                </c:pt>
              </c:numLit>
            </c:minus>
          </c:errBars>
          <c:xVal>
            <c:numRef>
              <c:f>'Random Effects (Vague)'!$I$36</c:f>
              <c:numCache>
                <c:formatCode>0.0000</c:formatCode>
                <c:ptCount val="1"/>
                <c:pt idx="0">
                  <c:v>0.41876046901172531</c:v>
                </c:pt>
              </c:numCache>
            </c:numRef>
          </c:xVal>
          <c:yVal>
            <c:numLit>
              <c:formatCode>General</c:formatCode>
              <c:ptCount val="1"/>
              <c:pt idx="0">
                <c:v>63.5</c:v>
              </c:pt>
            </c:numLit>
          </c:yVal>
          <c:smooth val="0"/>
        </c:ser>
        <c:ser>
          <c:idx val="32"/>
          <c:order val="32"/>
          <c:tx>
            <c:v>INDOIVCONT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1.2116</c:v>
                </c:pt>
              </c:numLit>
            </c:plus>
            <c:minus>
              <c:numLit>
                <c:formatCode>General</c:formatCode>
                <c:ptCount val="1"/>
                <c:pt idx="0">
                  <c:v>0.31069999999999998</c:v>
                </c:pt>
              </c:numLit>
            </c:minus>
          </c:errBars>
          <c:xVal>
            <c:numRef>
              <c:f>'Random Effects (Vague)'!$I$37</c:f>
              <c:numCache>
                <c:formatCode>General</c:formatCode>
                <c:ptCount val="1"/>
                <c:pt idx="0">
                  <c:v>0.41739999999999999</c:v>
                </c:pt>
              </c:numCache>
            </c:numRef>
          </c:xVal>
          <c:yVal>
            <c:numLit>
              <c:formatCode>General</c:formatCode>
              <c:ptCount val="1"/>
              <c:pt idx="0">
                <c:v>65.5</c:v>
              </c:pt>
            </c:numLit>
          </c:yVal>
          <c:smooth val="0"/>
        </c:ser>
        <c:ser>
          <c:idx val="33"/>
          <c:order val="33"/>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0.34259999999999996</c:v>
                </c:pt>
              </c:numLit>
            </c:plus>
            <c:minus>
              <c:numLit>
                <c:formatCode>General</c:formatCode>
                <c:ptCount val="1"/>
                <c:pt idx="0">
                  <c:v>0.20210000000000003</c:v>
                </c:pt>
              </c:numLit>
            </c:minus>
          </c:errBars>
          <c:xVal>
            <c:numRef>
              <c:f>'Random Effects (Vague)'!$I$38</c:f>
              <c:numCache>
                <c:formatCode>General</c:formatCode>
                <c:ptCount val="1"/>
                <c:pt idx="0">
                  <c:v>0.40960000000000002</c:v>
                </c:pt>
              </c:numCache>
            </c:numRef>
          </c:xVal>
          <c:yVal>
            <c:numLit>
              <c:formatCode>General</c:formatCode>
              <c:ptCount val="1"/>
              <c:pt idx="0">
                <c:v>67.5</c:v>
              </c:pt>
            </c:numLit>
          </c:yVal>
          <c:smooth val="0"/>
        </c:ser>
        <c:ser>
          <c:idx val="34"/>
          <c:order val="34"/>
          <c:tx>
            <c:v>PLAC_NORX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0.55479999999999996</c:v>
                </c:pt>
              </c:numLit>
            </c:plus>
            <c:minus>
              <c:numLit>
                <c:formatCode>General</c:formatCode>
                <c:ptCount val="1"/>
                <c:pt idx="0">
                  <c:v>0.23770000000000002</c:v>
                </c:pt>
              </c:numLit>
            </c:minus>
          </c:errBars>
          <c:xVal>
            <c:numRef>
              <c:f>'Random Effects (Vague)'!$I$39</c:f>
              <c:numCache>
                <c:formatCode>0.0000</c:formatCode>
                <c:ptCount val="1"/>
                <c:pt idx="0">
                  <c:v>0.38800000000000001</c:v>
                </c:pt>
              </c:numCache>
            </c:numRef>
          </c:xVal>
          <c:yVal>
            <c:numLit>
              <c:formatCode>General</c:formatCode>
              <c:ptCount val="1"/>
              <c:pt idx="0">
                <c:v>69.5</c:v>
              </c:pt>
            </c:numLit>
          </c:yVal>
          <c:smooth val="0"/>
        </c:ser>
        <c:ser>
          <c:idx val="35"/>
          <c:order val="35"/>
          <c:tx>
            <c:v>IBUIVCONT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1.2813000000000001</c:v>
                </c:pt>
              </c:numLit>
            </c:plus>
            <c:minus>
              <c:numLit>
                <c:formatCode>General</c:formatCode>
                <c:ptCount val="1"/>
                <c:pt idx="0">
                  <c:v>0.30996999999999997</c:v>
                </c:pt>
              </c:numLit>
            </c:minus>
          </c:errBars>
          <c:xVal>
            <c:numRef>
              <c:f>'Random Effects (Vague)'!$I$40</c:f>
              <c:numCache>
                <c:formatCode>0.0000</c:formatCode>
                <c:ptCount val="1"/>
                <c:pt idx="0">
                  <c:v>0.37369999999999998</c:v>
                </c:pt>
              </c:numCache>
            </c:numRef>
          </c:xVal>
          <c:yVal>
            <c:numLit>
              <c:formatCode>General</c:formatCode>
              <c:ptCount val="1"/>
              <c:pt idx="0">
                <c:v>71.5</c:v>
              </c:pt>
            </c:numLit>
          </c:yVal>
          <c:smooth val="0"/>
        </c:ser>
        <c:ser>
          <c:idx val="36"/>
          <c:order val="36"/>
          <c:tx>
            <c:v>IBUPOHIGHDOSE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3.3232999999999997</c:v>
                </c:pt>
              </c:numLit>
            </c:plus>
            <c:minus>
              <c:numLit>
                <c:formatCode>General</c:formatCode>
                <c:ptCount val="1"/>
                <c:pt idx="0">
                  <c:v>0.28287999999999996</c:v>
                </c:pt>
              </c:numLit>
            </c:minus>
          </c:errBars>
          <c:xVal>
            <c:numRef>
              <c:f>'Random Effects (Vague)'!$I$41</c:f>
              <c:numCache>
                <c:formatCode>General</c:formatCode>
                <c:ptCount val="1"/>
                <c:pt idx="0">
                  <c:v>0.30769999999999997</c:v>
                </c:pt>
              </c:numCache>
            </c:numRef>
          </c:xVal>
          <c:yVal>
            <c:numLit>
              <c:formatCode>General</c:formatCode>
              <c:ptCount val="1"/>
              <c:pt idx="0">
                <c:v>73.5</c:v>
              </c:pt>
            </c:numLit>
          </c:yVal>
          <c:smooth val="0"/>
        </c:ser>
        <c:ser>
          <c:idx val="37"/>
          <c:order val="37"/>
          <c:tx>
            <c:v>IBUPOHIGHDOSE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1.4155</c:v>
                </c:pt>
              </c:numLit>
            </c:plus>
            <c:minus>
              <c:numLit>
                <c:formatCode>General</c:formatCode>
                <c:ptCount val="1"/>
                <c:pt idx="0">
                  <c:v>0.25046000000000002</c:v>
                </c:pt>
              </c:numLit>
            </c:minus>
          </c:errBars>
          <c:xVal>
            <c:numRef>
              <c:f>'Random Effects (Vague)'!$I$42</c:f>
              <c:numCache>
                <c:formatCode>General</c:formatCode>
                <c:ptCount val="1"/>
                <c:pt idx="0">
                  <c:v>0.30249999999999999</c:v>
                </c:pt>
              </c:numCache>
            </c:numRef>
          </c:xVal>
          <c:yVal>
            <c:numLit>
              <c:formatCode>General</c:formatCode>
              <c:ptCount val="1"/>
              <c:pt idx="0">
                <c:v>75.5</c:v>
              </c:pt>
            </c:numLit>
          </c:yVal>
          <c:smooth val="0"/>
        </c:ser>
        <c:ser>
          <c:idx val="38"/>
          <c:order val="38"/>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0.61194432906282781</c:v>
                </c:pt>
              </c:numLit>
            </c:plus>
            <c:minus>
              <c:numLit>
                <c:formatCode>General</c:formatCode>
                <c:ptCount val="1"/>
                <c:pt idx="0">
                  <c:v>0.2016346646273548</c:v>
                </c:pt>
              </c:numLit>
            </c:minus>
          </c:errBars>
          <c:xVal>
            <c:numRef>
              <c:f>'Random Effects (Vague)'!$I$43</c:f>
              <c:numCache>
                <c:formatCode>0.0000</c:formatCode>
                <c:ptCount val="1"/>
                <c:pt idx="0">
                  <c:v>0.29797377830750893</c:v>
                </c:pt>
              </c:numCache>
            </c:numRef>
          </c:xVal>
          <c:yVal>
            <c:numLit>
              <c:formatCode>General</c:formatCode>
              <c:ptCount val="1"/>
              <c:pt idx="0">
                <c:v>77.5</c:v>
              </c:pt>
            </c:numLit>
          </c:yVal>
          <c:smooth val="0"/>
        </c:ser>
        <c:ser>
          <c:idx val="39"/>
          <c:order val="39"/>
          <c:tx>
            <c:v>INDOIVCONT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0.91521122703800972</c:v>
                </c:pt>
              </c:numLit>
            </c:plus>
            <c:minus>
              <c:numLit>
                <c:formatCode>General</c:formatCode>
                <c:ptCount val="1"/>
                <c:pt idx="0">
                  <c:v>0.20893488474036803</c:v>
                </c:pt>
              </c:numLit>
            </c:minus>
          </c:errBars>
          <c:xVal>
            <c:numRef>
              <c:f>'Random Effects (Vague)'!$I$44</c:f>
              <c:numCache>
                <c:formatCode>0.0000</c:formatCode>
                <c:ptCount val="1"/>
                <c:pt idx="0">
                  <c:v>0.27159152634437805</c:v>
                </c:pt>
              </c:numCache>
            </c:numRef>
          </c:xVal>
          <c:yVal>
            <c:numLit>
              <c:formatCode>General</c:formatCode>
              <c:ptCount val="1"/>
              <c:pt idx="0">
                <c:v>79.5</c:v>
              </c:pt>
            </c:numLit>
          </c:yVal>
          <c:smooth val="0"/>
        </c:ser>
        <c:ser>
          <c:idx val="40"/>
          <c:order val="40"/>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0.3000066100605121</c:v>
                </c:pt>
              </c:numLit>
            </c:plus>
            <c:minus>
              <c:numLit>
                <c:formatCode>General</c:formatCode>
                <c:ptCount val="1"/>
                <c:pt idx="0">
                  <c:v>0.14749866327375824</c:v>
                </c:pt>
              </c:numLit>
            </c:minus>
          </c:errBars>
          <c:xVal>
            <c:numRef>
              <c:f>'Random Effects (Vague)'!$I$45</c:f>
              <c:numCache>
                <c:formatCode>General</c:formatCode>
                <c:ptCount val="1"/>
                <c:pt idx="0">
                  <c:v>0.26560424966799467</c:v>
                </c:pt>
              </c:numCache>
            </c:numRef>
          </c:xVal>
          <c:yVal>
            <c:numLit>
              <c:formatCode>General</c:formatCode>
              <c:ptCount val="1"/>
              <c:pt idx="0">
                <c:v>81.5</c:v>
              </c:pt>
            </c:numLit>
          </c:yVal>
          <c:smooth val="0"/>
        </c:ser>
        <c:ser>
          <c:idx val="41"/>
          <c:order val="41"/>
          <c:tx>
            <c:v>IBUIVCONT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2.2217000000000002</c:v>
                </c:pt>
              </c:numLit>
            </c:plus>
            <c:minus>
              <c:numLit>
                <c:formatCode>General</c:formatCode>
                <c:ptCount val="1"/>
                <c:pt idx="0">
                  <c:v>0.23736999999999997</c:v>
                </c:pt>
              </c:numLit>
            </c:minus>
          </c:errBars>
          <c:xVal>
            <c:numRef>
              <c:f>'Random Effects (Vague)'!$I$46</c:f>
              <c:numCache>
                <c:formatCode>0.0000</c:formatCode>
                <c:ptCount val="1"/>
                <c:pt idx="0">
                  <c:v>0.25629999999999997</c:v>
                </c:pt>
              </c:numCache>
            </c:numRef>
          </c:xVal>
          <c:yVal>
            <c:numLit>
              <c:formatCode>General</c:formatCode>
              <c:ptCount val="1"/>
              <c:pt idx="0">
                <c:v>83.5</c:v>
              </c:pt>
            </c:numLit>
          </c:yVal>
          <c:smooth val="0"/>
        </c:ser>
        <c:ser>
          <c:idx val="42"/>
          <c:order val="42"/>
          <c:tx>
            <c:v>IBUIVCONT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0.95709999999999995</c:v>
                </c:pt>
              </c:numLit>
            </c:plus>
            <c:minus>
              <c:numLit>
                <c:formatCode>General</c:formatCode>
                <c:ptCount val="1"/>
                <c:pt idx="0">
                  <c:v>0.21141000000000001</c:v>
                </c:pt>
              </c:numLit>
            </c:minus>
          </c:errBars>
          <c:xVal>
            <c:numRef>
              <c:f>'Random Effects (Vague)'!$I$47</c:f>
              <c:numCache>
                <c:formatCode>0.0000</c:formatCode>
                <c:ptCount val="1"/>
                <c:pt idx="0">
                  <c:v>0.25090000000000001</c:v>
                </c:pt>
              </c:numCache>
            </c:numRef>
          </c:xVal>
          <c:yVal>
            <c:numLit>
              <c:formatCode>General</c:formatCode>
              <c:ptCount val="1"/>
              <c:pt idx="0">
                <c:v>85.5</c:v>
              </c:pt>
            </c:numLit>
          </c:yVal>
          <c:smooth val="0"/>
        </c:ser>
        <c:ser>
          <c:idx val="43"/>
          <c:order val="43"/>
          <c:tx>
            <c:v>IBUPOHIGHDOSE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0.98500283298722469</c:v>
                </c:pt>
              </c:numLit>
            </c:plus>
            <c:minus>
              <c:numLit>
                <c:formatCode>General</c:formatCode>
                <c:ptCount val="1"/>
                <c:pt idx="0">
                  <c:v>0.16543506837165362</c:v>
                </c:pt>
              </c:numLit>
            </c:minus>
          </c:errBars>
          <c:xVal>
            <c:numRef>
              <c:f>'Random Effects (Vague)'!$I$48</c:f>
              <c:numCache>
                <c:formatCode>General</c:formatCode>
                <c:ptCount val="1"/>
                <c:pt idx="0">
                  <c:v>0.19758940920766646</c:v>
                </c:pt>
              </c:numCache>
            </c:numRef>
          </c:xVal>
          <c:yVal>
            <c:numLit>
              <c:formatCode>General</c:formatCode>
              <c:ptCount val="1"/>
              <c:pt idx="0">
                <c:v>87.5</c:v>
              </c:pt>
            </c:numLit>
          </c:yVal>
          <c:smooth val="0"/>
        </c:ser>
        <c:ser>
          <c:idx val="44"/>
          <c:order val="44"/>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0.71141912557679055</c:v>
                </c:pt>
              </c:numLit>
            </c:plus>
            <c:minus>
              <c:numLit>
                <c:formatCode>General</c:formatCode>
                <c:ptCount val="1"/>
                <c:pt idx="0">
                  <c:v>0.13834171492892286</c:v>
                </c:pt>
              </c:numLit>
            </c:minus>
          </c:errBars>
          <c:xVal>
            <c:numRef>
              <c:f>'Random Effects (Vague)'!$I$49</c:f>
              <c:numCache>
                <c:formatCode>0.0000</c:formatCode>
                <c:ptCount val="1"/>
                <c:pt idx="0">
                  <c:v>0.16194331983805668</c:v>
                </c:pt>
              </c:numCache>
            </c:numRef>
          </c:xVal>
          <c:yVal>
            <c:numLit>
              <c:formatCode>General</c:formatCode>
              <c:ptCount val="1"/>
              <c:pt idx="0">
                <c:v>89.5</c:v>
              </c:pt>
            </c:numLit>
          </c:yVal>
          <c:smooth val="0"/>
        </c:ser>
        <c:dLbls>
          <c:showLegendKey val="0"/>
          <c:showVal val="0"/>
          <c:showCatName val="0"/>
          <c:showSerName val="0"/>
          <c:showPercent val="0"/>
          <c:showBubbleSize val="0"/>
        </c:dLbls>
        <c:axId val="593174808"/>
        <c:axId val="593178728"/>
      </c:scatterChart>
      <c:valAx>
        <c:axId val="593174808"/>
        <c:scaling>
          <c:logBase val="10"/>
          <c:orientation val="minMax"/>
        </c:scaling>
        <c:delete val="0"/>
        <c:axPos val="b"/>
        <c:numFmt formatCode="General" sourceLinked="1"/>
        <c:majorTickMark val="out"/>
        <c:minorTickMark val="out"/>
        <c:tickLblPos val="nextTo"/>
        <c:crossAx val="593178728"/>
        <c:crossesAt val="0"/>
        <c:crossBetween val="midCat"/>
      </c:valAx>
      <c:valAx>
        <c:axId val="593178728"/>
        <c:scaling>
          <c:orientation val="minMax"/>
          <c:max val="90"/>
          <c:min val="0"/>
        </c:scaling>
        <c:delete val="0"/>
        <c:axPos val="l"/>
        <c:numFmt formatCode="General" sourceLinked="1"/>
        <c:majorTickMark val="none"/>
        <c:minorTickMark val="none"/>
        <c:tickLblPos val="none"/>
        <c:crossAx val="593174808"/>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6827608087450605"/>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1.6670000000000001E-5</c:v>
                </c:pt>
                <c:pt idx="1">
                  <c:v>2.5000000000000001E-5</c:v>
                </c:pt>
                <c:pt idx="2">
                  <c:v>4.1669999999999999E-4</c:v>
                </c:pt>
                <c:pt idx="3">
                  <c:v>2.4420000000000002E-3</c:v>
                </c:pt>
                <c:pt idx="4">
                  <c:v>1.2200000000000001E-2</c:v>
                </c:pt>
                <c:pt idx="5">
                  <c:v>4.2020000000000002E-2</c:v>
                </c:pt>
                <c:pt idx="6">
                  <c:v>0.1525</c:v>
                </c:pt>
                <c:pt idx="7">
                  <c:v>0.40679999999999999</c:v>
                </c:pt>
                <c:pt idx="8">
                  <c:v>0.35959999999999998</c:v>
                </c:pt>
                <c:pt idx="9">
                  <c:v>2.4E-2</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1.8330000000000001E-4</c:v>
                </c:pt>
                <c:pt idx="1">
                  <c:v>4.9420000000000002E-3</c:v>
                </c:pt>
                <c:pt idx="2">
                  <c:v>1.8849999999999999E-2</c:v>
                </c:pt>
                <c:pt idx="3">
                  <c:v>6.676E-2</c:v>
                </c:pt>
                <c:pt idx="4">
                  <c:v>0.16950000000000001</c:v>
                </c:pt>
                <c:pt idx="5">
                  <c:v>0.29420000000000002</c:v>
                </c:pt>
                <c:pt idx="6">
                  <c:v>0.30669999999999997</c:v>
                </c:pt>
                <c:pt idx="7">
                  <c:v>0.12180000000000001</c:v>
                </c:pt>
                <c:pt idx="8">
                  <c:v>1.5699999999999999E-2</c:v>
                </c:pt>
                <c:pt idx="9">
                  <c:v>1.358E-3</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3.6339999999999997E-2</c:v>
                </c:pt>
                <c:pt idx="1">
                  <c:v>0.15440000000000001</c:v>
                </c:pt>
                <c:pt idx="2">
                  <c:v>0.28949999999999998</c:v>
                </c:pt>
                <c:pt idx="3">
                  <c:v>0.2671</c:v>
                </c:pt>
                <c:pt idx="4">
                  <c:v>0.15140000000000001</c:v>
                </c:pt>
                <c:pt idx="5">
                  <c:v>6.7199999999999996E-2</c:v>
                </c:pt>
                <c:pt idx="6">
                  <c:v>2.9270000000000001E-2</c:v>
                </c:pt>
                <c:pt idx="7">
                  <c:v>4.5999999999999999E-3</c:v>
                </c:pt>
                <c:pt idx="8">
                  <c:v>2.0000000000000001E-4</c:v>
                </c:pt>
                <c:pt idx="9">
                  <c:v>6.6669999999999997E-5</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6.3380000000000006E-2</c:v>
                </c:pt>
                <c:pt idx="1">
                  <c:v>0.14149999999999999</c:v>
                </c:pt>
                <c:pt idx="2">
                  <c:v>0.1744</c:v>
                </c:pt>
                <c:pt idx="3">
                  <c:v>0.1777</c:v>
                </c:pt>
                <c:pt idx="4">
                  <c:v>0.151</c:v>
                </c:pt>
                <c:pt idx="5">
                  <c:v>0.1081</c:v>
                </c:pt>
                <c:pt idx="6">
                  <c:v>8.2439999999999999E-2</c:v>
                </c:pt>
                <c:pt idx="7">
                  <c:v>6.1850000000000002E-2</c:v>
                </c:pt>
                <c:pt idx="8">
                  <c:v>3.0380000000000001E-2</c:v>
                </c:pt>
                <c:pt idx="9">
                  <c:v>9.1830000000000002E-3</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3.6909999999999998E-2</c:v>
                </c:pt>
                <c:pt idx="1">
                  <c:v>5.024E-2</c:v>
                </c:pt>
                <c:pt idx="2">
                  <c:v>5.3310000000000003E-2</c:v>
                </c:pt>
                <c:pt idx="3">
                  <c:v>5.3170000000000002E-2</c:v>
                </c:pt>
                <c:pt idx="4">
                  <c:v>6.3329999999999997E-2</c:v>
                </c:pt>
                <c:pt idx="5">
                  <c:v>7.8979999999999995E-2</c:v>
                </c:pt>
                <c:pt idx="6">
                  <c:v>8.6889999999999995E-2</c:v>
                </c:pt>
                <c:pt idx="7">
                  <c:v>0.1222</c:v>
                </c:pt>
                <c:pt idx="8">
                  <c:v>0.155</c:v>
                </c:pt>
                <c:pt idx="9">
                  <c:v>0.3</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0.30980000000000002</c:v>
                </c:pt>
                <c:pt idx="1">
                  <c:v>0.21440000000000001</c:v>
                </c:pt>
                <c:pt idx="2">
                  <c:v>0.1168</c:v>
                </c:pt>
                <c:pt idx="3">
                  <c:v>8.72E-2</c:v>
                </c:pt>
                <c:pt idx="4">
                  <c:v>6.8080000000000002E-2</c:v>
                </c:pt>
                <c:pt idx="5">
                  <c:v>4.9020000000000001E-2</c:v>
                </c:pt>
                <c:pt idx="6">
                  <c:v>4.6980000000000001E-2</c:v>
                </c:pt>
                <c:pt idx="7">
                  <c:v>4.3029999999999999E-2</c:v>
                </c:pt>
                <c:pt idx="8">
                  <c:v>3.8120000000000001E-2</c:v>
                </c:pt>
                <c:pt idx="9">
                  <c:v>2.6620000000000001E-2</c:v>
                </c:pt>
              </c:numCache>
            </c:numRef>
          </c:val>
          <c:smooth val="0"/>
        </c:ser>
        <c:ser>
          <c:idx val="6"/>
          <c:order val="6"/>
          <c:tx>
            <c:strRef>
              <c:f>'Rankogram Data'!$S$4</c:f>
              <c:strCache>
                <c:ptCount val="1"/>
                <c:pt idx="0">
                  <c:v>IBUIVCONT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0.4118</c:v>
                </c:pt>
                <c:pt idx="1">
                  <c:v>0.20899999999999999</c:v>
                </c:pt>
                <c:pt idx="2">
                  <c:v>0.10979999999999999</c:v>
                </c:pt>
                <c:pt idx="3">
                  <c:v>8.2309999999999994E-2</c:v>
                </c:pt>
                <c:pt idx="4">
                  <c:v>6.173E-2</c:v>
                </c:pt>
                <c:pt idx="5">
                  <c:v>4.3650000000000001E-2</c:v>
                </c:pt>
                <c:pt idx="6">
                  <c:v>3.1949999999999999E-2</c:v>
                </c:pt>
                <c:pt idx="7">
                  <c:v>2.4369999999999999E-2</c:v>
                </c:pt>
                <c:pt idx="8">
                  <c:v>1.7680000000000001E-2</c:v>
                </c:pt>
                <c:pt idx="9">
                  <c:v>7.7999999999999996E-3</c:v>
                </c:pt>
              </c:numCache>
            </c:numRef>
          </c:val>
          <c:smooth val="0"/>
        </c:ser>
        <c:ser>
          <c:idx val="7"/>
          <c:order val="7"/>
          <c:tx>
            <c:strRef>
              <c:f>'Rankogram Data'!$T$4</c:f>
              <c:strCache>
                <c:ptCount val="1"/>
                <c:pt idx="0">
                  <c:v>INDOIVCONT</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0.1336</c:v>
                </c:pt>
                <c:pt idx="1">
                  <c:v>0.18529999999999999</c:v>
                </c:pt>
                <c:pt idx="2">
                  <c:v>0.15429999999999999</c:v>
                </c:pt>
                <c:pt idx="3">
                  <c:v>0.122</c:v>
                </c:pt>
                <c:pt idx="4">
                  <c:v>0.1143</c:v>
                </c:pt>
                <c:pt idx="5">
                  <c:v>9.3490000000000004E-2</c:v>
                </c:pt>
                <c:pt idx="6">
                  <c:v>7.0440000000000003E-2</c:v>
                </c:pt>
                <c:pt idx="7">
                  <c:v>6.1069999999999999E-2</c:v>
                </c:pt>
                <c:pt idx="8">
                  <c:v>3.9419999999999997E-2</c:v>
                </c:pt>
                <c:pt idx="9">
                  <c:v>2.613E-2</c:v>
                </c:pt>
              </c:numCache>
            </c:numRef>
          </c:val>
          <c:smooth val="0"/>
        </c:ser>
        <c:ser>
          <c:idx val="8"/>
          <c:order val="8"/>
          <c:tx>
            <c:strRef>
              <c:f>'Rankogram Data'!$U$4</c:f>
              <c:strCache>
                <c:ptCount val="1"/>
                <c:pt idx="0">
                  <c:v>INDOTHERS</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0</c:v>
                </c:pt>
                <c:pt idx="1">
                  <c:v>4.1669999999999999E-5</c:v>
                </c:pt>
                <c:pt idx="2">
                  <c:v>1.6670000000000001E-4</c:v>
                </c:pt>
                <c:pt idx="3">
                  <c:v>5.0000000000000001E-4</c:v>
                </c:pt>
                <c:pt idx="4">
                  <c:v>2.0669999999999998E-3</c:v>
                </c:pt>
                <c:pt idx="5">
                  <c:v>6.0169999999999998E-3</c:v>
                </c:pt>
                <c:pt idx="6">
                  <c:v>1.6459999999999999E-2</c:v>
                </c:pt>
                <c:pt idx="7">
                  <c:v>5.978E-2</c:v>
                </c:pt>
                <c:pt idx="8">
                  <c:v>0.31640000000000001</c:v>
                </c:pt>
                <c:pt idx="9">
                  <c:v>0.59860000000000002</c:v>
                </c:pt>
              </c:numCache>
            </c:numRef>
          </c:val>
          <c:smooth val="0"/>
        </c:ser>
        <c:ser>
          <c:idx val="9"/>
          <c:order val="9"/>
          <c:tx>
            <c:strRef>
              <c:f>'Rankogram Data'!$V$4</c:f>
              <c:strCache>
                <c:ptCount val="1"/>
                <c:pt idx="0">
                  <c:v>PLAC_NORX</c:v>
                </c:pt>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8.0669999999999995E-3</c:v>
                </c:pt>
                <c:pt idx="1">
                  <c:v>4.0189999999999997E-2</c:v>
                </c:pt>
                <c:pt idx="2">
                  <c:v>8.2549999999999998E-2</c:v>
                </c:pt>
                <c:pt idx="3">
                  <c:v>0.14080000000000001</c:v>
                </c:pt>
                <c:pt idx="4">
                  <c:v>0.2064</c:v>
                </c:pt>
                <c:pt idx="5">
                  <c:v>0.21729999999999999</c:v>
                </c:pt>
                <c:pt idx="6">
                  <c:v>0.1764</c:v>
                </c:pt>
                <c:pt idx="7">
                  <c:v>9.4500000000000001E-2</c:v>
                </c:pt>
                <c:pt idx="8">
                  <c:v>2.7490000000000001E-2</c:v>
                </c:pt>
                <c:pt idx="9">
                  <c:v>6.2830000000000004E-3</c:v>
                </c:pt>
              </c:numCache>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marker val="1"/>
        <c:smooth val="0"/>
        <c:axId val="593176768"/>
        <c:axId val="593179120"/>
      </c:lineChart>
      <c:catAx>
        <c:axId val="593176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593179120"/>
        <c:crosses val="autoZero"/>
        <c:auto val="1"/>
        <c:lblAlgn val="ctr"/>
        <c:lblOffset val="100"/>
        <c:noMultiLvlLbl val="0"/>
      </c:catAx>
      <c:valAx>
        <c:axId val="593179120"/>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176768"/>
        <c:crosses val="autoZero"/>
        <c:crossBetween val="between"/>
        <c:majorUnit val="0.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593177552"/>
        <c:axId val="593176376"/>
      </c:scatterChart>
      <c:valAx>
        <c:axId val="59317755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593176376"/>
        <c:crosses val="autoZero"/>
        <c:crossBetween val="midCat"/>
        <c:majorUnit val="0.5"/>
        <c:minorUnit val="0.25"/>
      </c:valAx>
      <c:valAx>
        <c:axId val="593176376"/>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59317755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0.58530000000000004</c:v>
                </c:pt>
                <c:pt idx="1">
                  <c:v>0.78649999999999998</c:v>
                </c:pt>
                <c:pt idx="2">
                  <c:v>0.76490000000000002</c:v>
                </c:pt>
                <c:pt idx="3">
                  <c:v>0.80730000000000002</c:v>
                </c:pt>
                <c:pt idx="4">
                  <c:v>0.81110000000000004</c:v>
                </c:pt>
                <c:pt idx="5">
                  <c:v>0.5948</c:v>
                </c:pt>
                <c:pt idx="6">
                  <c:v>0.61499999999999999</c:v>
                </c:pt>
                <c:pt idx="7">
                  <c:v>0.82499999999999996</c:v>
                </c:pt>
                <c:pt idx="8">
                  <c:v>0.69120000000000004</c:v>
                </c:pt>
                <c:pt idx="9">
                  <c:v>0.52969999999999995</c:v>
                </c:pt>
                <c:pt idx="10">
                  <c:v>0.69099999999999995</c:v>
                </c:pt>
                <c:pt idx="11">
                  <c:v>0.53490000000000004</c:v>
                </c:pt>
                <c:pt idx="12">
                  <c:v>0.64739999999999998</c:v>
                </c:pt>
                <c:pt idx="13">
                  <c:v>0.60709999999999997</c:v>
                </c:pt>
                <c:pt idx="14">
                  <c:v>0.92100000000000004</c:v>
                </c:pt>
                <c:pt idx="15">
                  <c:v>1.2130000000000001</c:v>
                </c:pt>
                <c:pt idx="16">
                  <c:v>0.6532</c:v>
                </c:pt>
                <c:pt idx="17">
                  <c:v>0.68140000000000001</c:v>
                </c:pt>
                <c:pt idx="18">
                  <c:v>1.4059999999999999</c:v>
                </c:pt>
                <c:pt idx="19">
                  <c:v>0.75270000000000004</c:v>
                </c:pt>
                <c:pt idx="20">
                  <c:v>2.5529999999999999</c:v>
                </c:pt>
                <c:pt idx="21">
                  <c:v>2.5840000000000001</c:v>
                </c:pt>
                <c:pt idx="22">
                  <c:v>1</c:v>
                </c:pt>
                <c:pt idx="23">
                  <c:v>1.0680000000000001</c:v>
                </c:pt>
                <c:pt idx="24">
                  <c:v>1.042</c:v>
                </c:pt>
                <c:pt idx="25">
                  <c:v>1.0189999999999999</c:v>
                </c:pt>
              </c:numCache>
            </c:numRef>
          </c:xVal>
          <c:yVal>
            <c:numRef>
              <c:f>'Inconsistency Data'!$J$6:$J$105</c:f>
              <c:numCache>
                <c:formatCode>General</c:formatCode>
                <c:ptCount val="26"/>
                <c:pt idx="0">
                  <c:v>0.60899999999999999</c:v>
                </c:pt>
                <c:pt idx="1">
                  <c:v>0.85980000000000001</c:v>
                </c:pt>
                <c:pt idx="2">
                  <c:v>0.95830000000000004</c:v>
                </c:pt>
                <c:pt idx="3">
                  <c:v>1.1180000000000001</c:v>
                </c:pt>
                <c:pt idx="4">
                  <c:v>1.0429999999999999</c:v>
                </c:pt>
                <c:pt idx="5">
                  <c:v>1.113</c:v>
                </c:pt>
                <c:pt idx="6">
                  <c:v>0.64590000000000003</c:v>
                </c:pt>
                <c:pt idx="7">
                  <c:v>0.85560000000000003</c:v>
                </c:pt>
                <c:pt idx="8">
                  <c:v>0.85529999999999995</c:v>
                </c:pt>
                <c:pt idx="9">
                  <c:v>0.6532</c:v>
                </c:pt>
                <c:pt idx="10">
                  <c:v>0.84970000000000001</c:v>
                </c:pt>
                <c:pt idx="11">
                  <c:v>0.65090000000000003</c:v>
                </c:pt>
                <c:pt idx="12">
                  <c:v>0.87519999999999998</c:v>
                </c:pt>
                <c:pt idx="13">
                  <c:v>0.68859999999999999</c:v>
                </c:pt>
                <c:pt idx="14">
                  <c:v>0.79490000000000005</c:v>
                </c:pt>
                <c:pt idx="15">
                  <c:v>1.0229999999999999</c:v>
                </c:pt>
                <c:pt idx="16">
                  <c:v>0.82</c:v>
                </c:pt>
                <c:pt idx="17">
                  <c:v>0.84409999999999996</c:v>
                </c:pt>
                <c:pt idx="18">
                  <c:v>1.167</c:v>
                </c:pt>
                <c:pt idx="19">
                  <c:v>2.4379999999999999E-2</c:v>
                </c:pt>
                <c:pt idx="20">
                  <c:v>2.3290000000000002</c:v>
                </c:pt>
                <c:pt idx="21">
                  <c:v>2.4159999999999999</c:v>
                </c:pt>
                <c:pt idx="22">
                  <c:v>1.002</c:v>
                </c:pt>
                <c:pt idx="23">
                  <c:v>1.0169999999999999</c:v>
                </c:pt>
                <c:pt idx="24">
                  <c:v>1.1020000000000001</c:v>
                </c:pt>
                <c:pt idx="25">
                  <c:v>1.048</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593172456"/>
        <c:axId val="593172064"/>
      </c:scatterChart>
      <c:valAx>
        <c:axId val="593172456"/>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593172064"/>
        <c:crosses val="autoZero"/>
        <c:crossBetween val="midCat"/>
        <c:majorUnit val="0.5"/>
        <c:minorUnit val="0.25"/>
      </c:valAx>
      <c:valAx>
        <c:axId val="59317206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593172456"/>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28</xdr:col>
      <xdr:colOff>564370</xdr:colOff>
      <xdr:row>32</xdr:row>
      <xdr:rowOff>46846</xdr:rowOff>
    </xdr:from>
    <xdr:to>
      <xdr:col>32</xdr:col>
      <xdr:colOff>248428</xdr:colOff>
      <xdr:row>43</xdr:row>
      <xdr:rowOff>64280</xdr:rowOff>
    </xdr:to>
    <xdr:sp macro="" textlink="">
      <xdr:nvSpPr>
        <xdr:cNvPr id="28" name="A"/>
        <xdr:cNvSpPr/>
      </xdr:nvSpPr>
      <xdr:spPr>
        <a:xfrm>
          <a:off x="19842970" y="6228571"/>
          <a:ext cx="2122458" cy="2122459"/>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31</xdr:col>
      <xdr:colOff>147482</xdr:colOff>
      <xdr:row>54</xdr:row>
      <xdr:rowOff>1433</xdr:rowOff>
    </xdr:from>
    <xdr:to>
      <xdr:col>34</xdr:col>
      <xdr:colOff>258916</xdr:colOff>
      <xdr:row>64</xdr:row>
      <xdr:rowOff>36668</xdr:rowOff>
    </xdr:to>
    <xdr:sp macro="" textlink="">
      <xdr:nvSpPr>
        <xdr:cNvPr id="29" name="B"/>
        <xdr:cNvSpPr/>
      </xdr:nvSpPr>
      <xdr:spPr>
        <a:xfrm>
          <a:off x="21254882" y="10383683"/>
          <a:ext cx="1940234" cy="1940235"/>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37</xdr:col>
      <xdr:colOff>108424</xdr:colOff>
      <xdr:row>68</xdr:row>
      <xdr:rowOff>474</xdr:rowOff>
    </xdr:from>
    <xdr:to>
      <xdr:col>39</xdr:col>
      <xdr:colOff>501176</xdr:colOff>
      <xdr:row>76</xdr:row>
      <xdr:rowOff>88424</xdr:rowOff>
    </xdr:to>
    <xdr:sp macro="" textlink="">
      <xdr:nvSpPr>
        <xdr:cNvPr id="30" name="C"/>
        <xdr:cNvSpPr/>
      </xdr:nvSpPr>
      <xdr:spPr>
        <a:xfrm>
          <a:off x="24873424" y="13049724"/>
          <a:ext cx="1611952" cy="161195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44</xdr:col>
      <xdr:colOff>420077</xdr:colOff>
      <xdr:row>69</xdr:row>
      <xdr:rowOff>121628</xdr:rowOff>
    </xdr:from>
    <xdr:to>
      <xdr:col>46</xdr:col>
      <xdr:colOff>189520</xdr:colOff>
      <xdr:row>74</xdr:row>
      <xdr:rowOff>157772</xdr:rowOff>
    </xdr:to>
    <xdr:sp macro="" textlink="">
      <xdr:nvSpPr>
        <xdr:cNvPr id="31" name="D"/>
        <xdr:cNvSpPr/>
      </xdr:nvSpPr>
      <xdr:spPr>
        <a:xfrm>
          <a:off x="29452277" y="13361378"/>
          <a:ext cx="988643" cy="98864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50</xdr:col>
      <xdr:colOff>505436</xdr:colOff>
      <xdr:row>58</xdr:row>
      <xdr:rowOff>3787</xdr:rowOff>
    </xdr:from>
    <xdr:to>
      <xdr:col>51</xdr:col>
      <xdr:colOff>307364</xdr:colOff>
      <xdr:row>60</xdr:row>
      <xdr:rowOff>34313</xdr:rowOff>
    </xdr:to>
    <xdr:sp macro="" textlink="">
      <xdr:nvSpPr>
        <xdr:cNvPr id="64" name="E"/>
        <xdr:cNvSpPr/>
      </xdr:nvSpPr>
      <xdr:spPr>
        <a:xfrm>
          <a:off x="33195236" y="11148037"/>
          <a:ext cx="411528" cy="4115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53</xdr:col>
      <xdr:colOff>12700</xdr:colOff>
      <xdr:row>36</xdr:row>
      <xdr:rowOff>155575</xdr:rowOff>
    </xdr:from>
    <xdr:to>
      <xdr:col>53</xdr:col>
      <xdr:colOff>393700</xdr:colOff>
      <xdr:row>38</xdr:row>
      <xdr:rowOff>155575</xdr:rowOff>
    </xdr:to>
    <xdr:sp macro="" textlink="">
      <xdr:nvSpPr>
        <xdr:cNvPr id="65" name="F"/>
        <xdr:cNvSpPr/>
      </xdr:nvSpPr>
      <xdr:spPr>
        <a:xfrm>
          <a:off x="34531300" y="70993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50</xdr:col>
      <xdr:colOff>453262</xdr:colOff>
      <xdr:row>15</xdr:row>
      <xdr:rowOff>110362</xdr:rowOff>
    </xdr:from>
    <xdr:to>
      <xdr:col>51</xdr:col>
      <xdr:colOff>359538</xdr:colOff>
      <xdr:row>18</xdr:row>
      <xdr:rowOff>54739</xdr:rowOff>
    </xdr:to>
    <xdr:sp macro="" textlink="">
      <xdr:nvSpPr>
        <xdr:cNvPr id="66" name="G"/>
        <xdr:cNvSpPr/>
      </xdr:nvSpPr>
      <xdr:spPr>
        <a:xfrm>
          <a:off x="33143062" y="2967862"/>
          <a:ext cx="515876" cy="51587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45</xdr:col>
      <xdr:colOff>61336</xdr:colOff>
      <xdr:row>2</xdr:row>
      <xdr:rowOff>99437</xdr:rowOff>
    </xdr:from>
    <xdr:to>
      <xdr:col>45</xdr:col>
      <xdr:colOff>548261</xdr:colOff>
      <xdr:row>5</xdr:row>
      <xdr:rowOff>14863</xdr:rowOff>
    </xdr:to>
    <xdr:sp macro="" textlink="">
      <xdr:nvSpPr>
        <xdr:cNvPr id="67" name="H"/>
        <xdr:cNvSpPr/>
      </xdr:nvSpPr>
      <xdr:spPr>
        <a:xfrm>
          <a:off x="29703136" y="480437"/>
          <a:ext cx="486925" cy="4869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37</xdr:col>
      <xdr:colOff>481793</xdr:colOff>
      <xdr:row>0</xdr:row>
      <xdr:rowOff>165491</xdr:rowOff>
    </xdr:from>
    <xdr:to>
      <xdr:col>40</xdr:col>
      <xdr:colOff>19976</xdr:colOff>
      <xdr:row>8</xdr:row>
      <xdr:rowOff>2725</xdr:rowOff>
    </xdr:to>
    <xdr:sp macro="" textlink="">
      <xdr:nvSpPr>
        <xdr:cNvPr id="68" name="I"/>
        <xdr:cNvSpPr/>
      </xdr:nvSpPr>
      <xdr:spPr>
        <a:xfrm>
          <a:off x="25300708" y="165491"/>
          <a:ext cx="1371296" cy="1418743"/>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31</xdr:col>
      <xdr:colOff>451304</xdr:colOff>
      <xdr:row>13</xdr:row>
      <xdr:rowOff>83004</xdr:rowOff>
    </xdr:from>
    <xdr:to>
      <xdr:col>33</xdr:col>
      <xdr:colOff>564697</xdr:colOff>
      <xdr:row>20</xdr:row>
      <xdr:rowOff>72571</xdr:rowOff>
    </xdr:to>
    <xdr:sp macro="" textlink="">
      <xdr:nvSpPr>
        <xdr:cNvPr id="69" name="J"/>
        <xdr:cNvSpPr/>
      </xdr:nvSpPr>
      <xdr:spPr>
        <a:xfrm>
          <a:off x="21558704" y="2559504"/>
          <a:ext cx="1332593" cy="1332592"/>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31</xdr:col>
      <xdr:colOff>547201</xdr:colOff>
      <xdr:row>41</xdr:row>
      <xdr:rowOff>134453</xdr:rowOff>
    </xdr:from>
    <xdr:to>
      <xdr:col>37</xdr:col>
      <xdr:colOff>344489</xdr:colOff>
      <xdr:row>69</xdr:row>
      <xdr:rowOff>46039</xdr:rowOff>
    </xdr:to>
    <xdr:cxnSp macro="">
      <xdr:nvCxnSpPr>
        <xdr:cNvPr id="70" name="Straight Arrow Connector 69"/>
        <xdr:cNvCxnSpPr>
          <a:stCxn id="28" idx="5"/>
          <a:endCxn id="30" idx="1"/>
        </xdr:cNvCxnSpPr>
      </xdr:nvCxnSpPr>
      <xdr:spPr>
        <a:xfrm>
          <a:off x="21654601" y="8040203"/>
          <a:ext cx="3454888" cy="5245586"/>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507999</xdr:colOff>
      <xdr:row>20</xdr:row>
      <xdr:rowOff>72571</xdr:rowOff>
    </xdr:from>
    <xdr:to>
      <xdr:col>32</xdr:col>
      <xdr:colOff>508001</xdr:colOff>
      <xdr:row>54</xdr:row>
      <xdr:rowOff>1433</xdr:rowOff>
    </xdr:to>
    <xdr:cxnSp macro="">
      <xdr:nvCxnSpPr>
        <xdr:cNvPr id="71" name="Straight Arrow Connector 70"/>
        <xdr:cNvCxnSpPr>
          <a:stCxn id="29" idx="0"/>
          <a:endCxn id="69" idx="4"/>
        </xdr:cNvCxnSpPr>
      </xdr:nvCxnSpPr>
      <xdr:spPr>
        <a:xfrm flipV="1">
          <a:off x="22224999" y="3892096"/>
          <a:ext cx="2" cy="6491587"/>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547201</xdr:colOff>
      <xdr:row>41</xdr:row>
      <xdr:rowOff>134453</xdr:rowOff>
    </xdr:from>
    <xdr:to>
      <xdr:col>44</xdr:col>
      <xdr:colOff>564860</xdr:colOff>
      <xdr:row>70</xdr:row>
      <xdr:rowOff>75912</xdr:rowOff>
    </xdr:to>
    <xdr:cxnSp macro="">
      <xdr:nvCxnSpPr>
        <xdr:cNvPr id="72" name="Straight Arrow Connector 71"/>
        <xdr:cNvCxnSpPr>
          <a:stCxn id="28" idx="5"/>
          <a:endCxn id="31" idx="1"/>
        </xdr:cNvCxnSpPr>
      </xdr:nvCxnSpPr>
      <xdr:spPr>
        <a:xfrm>
          <a:off x="21654601" y="8040203"/>
          <a:ext cx="7942459" cy="5465959"/>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501176</xdr:colOff>
      <xdr:row>72</xdr:row>
      <xdr:rowOff>44449</xdr:rowOff>
    </xdr:from>
    <xdr:to>
      <xdr:col>44</xdr:col>
      <xdr:colOff>420077</xdr:colOff>
      <xdr:row>72</xdr:row>
      <xdr:rowOff>44450</xdr:rowOff>
    </xdr:to>
    <xdr:cxnSp macro="">
      <xdr:nvCxnSpPr>
        <xdr:cNvPr id="73" name="Straight Arrow Connector 72"/>
        <xdr:cNvCxnSpPr>
          <a:stCxn id="30" idx="6"/>
          <a:endCxn id="31" idx="2"/>
        </xdr:cNvCxnSpPr>
      </xdr:nvCxnSpPr>
      <xdr:spPr>
        <a:xfrm>
          <a:off x="26485376" y="13855699"/>
          <a:ext cx="2966901" cy="1"/>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584375</xdr:colOff>
      <xdr:row>62</xdr:row>
      <xdr:rowOff>133527</xdr:rowOff>
    </xdr:from>
    <xdr:to>
      <xdr:col>37</xdr:col>
      <xdr:colOff>344489</xdr:colOff>
      <xdr:row>69</xdr:row>
      <xdr:rowOff>46039</xdr:rowOff>
    </xdr:to>
    <xdr:cxnSp macro="">
      <xdr:nvCxnSpPr>
        <xdr:cNvPr id="74" name="Straight Arrow Connector 73"/>
        <xdr:cNvCxnSpPr>
          <a:stCxn id="29" idx="5"/>
          <a:endCxn id="30" idx="1"/>
        </xdr:cNvCxnSpPr>
      </xdr:nvCxnSpPr>
      <xdr:spPr>
        <a:xfrm>
          <a:off x="22910975" y="12039777"/>
          <a:ext cx="2198514" cy="1246012"/>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508001</xdr:colOff>
      <xdr:row>20</xdr:row>
      <xdr:rowOff>72571</xdr:rowOff>
    </xdr:from>
    <xdr:to>
      <xdr:col>38</xdr:col>
      <xdr:colOff>304800</xdr:colOff>
      <xdr:row>68</xdr:row>
      <xdr:rowOff>474</xdr:rowOff>
    </xdr:to>
    <xdr:cxnSp macro="">
      <xdr:nvCxnSpPr>
        <xdr:cNvPr id="75" name="Straight Arrow Connector 74"/>
        <xdr:cNvCxnSpPr>
          <a:stCxn id="30" idx="0"/>
          <a:endCxn id="69" idx="4"/>
        </xdr:cNvCxnSpPr>
      </xdr:nvCxnSpPr>
      <xdr:spPr>
        <a:xfrm flipH="1" flipV="1">
          <a:off x="22225001" y="3892096"/>
          <a:ext cx="3454399" cy="9157628"/>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547201</xdr:colOff>
      <xdr:row>4</xdr:row>
      <xdr:rowOff>134054</xdr:rowOff>
    </xdr:from>
    <xdr:to>
      <xdr:col>45</xdr:col>
      <xdr:colOff>132645</xdr:colOff>
      <xdr:row>33</xdr:row>
      <xdr:rowOff>167173</xdr:rowOff>
    </xdr:to>
    <xdr:cxnSp macro="">
      <xdr:nvCxnSpPr>
        <xdr:cNvPr id="76" name="Straight Arrow Connector 75"/>
        <xdr:cNvCxnSpPr>
          <a:stCxn id="28" idx="7"/>
          <a:endCxn id="67" idx="3"/>
        </xdr:cNvCxnSpPr>
      </xdr:nvCxnSpPr>
      <xdr:spPr>
        <a:xfrm flipV="1">
          <a:off x="21654601" y="896054"/>
          <a:ext cx="8119844" cy="5643344"/>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406399</xdr:colOff>
      <xdr:row>19</xdr:row>
      <xdr:rowOff>67917</xdr:rowOff>
    </xdr:from>
    <xdr:to>
      <xdr:col>32</xdr:col>
      <xdr:colOff>36858</xdr:colOff>
      <xdr:row>32</xdr:row>
      <xdr:rowOff>46846</xdr:rowOff>
    </xdr:to>
    <xdr:cxnSp macro="">
      <xdr:nvCxnSpPr>
        <xdr:cNvPr id="77" name="Straight Arrow Connector 76"/>
        <xdr:cNvCxnSpPr>
          <a:stCxn id="28" idx="0"/>
          <a:endCxn id="69" idx="3"/>
        </xdr:cNvCxnSpPr>
      </xdr:nvCxnSpPr>
      <xdr:spPr>
        <a:xfrm flipV="1">
          <a:off x="20904199" y="3696942"/>
          <a:ext cx="849659" cy="2531629"/>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584375</xdr:colOff>
      <xdr:row>4</xdr:row>
      <xdr:rowOff>134054</xdr:rowOff>
    </xdr:from>
    <xdr:to>
      <xdr:col>45</xdr:col>
      <xdr:colOff>132645</xdr:colOff>
      <xdr:row>55</xdr:row>
      <xdr:rowOff>95074</xdr:rowOff>
    </xdr:to>
    <xdr:cxnSp macro="">
      <xdr:nvCxnSpPr>
        <xdr:cNvPr id="78" name="Straight Arrow Connector 77"/>
        <xdr:cNvCxnSpPr>
          <a:stCxn id="29" idx="7"/>
          <a:endCxn id="67" idx="3"/>
        </xdr:cNvCxnSpPr>
      </xdr:nvCxnSpPr>
      <xdr:spPr>
        <a:xfrm flipV="1">
          <a:off x="22910975" y="896054"/>
          <a:ext cx="6863470" cy="977177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258916</xdr:colOff>
      <xdr:row>59</xdr:row>
      <xdr:rowOff>19050</xdr:rowOff>
    </xdr:from>
    <xdr:to>
      <xdr:col>50</xdr:col>
      <xdr:colOff>505436</xdr:colOff>
      <xdr:row>59</xdr:row>
      <xdr:rowOff>19051</xdr:rowOff>
    </xdr:to>
    <xdr:cxnSp macro="">
      <xdr:nvCxnSpPr>
        <xdr:cNvPr id="79" name="Straight Arrow Connector 78"/>
        <xdr:cNvCxnSpPr>
          <a:stCxn id="29" idx="6"/>
          <a:endCxn id="64" idx="2"/>
        </xdr:cNvCxnSpPr>
      </xdr:nvCxnSpPr>
      <xdr:spPr>
        <a:xfrm flipV="1">
          <a:off x="23195116" y="11353800"/>
          <a:ext cx="10000120" cy="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304800</xdr:colOff>
      <xdr:row>8</xdr:row>
      <xdr:rowOff>2725</xdr:rowOff>
    </xdr:from>
    <xdr:to>
      <xdr:col>38</xdr:col>
      <xdr:colOff>556403</xdr:colOff>
      <xdr:row>68</xdr:row>
      <xdr:rowOff>474</xdr:rowOff>
    </xdr:to>
    <xdr:cxnSp macro="">
      <xdr:nvCxnSpPr>
        <xdr:cNvPr id="80" name="Straight Arrow Connector 79"/>
        <xdr:cNvCxnSpPr>
          <a:stCxn id="30" idx="0"/>
          <a:endCxn id="68" idx="4"/>
        </xdr:cNvCxnSpPr>
      </xdr:nvCxnSpPr>
      <xdr:spPr>
        <a:xfrm flipV="1">
          <a:off x="25734753" y="1584234"/>
          <a:ext cx="251603" cy="11912985"/>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547796</xdr:colOff>
      <xdr:row>6</xdr:row>
      <xdr:rowOff>190332</xdr:rowOff>
    </xdr:from>
    <xdr:to>
      <xdr:col>38</xdr:col>
      <xdr:colOff>71577</xdr:colOff>
      <xdr:row>33</xdr:row>
      <xdr:rowOff>170169</xdr:rowOff>
    </xdr:to>
    <xdr:cxnSp macro="">
      <xdr:nvCxnSpPr>
        <xdr:cNvPr id="81" name="Straight Arrow Connector 80"/>
        <xdr:cNvCxnSpPr>
          <a:stCxn id="28" idx="7"/>
          <a:endCxn id="68" idx="3"/>
        </xdr:cNvCxnSpPr>
      </xdr:nvCxnSpPr>
      <xdr:spPr>
        <a:xfrm flipV="1">
          <a:off x="21700485" y="1376464"/>
          <a:ext cx="3801045" cy="5371347"/>
        </a:xfrm>
        <a:prstGeom prst="straightConnector1">
          <a:avLst/>
        </a:prstGeom>
        <a:ln w="889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406399</xdr:colOff>
      <xdr:row>43</xdr:row>
      <xdr:rowOff>64280</xdr:rowOff>
    </xdr:from>
    <xdr:to>
      <xdr:col>31</xdr:col>
      <xdr:colOff>431623</xdr:colOff>
      <xdr:row>55</xdr:row>
      <xdr:rowOff>95074</xdr:rowOff>
    </xdr:to>
    <xdr:cxnSp macro="">
      <xdr:nvCxnSpPr>
        <xdr:cNvPr id="82" name="Straight Arrow Connector 81"/>
        <xdr:cNvCxnSpPr>
          <a:stCxn id="28" idx="4"/>
          <a:endCxn id="29" idx="1"/>
        </xdr:cNvCxnSpPr>
      </xdr:nvCxnSpPr>
      <xdr:spPr>
        <a:xfrm>
          <a:off x="20904199" y="8351030"/>
          <a:ext cx="634824" cy="2316794"/>
        </a:xfrm>
        <a:prstGeom prst="straightConnector1">
          <a:avLst/>
        </a:prstGeom>
        <a:ln w="1397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584375</xdr:colOff>
      <xdr:row>17</xdr:row>
      <xdr:rowOff>169691</xdr:rowOff>
    </xdr:from>
    <xdr:to>
      <xdr:col>50</xdr:col>
      <xdr:colOff>528810</xdr:colOff>
      <xdr:row>55</xdr:row>
      <xdr:rowOff>95074</xdr:rowOff>
    </xdr:to>
    <xdr:cxnSp macro="">
      <xdr:nvCxnSpPr>
        <xdr:cNvPr id="83" name="Straight Arrow Connector 82"/>
        <xdr:cNvCxnSpPr>
          <a:stCxn id="29" idx="7"/>
          <a:endCxn id="66" idx="3"/>
        </xdr:cNvCxnSpPr>
      </xdr:nvCxnSpPr>
      <xdr:spPr>
        <a:xfrm flipV="1">
          <a:off x="22910975" y="3408191"/>
          <a:ext cx="10307635" cy="7259633"/>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369122</xdr:colOff>
      <xdr:row>6</xdr:row>
      <xdr:rowOff>190332</xdr:rowOff>
    </xdr:from>
    <xdr:to>
      <xdr:col>38</xdr:col>
      <xdr:colOff>71577</xdr:colOff>
      <xdr:row>14</xdr:row>
      <xdr:rowOff>86443</xdr:rowOff>
    </xdr:to>
    <xdr:cxnSp macro="">
      <xdr:nvCxnSpPr>
        <xdr:cNvPr id="84" name="Straight Arrow Connector 83"/>
        <xdr:cNvCxnSpPr>
          <a:stCxn id="68" idx="3"/>
          <a:endCxn id="69" idx="7"/>
        </xdr:cNvCxnSpPr>
      </xdr:nvCxnSpPr>
      <xdr:spPr>
        <a:xfrm flipH="1">
          <a:off x="22743886" y="1376464"/>
          <a:ext cx="2757644" cy="147762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265111</xdr:colOff>
      <xdr:row>38</xdr:row>
      <xdr:rowOff>99779</xdr:rowOff>
    </xdr:from>
    <xdr:to>
      <xdr:col>53</xdr:col>
      <xdr:colOff>68496</xdr:colOff>
      <xdr:row>69</xdr:row>
      <xdr:rowOff>46039</xdr:rowOff>
    </xdr:to>
    <xdr:cxnSp macro="">
      <xdr:nvCxnSpPr>
        <xdr:cNvPr id="85" name="Straight Arrow Connector 84"/>
        <xdr:cNvCxnSpPr>
          <a:stCxn id="30" idx="7"/>
          <a:endCxn id="65" idx="3"/>
        </xdr:cNvCxnSpPr>
      </xdr:nvCxnSpPr>
      <xdr:spPr>
        <a:xfrm flipV="1">
          <a:off x="26249311" y="7424504"/>
          <a:ext cx="8337785" cy="5861285"/>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0.9855</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22434549"/>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0.94059</cdr:y>
    </cdr:from>
    <cdr:to>
      <cdr:x>0.31649</cdr:x>
      <cdr:y>0.9629</cdr:y>
    </cdr:to>
    <cdr:sp macro="" textlink="">
      <cdr:nvSpPr>
        <cdr:cNvPr id="725" name="TextBox 724"/>
        <cdr:cNvSpPr txBox="1"/>
      </cdr:nvSpPr>
      <cdr:spPr>
        <a:xfrm xmlns:a="http://schemas.openxmlformats.org/drawingml/2006/main">
          <a:off x="63500" y="214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0.94059</cdr:y>
    </cdr:from>
    <cdr:to>
      <cdr:x>1</cdr:x>
      <cdr:y>0.95174</cdr:y>
    </cdr:to>
    <cdr:sp macro="" textlink="">
      <cdr:nvSpPr>
        <cdr:cNvPr id="726" name="TextBox 725"/>
        <cdr:cNvSpPr txBox="1"/>
      </cdr:nvSpPr>
      <cdr:spPr>
        <a:xfrm xmlns:a="http://schemas.openxmlformats.org/drawingml/2006/main">
          <a:off x="4815044" y="214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0.98 (0.23 – 4.01)</a:t>
          </a:r>
        </a:p>
      </cdr:txBody>
    </cdr:sp>
  </cdr:relSizeAnchor>
  <cdr:relSizeAnchor xmlns:cdr="http://schemas.openxmlformats.org/drawingml/2006/chartDrawing">
    <cdr:from>
      <cdr:x>0.01021</cdr:x>
      <cdr:y>0.91994</cdr:y>
    </cdr:from>
    <cdr:to>
      <cdr:x>0.31649</cdr:x>
      <cdr:y>0.94226</cdr:y>
    </cdr:to>
    <cdr:sp macro="" textlink="">
      <cdr:nvSpPr>
        <cdr:cNvPr id="727" name="TextBox 726"/>
        <cdr:cNvSpPr txBox="1"/>
      </cdr:nvSpPr>
      <cdr:spPr>
        <a:xfrm xmlns:a="http://schemas.openxmlformats.org/drawingml/2006/main">
          <a:off x="63500" y="209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a:t>
          </a:r>
        </a:p>
      </cdr:txBody>
    </cdr:sp>
  </cdr:relSizeAnchor>
  <cdr:relSizeAnchor xmlns:cdr="http://schemas.openxmlformats.org/drawingml/2006/chartDrawing">
    <cdr:from>
      <cdr:x>0.75498</cdr:x>
      <cdr:y>0.91994</cdr:y>
    </cdr:from>
    <cdr:to>
      <cdr:x>1</cdr:x>
      <cdr:y>0.9311</cdr:y>
    </cdr:to>
    <cdr:sp macro="" textlink="">
      <cdr:nvSpPr>
        <cdr:cNvPr id="728" name="TextBox 727"/>
        <cdr:cNvSpPr txBox="1"/>
      </cdr:nvSpPr>
      <cdr:spPr>
        <a:xfrm xmlns:a="http://schemas.openxmlformats.org/drawingml/2006/main">
          <a:off x="4815044" y="209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0.97 (0.17 – 6.29)</a:t>
          </a:r>
        </a:p>
      </cdr:txBody>
    </cdr:sp>
  </cdr:relSizeAnchor>
  <cdr:relSizeAnchor xmlns:cdr="http://schemas.openxmlformats.org/drawingml/2006/chartDrawing">
    <cdr:from>
      <cdr:x>0.01021</cdr:x>
      <cdr:y>0.8993</cdr:y>
    </cdr:from>
    <cdr:to>
      <cdr:x>0.31649</cdr:x>
      <cdr:y>0.92162</cdr:y>
    </cdr:to>
    <cdr:sp macro="" textlink="">
      <cdr:nvSpPr>
        <cdr:cNvPr id="729" name="TextBox 728"/>
        <cdr:cNvSpPr txBox="1"/>
      </cdr:nvSpPr>
      <cdr:spPr>
        <a:xfrm xmlns:a="http://schemas.openxmlformats.org/drawingml/2006/main">
          <a:off x="63500" y="2047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PARAPO</a:t>
          </a:r>
        </a:p>
      </cdr:txBody>
    </cdr:sp>
  </cdr:relSizeAnchor>
  <cdr:relSizeAnchor xmlns:cdr="http://schemas.openxmlformats.org/drawingml/2006/chartDrawing">
    <cdr:from>
      <cdr:x>0.75498</cdr:x>
      <cdr:y>0.8993</cdr:y>
    </cdr:from>
    <cdr:to>
      <cdr:x>1</cdr:x>
      <cdr:y>0.91046</cdr:y>
    </cdr:to>
    <cdr:sp macro="" textlink="">
      <cdr:nvSpPr>
        <cdr:cNvPr id="730" name="TextBox 729"/>
        <cdr:cNvSpPr txBox="1"/>
      </cdr:nvSpPr>
      <cdr:spPr>
        <a:xfrm xmlns:a="http://schemas.openxmlformats.org/drawingml/2006/main">
          <a:off x="4815044" y="2047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0.93 (0.17 – 4.90)</a:t>
          </a:r>
        </a:p>
      </cdr:txBody>
    </cdr:sp>
  </cdr:relSizeAnchor>
  <cdr:relSizeAnchor xmlns:cdr="http://schemas.openxmlformats.org/drawingml/2006/chartDrawing">
    <cdr:from>
      <cdr:x>0.01021</cdr:x>
      <cdr:y>0.87866</cdr:y>
    </cdr:from>
    <cdr:to>
      <cdr:x>0.31649</cdr:x>
      <cdr:y>0.90098</cdr:y>
    </cdr:to>
    <cdr:sp macro="" textlink="">
      <cdr:nvSpPr>
        <cdr:cNvPr id="731" name="TextBox 730"/>
        <cdr:cNvSpPr txBox="1"/>
      </cdr:nvSpPr>
      <cdr:spPr>
        <a:xfrm xmlns:a="http://schemas.openxmlformats.org/drawingml/2006/main">
          <a:off x="63500" y="2000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PARAPO</a:t>
          </a:r>
        </a:p>
      </cdr:txBody>
    </cdr:sp>
  </cdr:relSizeAnchor>
  <cdr:relSizeAnchor xmlns:cdr="http://schemas.openxmlformats.org/drawingml/2006/chartDrawing">
    <cdr:from>
      <cdr:x>0.75498</cdr:x>
      <cdr:y>0.87866</cdr:y>
    </cdr:from>
    <cdr:to>
      <cdr:x>1</cdr:x>
      <cdr:y>0.88982</cdr:y>
    </cdr:to>
    <cdr:sp macro="" textlink="">
      <cdr:nvSpPr>
        <cdr:cNvPr id="732" name="TextBox 731"/>
        <cdr:cNvSpPr txBox="1"/>
      </cdr:nvSpPr>
      <cdr:spPr>
        <a:xfrm xmlns:a="http://schemas.openxmlformats.org/drawingml/2006/main">
          <a:off x="4815044" y="2000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0.89 (0.35 – 2.36)</a:t>
          </a:r>
        </a:p>
      </cdr:txBody>
    </cdr:sp>
  </cdr:relSizeAnchor>
  <cdr:relSizeAnchor xmlns:cdr="http://schemas.openxmlformats.org/drawingml/2006/chartDrawing">
    <cdr:from>
      <cdr:x>0.01021</cdr:x>
      <cdr:y>0.85802</cdr:y>
    </cdr:from>
    <cdr:to>
      <cdr:x>0.31649</cdr:x>
      <cdr:y>0.88033</cdr:y>
    </cdr:to>
    <cdr:sp macro="" textlink="">
      <cdr:nvSpPr>
        <cdr:cNvPr id="733" name="TextBox 732"/>
        <cdr:cNvSpPr txBox="1"/>
      </cdr:nvSpPr>
      <cdr:spPr>
        <a:xfrm xmlns:a="http://schemas.openxmlformats.org/drawingml/2006/main">
          <a:off x="63500" y="1953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IBUIV</a:t>
          </a:r>
        </a:p>
      </cdr:txBody>
    </cdr:sp>
  </cdr:relSizeAnchor>
  <cdr:relSizeAnchor xmlns:cdr="http://schemas.openxmlformats.org/drawingml/2006/chartDrawing">
    <cdr:from>
      <cdr:x>0.75498</cdr:x>
      <cdr:y>0.85802</cdr:y>
    </cdr:from>
    <cdr:to>
      <cdr:x>1</cdr:x>
      <cdr:y>0.86918</cdr:y>
    </cdr:to>
    <cdr:sp macro="" textlink="">
      <cdr:nvSpPr>
        <cdr:cNvPr id="734" name="TextBox 733"/>
        <cdr:cNvSpPr txBox="1"/>
      </cdr:nvSpPr>
      <cdr:spPr>
        <a:xfrm xmlns:a="http://schemas.openxmlformats.org/drawingml/2006/main">
          <a:off x="4815044" y="1953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0.88 (0.42 – 1.82)</a:t>
          </a:r>
        </a:p>
      </cdr:txBody>
    </cdr:sp>
  </cdr:relSizeAnchor>
  <cdr:relSizeAnchor xmlns:cdr="http://schemas.openxmlformats.org/drawingml/2006/chartDrawing">
    <cdr:from>
      <cdr:x>0.01021</cdr:x>
      <cdr:y>0.83738</cdr:y>
    </cdr:from>
    <cdr:to>
      <cdr:x>0.31649</cdr:x>
      <cdr:y>0.85969</cdr:y>
    </cdr:to>
    <cdr:sp macro="" textlink="">
      <cdr:nvSpPr>
        <cdr:cNvPr id="735" name="TextBox 734"/>
        <cdr:cNvSpPr txBox="1"/>
      </cdr:nvSpPr>
      <cdr:spPr>
        <a:xfrm xmlns:a="http://schemas.openxmlformats.org/drawingml/2006/main">
          <a:off x="63500" y="1906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IBUPOHIGHDOSE</a:t>
          </a:r>
        </a:p>
      </cdr:txBody>
    </cdr:sp>
  </cdr:relSizeAnchor>
  <cdr:relSizeAnchor xmlns:cdr="http://schemas.openxmlformats.org/drawingml/2006/chartDrawing">
    <cdr:from>
      <cdr:x>0.75498</cdr:x>
      <cdr:y>0.83738</cdr:y>
    </cdr:from>
    <cdr:to>
      <cdr:x>1</cdr:x>
      <cdr:y>0.84854</cdr:y>
    </cdr:to>
    <cdr:sp macro="" textlink="">
      <cdr:nvSpPr>
        <cdr:cNvPr id="736" name="TextBox 735"/>
        <cdr:cNvSpPr txBox="1"/>
      </cdr:nvSpPr>
      <cdr:spPr>
        <a:xfrm xmlns:a="http://schemas.openxmlformats.org/drawingml/2006/main">
          <a:off x="4815044" y="1906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0.83 (0.07 – 8.22)</a:t>
          </a:r>
        </a:p>
      </cdr:txBody>
    </cdr:sp>
  </cdr:relSizeAnchor>
  <cdr:relSizeAnchor xmlns:cdr="http://schemas.openxmlformats.org/drawingml/2006/chartDrawing">
    <cdr:from>
      <cdr:x>0.01021</cdr:x>
      <cdr:y>0.81674</cdr:y>
    </cdr:from>
    <cdr:to>
      <cdr:x>0.31649</cdr:x>
      <cdr:y>0.83905</cdr:y>
    </cdr:to>
    <cdr:sp macro="" textlink="">
      <cdr:nvSpPr>
        <cdr:cNvPr id="737" name="TextBox 736"/>
        <cdr:cNvSpPr txBox="1"/>
      </cdr:nvSpPr>
      <cdr:spPr>
        <a:xfrm xmlns:a="http://schemas.openxmlformats.org/drawingml/2006/main">
          <a:off x="63500" y="1859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0.81674</cdr:y>
    </cdr:from>
    <cdr:to>
      <cdr:x>1</cdr:x>
      <cdr:y>0.82789</cdr:y>
    </cdr:to>
    <cdr:sp macro="" textlink="">
      <cdr:nvSpPr>
        <cdr:cNvPr id="738" name="TextBox 737"/>
        <cdr:cNvSpPr txBox="1"/>
      </cdr:nvSpPr>
      <cdr:spPr>
        <a:xfrm xmlns:a="http://schemas.openxmlformats.org/drawingml/2006/main">
          <a:off x="4815044" y="1859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0.76 (0.24 – 2.45)</a:t>
          </a:r>
        </a:p>
      </cdr:txBody>
    </cdr:sp>
  </cdr:relSizeAnchor>
  <cdr:relSizeAnchor xmlns:cdr="http://schemas.openxmlformats.org/drawingml/2006/chartDrawing">
    <cdr:from>
      <cdr:x>0.01021</cdr:x>
      <cdr:y>0.79609</cdr:y>
    </cdr:from>
    <cdr:to>
      <cdr:x>0.31649</cdr:x>
      <cdr:y>0.81841</cdr:y>
    </cdr:to>
    <cdr:sp macro="" textlink="">
      <cdr:nvSpPr>
        <cdr:cNvPr id="739" name="TextBox 738"/>
        <cdr:cNvSpPr txBox="1"/>
      </cdr:nvSpPr>
      <cdr:spPr>
        <a:xfrm xmlns:a="http://schemas.openxmlformats.org/drawingml/2006/main">
          <a:off x="63500" y="1812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IBUPO</a:t>
          </a:r>
        </a:p>
      </cdr:txBody>
    </cdr:sp>
  </cdr:relSizeAnchor>
  <cdr:relSizeAnchor xmlns:cdr="http://schemas.openxmlformats.org/drawingml/2006/chartDrawing">
    <cdr:from>
      <cdr:x>0.75498</cdr:x>
      <cdr:y>0.79609</cdr:y>
    </cdr:from>
    <cdr:to>
      <cdr:x>1</cdr:x>
      <cdr:y>0.80725</cdr:y>
    </cdr:to>
    <cdr:sp macro="" textlink="">
      <cdr:nvSpPr>
        <cdr:cNvPr id="740" name="TextBox 739"/>
        <cdr:cNvSpPr txBox="1"/>
      </cdr:nvSpPr>
      <cdr:spPr>
        <a:xfrm xmlns:a="http://schemas.openxmlformats.org/drawingml/2006/main">
          <a:off x="4815044" y="1812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0.75 (0.15 – 3.72)</a:t>
          </a:r>
        </a:p>
      </cdr:txBody>
    </cdr:sp>
  </cdr:relSizeAnchor>
  <cdr:relSizeAnchor xmlns:cdr="http://schemas.openxmlformats.org/drawingml/2006/chartDrawing">
    <cdr:from>
      <cdr:x>0.01021</cdr:x>
      <cdr:y>0.77545</cdr:y>
    </cdr:from>
    <cdr:to>
      <cdr:x>0.31649</cdr:x>
      <cdr:y>0.79777</cdr:y>
    </cdr:to>
    <cdr:sp macro="" textlink="">
      <cdr:nvSpPr>
        <cdr:cNvPr id="741" name="TextBox 740"/>
        <cdr:cNvSpPr txBox="1"/>
      </cdr:nvSpPr>
      <cdr:spPr>
        <a:xfrm xmlns:a="http://schemas.openxmlformats.org/drawingml/2006/main">
          <a:off x="63500" y="1765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0.77545</cdr:y>
    </cdr:from>
    <cdr:to>
      <cdr:x>1</cdr:x>
      <cdr:y>0.78661</cdr:y>
    </cdr:to>
    <cdr:sp macro="" textlink="">
      <cdr:nvSpPr>
        <cdr:cNvPr id="742" name="TextBox 741"/>
        <cdr:cNvSpPr txBox="1"/>
      </cdr:nvSpPr>
      <cdr:spPr>
        <a:xfrm xmlns:a="http://schemas.openxmlformats.org/drawingml/2006/main">
          <a:off x="4815044" y="1765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0.73 (0.08 – 5.80)</a:t>
          </a:r>
        </a:p>
      </cdr:txBody>
    </cdr:sp>
  </cdr:relSizeAnchor>
  <cdr:relSizeAnchor xmlns:cdr="http://schemas.openxmlformats.org/drawingml/2006/chartDrawing">
    <cdr:from>
      <cdr:x>0.01021</cdr:x>
      <cdr:y>0.75481</cdr:y>
    </cdr:from>
    <cdr:to>
      <cdr:x>0.31649</cdr:x>
      <cdr:y>0.77713</cdr:y>
    </cdr:to>
    <cdr:sp macro="" textlink="">
      <cdr:nvSpPr>
        <cdr:cNvPr id="743" name="TextBox 742"/>
        <cdr:cNvSpPr txBox="1"/>
      </cdr:nvSpPr>
      <cdr:spPr>
        <a:xfrm xmlns:a="http://schemas.openxmlformats.org/drawingml/2006/main">
          <a:off x="63500" y="1718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0.75481</cdr:y>
    </cdr:from>
    <cdr:to>
      <cdr:x>1</cdr:x>
      <cdr:y>0.76597</cdr:y>
    </cdr:to>
    <cdr:sp macro="" textlink="">
      <cdr:nvSpPr>
        <cdr:cNvPr id="744" name="TextBox 743"/>
        <cdr:cNvSpPr txBox="1"/>
      </cdr:nvSpPr>
      <cdr:spPr>
        <a:xfrm xmlns:a="http://schemas.openxmlformats.org/drawingml/2006/main">
          <a:off x="4815044" y="1718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0.70 (0.17 – 3.02)</a:t>
          </a:r>
        </a:p>
      </cdr:txBody>
    </cdr:sp>
  </cdr:relSizeAnchor>
  <cdr:relSizeAnchor xmlns:cdr="http://schemas.openxmlformats.org/drawingml/2006/chartDrawing">
    <cdr:from>
      <cdr:x>0.01021</cdr:x>
      <cdr:y>0.73417</cdr:y>
    </cdr:from>
    <cdr:to>
      <cdr:x>0.31649</cdr:x>
      <cdr:y>0.75649</cdr:y>
    </cdr:to>
    <cdr:sp macro="" textlink="">
      <cdr:nvSpPr>
        <cdr:cNvPr id="745" name="TextBox 744"/>
        <cdr:cNvSpPr txBox="1"/>
      </cdr:nvSpPr>
      <cdr:spPr>
        <a:xfrm xmlns:a="http://schemas.openxmlformats.org/drawingml/2006/main">
          <a:off x="63500" y="1671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0.73417</cdr:y>
    </cdr:from>
    <cdr:to>
      <cdr:x>1</cdr:x>
      <cdr:y>0.74533</cdr:y>
    </cdr:to>
    <cdr:sp macro="" textlink="">
      <cdr:nvSpPr>
        <cdr:cNvPr id="746" name="TextBox 745"/>
        <cdr:cNvSpPr txBox="1"/>
      </cdr:nvSpPr>
      <cdr:spPr>
        <a:xfrm xmlns:a="http://schemas.openxmlformats.org/drawingml/2006/main">
          <a:off x="4815044" y="1671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0.69 (0.30 – 1.52)</a:t>
          </a:r>
        </a:p>
      </cdr:txBody>
    </cdr:sp>
  </cdr:relSizeAnchor>
  <cdr:relSizeAnchor xmlns:cdr="http://schemas.openxmlformats.org/drawingml/2006/chartDrawing">
    <cdr:from>
      <cdr:x>0.01021</cdr:x>
      <cdr:y>0.71297</cdr:y>
    </cdr:from>
    <cdr:to>
      <cdr:x>0.31649</cdr:x>
      <cdr:y>0.73529</cdr:y>
    </cdr:to>
    <cdr:sp macro="" textlink="">
      <cdr:nvSpPr>
        <cdr:cNvPr id="747" name="TextBox 746"/>
        <cdr:cNvSpPr txBox="1"/>
      </cdr:nvSpPr>
      <cdr:spPr>
        <a:xfrm xmlns:a="http://schemas.openxmlformats.org/drawingml/2006/main">
          <a:off x="63500" y="162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IBUIVHIGHDOSE</a:t>
          </a:r>
        </a:p>
      </cdr:txBody>
    </cdr:sp>
  </cdr:relSizeAnchor>
  <cdr:relSizeAnchor xmlns:cdr="http://schemas.openxmlformats.org/drawingml/2006/chartDrawing">
    <cdr:from>
      <cdr:x>0.75498</cdr:x>
      <cdr:y>0.71297</cdr:y>
    </cdr:from>
    <cdr:to>
      <cdr:x>1</cdr:x>
      <cdr:y>0.72413</cdr:y>
    </cdr:to>
    <cdr:sp macro="" textlink="">
      <cdr:nvSpPr>
        <cdr:cNvPr id="748" name="TextBox 747"/>
        <cdr:cNvSpPr txBox="1"/>
      </cdr:nvSpPr>
      <cdr:spPr>
        <a:xfrm xmlns:a="http://schemas.openxmlformats.org/drawingml/2006/main">
          <a:off x="4815044" y="162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(0.11 – 3.73)</a:t>
          </a:r>
        </a:p>
      </cdr:txBody>
    </cdr:sp>
  </cdr:relSizeAnchor>
  <cdr:relSizeAnchor xmlns:cdr="http://schemas.openxmlformats.org/drawingml/2006/chartDrawing">
    <cdr:from>
      <cdr:x>0.01021</cdr:x>
      <cdr:y>0.69233</cdr:y>
    </cdr:from>
    <cdr:to>
      <cdr:x>0.31649</cdr:x>
      <cdr:y>0.71464</cdr:y>
    </cdr:to>
    <cdr:sp macro="" textlink="">
      <cdr:nvSpPr>
        <cdr:cNvPr id="749" name="TextBox 748"/>
        <cdr:cNvSpPr txBox="1"/>
      </cdr:nvSpPr>
      <cdr:spPr>
        <a:xfrm xmlns:a="http://schemas.openxmlformats.org/drawingml/2006/main">
          <a:off x="63500" y="157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0.69233</cdr:y>
    </cdr:from>
    <cdr:to>
      <cdr:x>1</cdr:x>
      <cdr:y>0.70349</cdr:y>
    </cdr:to>
    <cdr:sp macro="" textlink="">
      <cdr:nvSpPr>
        <cdr:cNvPr id="750" name="TextBox 749"/>
        <cdr:cNvSpPr txBox="1"/>
      </cdr:nvSpPr>
      <cdr:spPr>
        <a:xfrm xmlns:a="http://schemas.openxmlformats.org/drawingml/2006/main">
          <a:off x="4815044" y="157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(0.23 – 2.04)</a:t>
          </a:r>
        </a:p>
      </cdr:txBody>
    </cdr:sp>
  </cdr:relSizeAnchor>
  <cdr:relSizeAnchor xmlns:cdr="http://schemas.openxmlformats.org/drawingml/2006/chartDrawing">
    <cdr:from>
      <cdr:x>0.01021</cdr:x>
      <cdr:y>0.67169</cdr:y>
    </cdr:from>
    <cdr:to>
      <cdr:x>0.31649</cdr:x>
      <cdr:y>0.694</cdr:y>
    </cdr:to>
    <cdr:sp macro="" textlink="">
      <cdr:nvSpPr>
        <cdr:cNvPr id="751" name="TextBox 750"/>
        <cdr:cNvSpPr txBox="1"/>
      </cdr:nvSpPr>
      <cdr:spPr>
        <a:xfrm xmlns:a="http://schemas.openxmlformats.org/drawingml/2006/main">
          <a:off x="63500" y="152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a:t>
          </a:r>
        </a:p>
      </cdr:txBody>
    </cdr:sp>
  </cdr:relSizeAnchor>
  <cdr:relSizeAnchor xmlns:cdr="http://schemas.openxmlformats.org/drawingml/2006/chartDrawing">
    <cdr:from>
      <cdr:x>0.75498</cdr:x>
      <cdr:y>0.67169</cdr:y>
    </cdr:from>
    <cdr:to>
      <cdr:x>1</cdr:x>
      <cdr:y>0.68285</cdr:y>
    </cdr:to>
    <cdr:sp macro="" textlink="">
      <cdr:nvSpPr>
        <cdr:cNvPr id="752" name="TextBox 751"/>
        <cdr:cNvSpPr txBox="1"/>
      </cdr:nvSpPr>
      <cdr:spPr>
        <a:xfrm xmlns:a="http://schemas.openxmlformats.org/drawingml/2006/main">
          <a:off x="4815044" y="152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0.67 (0.40 – 1.14)</a:t>
          </a:r>
        </a:p>
      </cdr:txBody>
    </cdr:sp>
  </cdr:relSizeAnchor>
  <cdr:relSizeAnchor xmlns:cdr="http://schemas.openxmlformats.org/drawingml/2006/chartDrawing">
    <cdr:from>
      <cdr:x>0.01021</cdr:x>
      <cdr:y>0.65105</cdr:y>
    </cdr:from>
    <cdr:to>
      <cdr:x>0.31649</cdr:x>
      <cdr:y>0.67336</cdr:y>
    </cdr:to>
    <cdr:sp macro="" textlink="">
      <cdr:nvSpPr>
        <cdr:cNvPr id="753" name="TextBox 752"/>
        <cdr:cNvSpPr txBox="1"/>
      </cdr:nvSpPr>
      <cdr:spPr>
        <a:xfrm xmlns:a="http://schemas.openxmlformats.org/drawingml/2006/main">
          <a:off x="63500" y="148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PARAPO</a:t>
          </a:r>
        </a:p>
      </cdr:txBody>
    </cdr:sp>
  </cdr:relSizeAnchor>
  <cdr:relSizeAnchor xmlns:cdr="http://schemas.openxmlformats.org/drawingml/2006/chartDrawing">
    <cdr:from>
      <cdr:x>0.75498</cdr:x>
      <cdr:y>0.65105</cdr:y>
    </cdr:from>
    <cdr:to>
      <cdr:x>1</cdr:x>
      <cdr:y>0.6622</cdr:y>
    </cdr:to>
    <cdr:sp macro="" textlink="">
      <cdr:nvSpPr>
        <cdr:cNvPr id="754" name="TextBox 753"/>
        <cdr:cNvSpPr txBox="1"/>
      </cdr:nvSpPr>
      <cdr:spPr>
        <a:xfrm xmlns:a="http://schemas.openxmlformats.org/drawingml/2006/main">
          <a:off x="4815044" y="148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0.66 (0.10 – 4.24)</a:t>
          </a:r>
        </a:p>
      </cdr:txBody>
    </cdr:sp>
  </cdr:relSizeAnchor>
  <cdr:relSizeAnchor xmlns:cdr="http://schemas.openxmlformats.org/drawingml/2006/chartDrawing">
    <cdr:from>
      <cdr:x>0.01021</cdr:x>
      <cdr:y>0.6304</cdr:y>
    </cdr:from>
    <cdr:to>
      <cdr:x>0.31649</cdr:x>
      <cdr:y>0.65272</cdr:y>
    </cdr:to>
    <cdr:sp macro="" textlink="">
      <cdr:nvSpPr>
        <cdr:cNvPr id="755" name="TextBox 754"/>
        <cdr:cNvSpPr txBox="1"/>
      </cdr:nvSpPr>
      <cdr:spPr>
        <a:xfrm xmlns:a="http://schemas.openxmlformats.org/drawingml/2006/main">
          <a:off x="63500" y="143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INDOTHERS</a:t>
          </a:r>
        </a:p>
      </cdr:txBody>
    </cdr:sp>
  </cdr:relSizeAnchor>
  <cdr:relSizeAnchor xmlns:cdr="http://schemas.openxmlformats.org/drawingml/2006/chartDrawing">
    <cdr:from>
      <cdr:x>0.75498</cdr:x>
      <cdr:y>0.6304</cdr:y>
    </cdr:from>
    <cdr:to>
      <cdr:x>1</cdr:x>
      <cdr:y>0.64156</cdr:y>
    </cdr:to>
    <cdr:sp macro="" textlink="">
      <cdr:nvSpPr>
        <cdr:cNvPr id="756" name="TextBox 755"/>
        <cdr:cNvSpPr txBox="1"/>
      </cdr:nvSpPr>
      <cdr:spPr>
        <a:xfrm xmlns:a="http://schemas.openxmlformats.org/drawingml/2006/main">
          <a:off x="4815044" y="143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0.65 (0.38 – 1.13)</a:t>
          </a:r>
        </a:p>
      </cdr:txBody>
    </cdr:sp>
  </cdr:relSizeAnchor>
  <cdr:relSizeAnchor xmlns:cdr="http://schemas.openxmlformats.org/drawingml/2006/chartDrawing">
    <cdr:from>
      <cdr:x>0.01021</cdr:x>
      <cdr:y>0.60976</cdr:y>
    </cdr:from>
    <cdr:to>
      <cdr:x>0.31649</cdr:x>
      <cdr:y>0.63208</cdr:y>
    </cdr:to>
    <cdr:sp macro="" textlink="">
      <cdr:nvSpPr>
        <cdr:cNvPr id="757" name="TextBox 756"/>
        <cdr:cNvSpPr txBox="1"/>
      </cdr:nvSpPr>
      <cdr:spPr>
        <a:xfrm xmlns:a="http://schemas.openxmlformats.org/drawingml/2006/main">
          <a:off x="63500" y="138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a:t>
          </a:r>
        </a:p>
      </cdr:txBody>
    </cdr:sp>
  </cdr:relSizeAnchor>
  <cdr:relSizeAnchor xmlns:cdr="http://schemas.openxmlformats.org/drawingml/2006/chartDrawing">
    <cdr:from>
      <cdr:x>0.75498</cdr:x>
      <cdr:y>0.60976</cdr:y>
    </cdr:from>
    <cdr:to>
      <cdr:x>1</cdr:x>
      <cdr:y>0.62092</cdr:y>
    </cdr:to>
    <cdr:sp macro="" textlink="">
      <cdr:nvSpPr>
        <cdr:cNvPr id="758" name="TextBox 757"/>
        <cdr:cNvSpPr txBox="1"/>
      </cdr:nvSpPr>
      <cdr:spPr>
        <a:xfrm xmlns:a="http://schemas.openxmlformats.org/drawingml/2006/main">
          <a:off x="4815044" y="138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0.63 (0.17 – 2.22)</a:t>
          </a:r>
        </a:p>
      </cdr:txBody>
    </cdr:sp>
  </cdr:relSizeAnchor>
  <cdr:relSizeAnchor xmlns:cdr="http://schemas.openxmlformats.org/drawingml/2006/chartDrawing">
    <cdr:from>
      <cdr:x>0.01021</cdr:x>
      <cdr:y>0.58912</cdr:y>
    </cdr:from>
    <cdr:to>
      <cdr:x>0.31649</cdr:x>
      <cdr:y>0.61144</cdr:y>
    </cdr:to>
    <cdr:sp macro="" textlink="">
      <cdr:nvSpPr>
        <cdr:cNvPr id="759" name="TextBox 758"/>
        <cdr:cNvSpPr txBox="1"/>
      </cdr:nvSpPr>
      <cdr:spPr>
        <a:xfrm xmlns:a="http://schemas.openxmlformats.org/drawingml/2006/main">
          <a:off x="63500" y="134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INDOTHERS</a:t>
          </a:r>
        </a:p>
      </cdr:txBody>
    </cdr:sp>
  </cdr:relSizeAnchor>
  <cdr:relSizeAnchor xmlns:cdr="http://schemas.openxmlformats.org/drawingml/2006/chartDrawing">
    <cdr:from>
      <cdr:x>0.75498</cdr:x>
      <cdr:y>0.58912</cdr:y>
    </cdr:from>
    <cdr:to>
      <cdr:x>1</cdr:x>
      <cdr:y>0.60028</cdr:y>
    </cdr:to>
    <cdr:sp macro="" textlink="">
      <cdr:nvSpPr>
        <cdr:cNvPr id="760" name="TextBox 759"/>
        <cdr:cNvSpPr txBox="1"/>
      </cdr:nvSpPr>
      <cdr:spPr>
        <a:xfrm xmlns:a="http://schemas.openxmlformats.org/drawingml/2006/main">
          <a:off x="4815044" y="134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0.63 (0.10 – 4.36)</a:t>
          </a:r>
        </a:p>
      </cdr:txBody>
    </cdr:sp>
  </cdr:relSizeAnchor>
  <cdr:relSizeAnchor xmlns:cdr="http://schemas.openxmlformats.org/drawingml/2006/chartDrawing">
    <cdr:from>
      <cdr:x>0.01021</cdr:x>
      <cdr:y>0.56848</cdr:y>
    </cdr:from>
    <cdr:to>
      <cdr:x>0.31649</cdr:x>
      <cdr:y>0.59079</cdr:y>
    </cdr:to>
    <cdr:sp macro="" textlink="">
      <cdr:nvSpPr>
        <cdr:cNvPr id="761" name="TextBox 760"/>
        <cdr:cNvSpPr txBox="1"/>
      </cdr:nvSpPr>
      <cdr:spPr>
        <a:xfrm xmlns:a="http://schemas.openxmlformats.org/drawingml/2006/main">
          <a:off x="63500" y="12941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a:t>
          </a:r>
        </a:p>
      </cdr:txBody>
    </cdr:sp>
  </cdr:relSizeAnchor>
  <cdr:relSizeAnchor xmlns:cdr="http://schemas.openxmlformats.org/drawingml/2006/chartDrawing">
    <cdr:from>
      <cdr:x>0.75498</cdr:x>
      <cdr:y>0.56848</cdr:y>
    </cdr:from>
    <cdr:to>
      <cdr:x>1</cdr:x>
      <cdr:y>0.57964</cdr:y>
    </cdr:to>
    <cdr:sp macro="" textlink="">
      <cdr:nvSpPr>
        <cdr:cNvPr id="762" name="TextBox 761"/>
        <cdr:cNvSpPr txBox="1"/>
      </cdr:nvSpPr>
      <cdr:spPr>
        <a:xfrm xmlns:a="http://schemas.openxmlformats.org/drawingml/2006/main">
          <a:off x="4815044" y="12941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(0.09 – 3.15)</a:t>
          </a:r>
        </a:p>
      </cdr:txBody>
    </cdr:sp>
  </cdr:relSizeAnchor>
  <cdr:relSizeAnchor xmlns:cdr="http://schemas.openxmlformats.org/drawingml/2006/chartDrawing">
    <cdr:from>
      <cdr:x>0.01021</cdr:x>
      <cdr:y>0.54784</cdr:y>
    </cdr:from>
    <cdr:to>
      <cdr:x>0.31649</cdr:x>
      <cdr:y>0.57015</cdr:y>
    </cdr:to>
    <cdr:sp macro="" textlink="">
      <cdr:nvSpPr>
        <cdr:cNvPr id="763" name="TextBox 762"/>
        <cdr:cNvSpPr txBox="1"/>
      </cdr:nvSpPr>
      <cdr:spPr>
        <a:xfrm xmlns:a="http://schemas.openxmlformats.org/drawingml/2006/main">
          <a:off x="63500" y="12471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IBUIVHIGHDOSE</a:t>
          </a:r>
        </a:p>
      </cdr:txBody>
    </cdr:sp>
  </cdr:relSizeAnchor>
  <cdr:relSizeAnchor xmlns:cdr="http://schemas.openxmlformats.org/drawingml/2006/chartDrawing">
    <cdr:from>
      <cdr:x>0.75498</cdr:x>
      <cdr:y>0.54784</cdr:y>
    </cdr:from>
    <cdr:to>
      <cdr:x>1</cdr:x>
      <cdr:y>0.559</cdr:y>
    </cdr:to>
    <cdr:sp macro="" textlink="">
      <cdr:nvSpPr>
        <cdr:cNvPr id="764" name="TextBox 763"/>
        <cdr:cNvSpPr txBox="1"/>
      </cdr:nvSpPr>
      <cdr:spPr>
        <a:xfrm xmlns:a="http://schemas.openxmlformats.org/drawingml/2006/main">
          <a:off x="4815044" y="12471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(0.08 – 3.77)</a:t>
          </a:r>
        </a:p>
      </cdr:txBody>
    </cdr:sp>
  </cdr:relSizeAnchor>
  <cdr:relSizeAnchor xmlns:cdr="http://schemas.openxmlformats.org/drawingml/2006/chartDrawing">
    <cdr:from>
      <cdr:x>0.01021</cdr:x>
      <cdr:y>0.5272</cdr:y>
    </cdr:from>
    <cdr:to>
      <cdr:x>0.31649</cdr:x>
      <cdr:y>0.54951</cdr:y>
    </cdr:to>
    <cdr:sp macro="" textlink="">
      <cdr:nvSpPr>
        <cdr:cNvPr id="765" name="TextBox 764"/>
        <cdr:cNvSpPr txBox="1"/>
      </cdr:nvSpPr>
      <cdr:spPr>
        <a:xfrm xmlns:a="http://schemas.openxmlformats.org/drawingml/2006/main">
          <a:off x="63500" y="12001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0.5272</cdr:y>
    </cdr:from>
    <cdr:to>
      <cdr:x>1</cdr:x>
      <cdr:y>0.53835</cdr:y>
    </cdr:to>
    <cdr:sp macro="" textlink="">
      <cdr:nvSpPr>
        <cdr:cNvPr id="766" name="TextBox 765"/>
        <cdr:cNvSpPr txBox="1"/>
      </cdr:nvSpPr>
      <cdr:spPr>
        <a:xfrm xmlns:a="http://schemas.openxmlformats.org/drawingml/2006/main">
          <a:off x="4815044" y="12001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0.61 (0.30 – 1.16)</a:t>
          </a:r>
        </a:p>
      </cdr:txBody>
    </cdr:sp>
  </cdr:relSizeAnchor>
  <cdr:relSizeAnchor xmlns:cdr="http://schemas.openxmlformats.org/drawingml/2006/chartDrawing">
    <cdr:from>
      <cdr:x>0.01021</cdr:x>
      <cdr:y>0.50656</cdr:y>
    </cdr:from>
    <cdr:to>
      <cdr:x>0.31649</cdr:x>
      <cdr:y>0.52887</cdr:y>
    </cdr:to>
    <cdr:sp macro="" textlink="">
      <cdr:nvSpPr>
        <cdr:cNvPr id="767" name="TextBox 766"/>
        <cdr:cNvSpPr txBox="1"/>
      </cdr:nvSpPr>
      <cdr:spPr>
        <a:xfrm xmlns:a="http://schemas.openxmlformats.org/drawingml/2006/main">
          <a:off x="63500" y="11531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INDOIV</a:t>
          </a:r>
        </a:p>
      </cdr:txBody>
    </cdr:sp>
  </cdr:relSizeAnchor>
  <cdr:relSizeAnchor xmlns:cdr="http://schemas.openxmlformats.org/drawingml/2006/chartDrawing">
    <cdr:from>
      <cdr:x>0.75498</cdr:x>
      <cdr:y>0.50656</cdr:y>
    </cdr:from>
    <cdr:to>
      <cdr:x>1</cdr:x>
      <cdr:y>0.51771</cdr:y>
    </cdr:to>
    <cdr:sp macro="" textlink="">
      <cdr:nvSpPr>
        <cdr:cNvPr id="768" name="TextBox 767"/>
        <cdr:cNvSpPr txBox="1"/>
      </cdr:nvSpPr>
      <cdr:spPr>
        <a:xfrm xmlns:a="http://schemas.openxmlformats.org/drawingml/2006/main">
          <a:off x="4815044" y="11531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0.60 (0.29 – 1.21)</a:t>
          </a:r>
        </a:p>
      </cdr:txBody>
    </cdr:sp>
  </cdr:relSizeAnchor>
  <cdr:relSizeAnchor xmlns:cdr="http://schemas.openxmlformats.org/drawingml/2006/chartDrawing">
    <cdr:from>
      <cdr:x>0.01021</cdr:x>
      <cdr:y>0.48591</cdr:y>
    </cdr:from>
    <cdr:to>
      <cdr:x>0.31649</cdr:x>
      <cdr:y>0.50823</cdr:y>
    </cdr:to>
    <cdr:sp macro="" textlink="">
      <cdr:nvSpPr>
        <cdr:cNvPr id="769" name="TextBox 768"/>
        <cdr:cNvSpPr txBox="1"/>
      </cdr:nvSpPr>
      <cdr:spPr>
        <a:xfrm xmlns:a="http://schemas.openxmlformats.org/drawingml/2006/main">
          <a:off x="63500" y="1106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INDOIVCONT</a:t>
          </a:r>
        </a:p>
      </cdr:txBody>
    </cdr:sp>
  </cdr:relSizeAnchor>
  <cdr:relSizeAnchor xmlns:cdr="http://schemas.openxmlformats.org/drawingml/2006/chartDrawing">
    <cdr:from>
      <cdr:x>0.75498</cdr:x>
      <cdr:y>0.48591</cdr:y>
    </cdr:from>
    <cdr:to>
      <cdr:x>1</cdr:x>
      <cdr:y>0.49707</cdr:y>
    </cdr:to>
    <cdr:sp macro="" textlink="">
      <cdr:nvSpPr>
        <cdr:cNvPr id="770" name="TextBox 769"/>
        <cdr:cNvSpPr txBox="1"/>
      </cdr:nvSpPr>
      <cdr:spPr>
        <a:xfrm xmlns:a="http://schemas.openxmlformats.org/drawingml/2006/main">
          <a:off x="4815044" y="1106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0.60 (0.06 – 4.36)</a:t>
          </a:r>
        </a:p>
      </cdr:txBody>
    </cdr:sp>
  </cdr:relSizeAnchor>
  <cdr:relSizeAnchor xmlns:cdr="http://schemas.openxmlformats.org/drawingml/2006/chartDrawing">
    <cdr:from>
      <cdr:x>0.01021</cdr:x>
      <cdr:y>0.46527</cdr:y>
    </cdr:from>
    <cdr:to>
      <cdr:x>0.31649</cdr:x>
      <cdr:y>0.48759</cdr:y>
    </cdr:to>
    <cdr:sp macro="" textlink="">
      <cdr:nvSpPr>
        <cdr:cNvPr id="771" name="TextBox 770"/>
        <cdr:cNvSpPr txBox="1"/>
      </cdr:nvSpPr>
      <cdr:spPr>
        <a:xfrm xmlns:a="http://schemas.openxmlformats.org/drawingml/2006/main">
          <a:off x="63500" y="1059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PARAPO</a:t>
          </a:r>
        </a:p>
      </cdr:txBody>
    </cdr:sp>
  </cdr:relSizeAnchor>
  <cdr:relSizeAnchor xmlns:cdr="http://schemas.openxmlformats.org/drawingml/2006/chartDrawing">
    <cdr:from>
      <cdr:x>0.75498</cdr:x>
      <cdr:y>0.46527</cdr:y>
    </cdr:from>
    <cdr:to>
      <cdr:x>1</cdr:x>
      <cdr:y>0.47643</cdr:y>
    </cdr:to>
    <cdr:sp macro="" textlink="">
      <cdr:nvSpPr>
        <cdr:cNvPr id="772" name="TextBox 771"/>
        <cdr:cNvSpPr txBox="1"/>
      </cdr:nvSpPr>
      <cdr:spPr>
        <a:xfrm xmlns:a="http://schemas.openxmlformats.org/drawingml/2006/main">
          <a:off x="4815044" y="1059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0.56 (0.07 – 3.34)</a:t>
          </a:r>
        </a:p>
      </cdr:txBody>
    </cdr:sp>
  </cdr:relSizeAnchor>
  <cdr:relSizeAnchor xmlns:cdr="http://schemas.openxmlformats.org/drawingml/2006/chartDrawing">
    <cdr:from>
      <cdr:x>0.01021</cdr:x>
      <cdr:y>0.44463</cdr:y>
    </cdr:from>
    <cdr:to>
      <cdr:x>0.31649</cdr:x>
      <cdr:y>0.46695</cdr:y>
    </cdr:to>
    <cdr:sp macro="" textlink="">
      <cdr:nvSpPr>
        <cdr:cNvPr id="773" name="TextBox 772"/>
        <cdr:cNvSpPr txBox="1"/>
      </cdr:nvSpPr>
      <cdr:spPr>
        <a:xfrm xmlns:a="http://schemas.openxmlformats.org/drawingml/2006/main">
          <a:off x="63500" y="1012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0.44463</cdr:y>
    </cdr:from>
    <cdr:to>
      <cdr:x>1</cdr:x>
      <cdr:y>0.45579</cdr:y>
    </cdr:to>
    <cdr:sp macro="" textlink="">
      <cdr:nvSpPr>
        <cdr:cNvPr id="774" name="TextBox 773"/>
        <cdr:cNvSpPr txBox="1"/>
      </cdr:nvSpPr>
      <cdr:spPr>
        <a:xfrm xmlns:a="http://schemas.openxmlformats.org/drawingml/2006/main">
          <a:off x="4815044" y="1012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0.52 (0.08 – 3.15)</a:t>
          </a:r>
        </a:p>
      </cdr:txBody>
    </cdr:sp>
  </cdr:relSizeAnchor>
  <cdr:relSizeAnchor xmlns:cdr="http://schemas.openxmlformats.org/drawingml/2006/chartDrawing">
    <cdr:from>
      <cdr:x>0.01021</cdr:x>
      <cdr:y>0.42399</cdr:y>
    </cdr:from>
    <cdr:to>
      <cdr:x>0.31649</cdr:x>
      <cdr:y>0.4463</cdr:y>
    </cdr:to>
    <cdr:sp macro="" textlink="">
      <cdr:nvSpPr>
        <cdr:cNvPr id="775" name="TextBox 774"/>
        <cdr:cNvSpPr txBox="1"/>
      </cdr:nvSpPr>
      <cdr:spPr>
        <a:xfrm xmlns:a="http://schemas.openxmlformats.org/drawingml/2006/main">
          <a:off x="63500" y="965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IBUIVHIGHDOSE</a:t>
          </a:r>
        </a:p>
      </cdr:txBody>
    </cdr:sp>
  </cdr:relSizeAnchor>
  <cdr:relSizeAnchor xmlns:cdr="http://schemas.openxmlformats.org/drawingml/2006/chartDrawing">
    <cdr:from>
      <cdr:x>0.75498</cdr:x>
      <cdr:y>0.42399</cdr:y>
    </cdr:from>
    <cdr:to>
      <cdr:x>1</cdr:x>
      <cdr:y>0.43515</cdr:y>
    </cdr:to>
    <cdr:sp macro="" textlink="">
      <cdr:nvSpPr>
        <cdr:cNvPr id="776" name="TextBox 775"/>
        <cdr:cNvSpPr txBox="1"/>
      </cdr:nvSpPr>
      <cdr:spPr>
        <a:xfrm xmlns:a="http://schemas.openxmlformats.org/drawingml/2006/main">
          <a:off x="4815044" y="965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(0.05 – 3.43)</a:t>
          </a:r>
        </a:p>
      </cdr:txBody>
    </cdr:sp>
  </cdr:relSizeAnchor>
  <cdr:relSizeAnchor xmlns:cdr="http://schemas.openxmlformats.org/drawingml/2006/chartDrawing">
    <cdr:from>
      <cdr:x>0.01021</cdr:x>
      <cdr:y>0.40335</cdr:y>
    </cdr:from>
    <cdr:to>
      <cdr:x>0.31649</cdr:x>
      <cdr:y>0.42566</cdr:y>
    </cdr:to>
    <cdr:sp macro="" textlink="">
      <cdr:nvSpPr>
        <cdr:cNvPr id="777" name="TextBox 776"/>
        <cdr:cNvSpPr txBox="1"/>
      </cdr:nvSpPr>
      <cdr:spPr>
        <a:xfrm xmlns:a="http://schemas.openxmlformats.org/drawingml/2006/main">
          <a:off x="63500" y="918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0.40335</cdr:y>
    </cdr:from>
    <cdr:to>
      <cdr:x>1</cdr:x>
      <cdr:y>0.4145</cdr:y>
    </cdr:to>
    <cdr:sp macro="" textlink="">
      <cdr:nvSpPr>
        <cdr:cNvPr id="778" name="TextBox 777"/>
        <cdr:cNvSpPr txBox="1"/>
      </cdr:nvSpPr>
      <cdr:spPr>
        <a:xfrm xmlns:a="http://schemas.openxmlformats.org/drawingml/2006/main">
          <a:off x="4815044" y="918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(0.16 – 1.29)</a:t>
          </a:r>
        </a:p>
      </cdr:txBody>
    </cdr:sp>
  </cdr:relSizeAnchor>
  <cdr:relSizeAnchor xmlns:cdr="http://schemas.openxmlformats.org/drawingml/2006/chartDrawing">
    <cdr:from>
      <cdr:x>0.01021</cdr:x>
      <cdr:y>0.38271</cdr:y>
    </cdr:from>
    <cdr:to>
      <cdr:x>0.31649</cdr:x>
      <cdr:y>0.40502</cdr:y>
    </cdr:to>
    <cdr:sp macro="" textlink="">
      <cdr:nvSpPr>
        <cdr:cNvPr id="779" name="TextBox 778"/>
        <cdr:cNvSpPr txBox="1"/>
      </cdr:nvSpPr>
      <cdr:spPr>
        <a:xfrm xmlns:a="http://schemas.openxmlformats.org/drawingml/2006/main">
          <a:off x="63500" y="87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a:t>
          </a:r>
        </a:p>
      </cdr:txBody>
    </cdr:sp>
  </cdr:relSizeAnchor>
  <cdr:relSizeAnchor xmlns:cdr="http://schemas.openxmlformats.org/drawingml/2006/chartDrawing">
    <cdr:from>
      <cdr:x>0.75498</cdr:x>
      <cdr:y>0.38271</cdr:y>
    </cdr:from>
    <cdr:to>
      <cdr:x>1</cdr:x>
      <cdr:y>0.39386</cdr:y>
    </cdr:to>
    <cdr:sp macro="" textlink="">
      <cdr:nvSpPr>
        <cdr:cNvPr id="780" name="TextBox 779"/>
        <cdr:cNvSpPr txBox="1"/>
      </cdr:nvSpPr>
      <cdr:spPr>
        <a:xfrm xmlns:a="http://schemas.openxmlformats.org/drawingml/2006/main">
          <a:off x="4815044" y="87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0.45 (0.08 – 2.65)</a:t>
          </a:r>
        </a:p>
      </cdr:txBody>
    </cdr:sp>
  </cdr:relSizeAnchor>
  <cdr:relSizeAnchor xmlns:cdr="http://schemas.openxmlformats.org/drawingml/2006/chartDrawing">
    <cdr:from>
      <cdr:x>0.01021</cdr:x>
      <cdr:y>0.36206</cdr:y>
    </cdr:from>
    <cdr:to>
      <cdr:x>0.31649</cdr:x>
      <cdr:y>0.38438</cdr:y>
    </cdr:to>
    <cdr:sp macro="" textlink="">
      <cdr:nvSpPr>
        <cdr:cNvPr id="781" name="TextBox 780"/>
        <cdr:cNvSpPr txBox="1"/>
      </cdr:nvSpPr>
      <cdr:spPr>
        <a:xfrm xmlns:a="http://schemas.openxmlformats.org/drawingml/2006/main">
          <a:off x="63500" y="82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INDOTHERS</a:t>
          </a:r>
        </a:p>
      </cdr:txBody>
    </cdr:sp>
  </cdr:relSizeAnchor>
  <cdr:relSizeAnchor xmlns:cdr="http://schemas.openxmlformats.org/drawingml/2006/chartDrawing">
    <cdr:from>
      <cdr:x>0.75498</cdr:x>
      <cdr:y>0.36206</cdr:y>
    </cdr:from>
    <cdr:to>
      <cdr:x>1</cdr:x>
      <cdr:y>0.37322</cdr:y>
    </cdr:to>
    <cdr:sp macro="" textlink="">
      <cdr:nvSpPr>
        <cdr:cNvPr id="782" name="TextBox 781"/>
        <cdr:cNvSpPr txBox="1"/>
      </cdr:nvSpPr>
      <cdr:spPr>
        <a:xfrm xmlns:a="http://schemas.openxmlformats.org/drawingml/2006/main">
          <a:off x="4815044" y="82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(0.21 – 0.91)</a:t>
          </a:r>
        </a:p>
      </cdr:txBody>
    </cdr:sp>
  </cdr:relSizeAnchor>
  <cdr:relSizeAnchor xmlns:cdr="http://schemas.openxmlformats.org/drawingml/2006/chartDrawing">
    <cdr:from>
      <cdr:x>0.01021</cdr:x>
      <cdr:y>0.34086</cdr:y>
    </cdr:from>
    <cdr:to>
      <cdr:x>0.31649</cdr:x>
      <cdr:y>0.36318</cdr:y>
    </cdr:to>
    <cdr:sp macro="" textlink="">
      <cdr:nvSpPr>
        <cdr:cNvPr id="783" name="TextBox 782"/>
        <cdr:cNvSpPr txBox="1"/>
      </cdr:nvSpPr>
      <cdr:spPr>
        <a:xfrm xmlns:a="http://schemas.openxmlformats.org/drawingml/2006/main">
          <a:off x="63500" y="7759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IBUIVHIGHDOSE</a:t>
          </a:r>
        </a:p>
      </cdr:txBody>
    </cdr:sp>
  </cdr:relSizeAnchor>
  <cdr:relSizeAnchor xmlns:cdr="http://schemas.openxmlformats.org/drawingml/2006/chartDrawing">
    <cdr:from>
      <cdr:x>0.75498</cdr:x>
      <cdr:y>0.34086</cdr:y>
    </cdr:from>
    <cdr:to>
      <cdr:x>1</cdr:x>
      <cdr:y>0.35202</cdr:y>
    </cdr:to>
    <cdr:sp macro="" textlink="">
      <cdr:nvSpPr>
        <cdr:cNvPr id="784" name="TextBox 783"/>
        <cdr:cNvSpPr txBox="1"/>
      </cdr:nvSpPr>
      <cdr:spPr>
        <a:xfrm xmlns:a="http://schemas.openxmlformats.org/drawingml/2006/main">
          <a:off x="4815044" y="7759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0.43 (0.05 – 3.62)</a:t>
          </a:r>
        </a:p>
      </cdr:txBody>
    </cdr:sp>
  </cdr:relSizeAnchor>
  <cdr:relSizeAnchor xmlns:cdr="http://schemas.openxmlformats.org/drawingml/2006/chartDrawing">
    <cdr:from>
      <cdr:x>0.01021</cdr:x>
      <cdr:y>0.32022</cdr:y>
    </cdr:from>
    <cdr:to>
      <cdr:x>0.31649</cdr:x>
      <cdr:y>0.34254</cdr:y>
    </cdr:to>
    <cdr:sp macro="" textlink="">
      <cdr:nvSpPr>
        <cdr:cNvPr id="785" name="TextBox 784"/>
        <cdr:cNvSpPr txBox="1"/>
      </cdr:nvSpPr>
      <cdr:spPr>
        <a:xfrm xmlns:a="http://schemas.openxmlformats.org/drawingml/2006/main">
          <a:off x="63500" y="7289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0.32022</cdr:y>
    </cdr:from>
    <cdr:to>
      <cdr:x>1</cdr:x>
      <cdr:y>0.33138</cdr:y>
    </cdr:to>
    <cdr:sp macro="" textlink="">
      <cdr:nvSpPr>
        <cdr:cNvPr id="786" name="TextBox 785"/>
        <cdr:cNvSpPr txBox="1"/>
      </cdr:nvSpPr>
      <cdr:spPr>
        <a:xfrm xmlns:a="http://schemas.openxmlformats.org/drawingml/2006/main">
          <a:off x="4815044" y="7289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0.42 (0.06 – 2.13)</a:t>
          </a:r>
        </a:p>
      </cdr:txBody>
    </cdr:sp>
  </cdr:relSizeAnchor>
  <cdr:relSizeAnchor xmlns:cdr="http://schemas.openxmlformats.org/drawingml/2006/chartDrawing">
    <cdr:from>
      <cdr:x>0.01021</cdr:x>
      <cdr:y>0.29958</cdr:y>
    </cdr:from>
    <cdr:to>
      <cdr:x>0.31649</cdr:x>
      <cdr:y>0.3219</cdr:y>
    </cdr:to>
    <cdr:sp macro="" textlink="">
      <cdr:nvSpPr>
        <cdr:cNvPr id="787" name="TextBox 786"/>
        <cdr:cNvSpPr txBox="1"/>
      </cdr:nvSpPr>
      <cdr:spPr>
        <a:xfrm xmlns:a="http://schemas.openxmlformats.org/drawingml/2006/main">
          <a:off x="63500" y="6819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IBUIVHIGHDOSE</a:t>
          </a:r>
        </a:p>
      </cdr:txBody>
    </cdr:sp>
  </cdr:relSizeAnchor>
  <cdr:relSizeAnchor xmlns:cdr="http://schemas.openxmlformats.org/drawingml/2006/chartDrawing">
    <cdr:from>
      <cdr:x>0.75498</cdr:x>
      <cdr:y>0.29958</cdr:y>
    </cdr:from>
    <cdr:to>
      <cdr:x>1</cdr:x>
      <cdr:y>0.31074</cdr:y>
    </cdr:to>
    <cdr:sp macro="" textlink="">
      <cdr:nvSpPr>
        <cdr:cNvPr id="788" name="TextBox 787"/>
        <cdr:cNvSpPr txBox="1"/>
      </cdr:nvSpPr>
      <cdr:spPr>
        <a:xfrm xmlns:a="http://schemas.openxmlformats.org/drawingml/2006/main">
          <a:off x="4815044" y="6819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0.42 (0.06 – 2.65)</a:t>
          </a:r>
        </a:p>
      </cdr:txBody>
    </cdr:sp>
  </cdr:relSizeAnchor>
  <cdr:relSizeAnchor xmlns:cdr="http://schemas.openxmlformats.org/drawingml/2006/chartDrawing">
    <cdr:from>
      <cdr:x>0.01021</cdr:x>
      <cdr:y>0.27894</cdr:y>
    </cdr:from>
    <cdr:to>
      <cdr:x>0.31649</cdr:x>
      <cdr:y>0.30126</cdr:y>
    </cdr:to>
    <cdr:sp macro="" textlink="">
      <cdr:nvSpPr>
        <cdr:cNvPr id="789" name="TextBox 788"/>
        <cdr:cNvSpPr txBox="1"/>
      </cdr:nvSpPr>
      <cdr:spPr>
        <a:xfrm xmlns:a="http://schemas.openxmlformats.org/drawingml/2006/main">
          <a:off x="63500" y="6350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INDOIV</a:t>
          </a:r>
        </a:p>
      </cdr:txBody>
    </cdr:sp>
  </cdr:relSizeAnchor>
  <cdr:relSizeAnchor xmlns:cdr="http://schemas.openxmlformats.org/drawingml/2006/chartDrawing">
    <cdr:from>
      <cdr:x>0.75498</cdr:x>
      <cdr:y>0.27894</cdr:y>
    </cdr:from>
    <cdr:to>
      <cdr:x>1</cdr:x>
      <cdr:y>0.2901</cdr:y>
    </cdr:to>
    <cdr:sp macro="" textlink="">
      <cdr:nvSpPr>
        <cdr:cNvPr id="790" name="TextBox 789"/>
        <cdr:cNvSpPr txBox="1"/>
      </cdr:nvSpPr>
      <cdr:spPr>
        <a:xfrm xmlns:a="http://schemas.openxmlformats.org/drawingml/2006/main">
          <a:off x="4815044" y="6350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0.42 (0.11 – 1.63)</a:t>
          </a:r>
        </a:p>
      </cdr:txBody>
    </cdr:sp>
  </cdr:relSizeAnchor>
  <cdr:relSizeAnchor xmlns:cdr="http://schemas.openxmlformats.org/drawingml/2006/chartDrawing">
    <cdr:from>
      <cdr:x>0.01021</cdr:x>
      <cdr:y>0.2583</cdr:y>
    </cdr:from>
    <cdr:to>
      <cdr:x>0.31649</cdr:x>
      <cdr:y>0.28061</cdr:y>
    </cdr:to>
    <cdr:sp macro="" textlink="">
      <cdr:nvSpPr>
        <cdr:cNvPr id="791" name="TextBox 790"/>
        <cdr:cNvSpPr txBox="1"/>
      </cdr:nvSpPr>
      <cdr:spPr>
        <a:xfrm xmlns:a="http://schemas.openxmlformats.org/drawingml/2006/main">
          <a:off x="63500" y="5880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0.2583</cdr:y>
    </cdr:from>
    <cdr:to>
      <cdr:x>1</cdr:x>
      <cdr:y>0.26946</cdr:y>
    </cdr:to>
    <cdr:sp macro="" textlink="">
      <cdr:nvSpPr>
        <cdr:cNvPr id="792" name="TextBox 791"/>
        <cdr:cNvSpPr txBox="1"/>
      </cdr:nvSpPr>
      <cdr:spPr>
        <a:xfrm xmlns:a="http://schemas.openxmlformats.org/drawingml/2006/main">
          <a:off x="4815044" y="5880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0.41 (0.21 – 0.75)</a:t>
          </a:r>
        </a:p>
      </cdr:txBody>
    </cdr:sp>
  </cdr:relSizeAnchor>
  <cdr:relSizeAnchor xmlns:cdr="http://schemas.openxmlformats.org/drawingml/2006/chartDrawing">
    <cdr:from>
      <cdr:x>0.01021</cdr:x>
      <cdr:y>0.23766</cdr:y>
    </cdr:from>
    <cdr:to>
      <cdr:x>0.31649</cdr:x>
      <cdr:y>0.25997</cdr:y>
    </cdr:to>
    <cdr:sp macro="" textlink="">
      <cdr:nvSpPr>
        <cdr:cNvPr id="793" name="TextBox 792"/>
        <cdr:cNvSpPr txBox="1"/>
      </cdr:nvSpPr>
      <cdr:spPr>
        <a:xfrm xmlns:a="http://schemas.openxmlformats.org/drawingml/2006/main">
          <a:off x="63500" y="5410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INDOTHERS</a:t>
          </a:r>
        </a:p>
      </cdr:txBody>
    </cdr:sp>
  </cdr:relSizeAnchor>
  <cdr:relSizeAnchor xmlns:cdr="http://schemas.openxmlformats.org/drawingml/2006/chartDrawing">
    <cdr:from>
      <cdr:x>0.75498</cdr:x>
      <cdr:y>0.23766</cdr:y>
    </cdr:from>
    <cdr:to>
      <cdr:x>1</cdr:x>
      <cdr:y>0.24881</cdr:y>
    </cdr:to>
    <cdr:sp macro="" textlink="">
      <cdr:nvSpPr>
        <cdr:cNvPr id="794" name="TextBox 793"/>
        <cdr:cNvSpPr txBox="1"/>
      </cdr:nvSpPr>
      <cdr:spPr>
        <a:xfrm xmlns:a="http://schemas.openxmlformats.org/drawingml/2006/main">
          <a:off x="4815044" y="5410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0.39 (0.15 – 0.94)</a:t>
          </a:r>
        </a:p>
      </cdr:txBody>
    </cdr:sp>
  </cdr:relSizeAnchor>
  <cdr:relSizeAnchor xmlns:cdr="http://schemas.openxmlformats.org/drawingml/2006/chartDrawing">
    <cdr:from>
      <cdr:x>0.01021</cdr:x>
      <cdr:y>0.21702</cdr:y>
    </cdr:from>
    <cdr:to>
      <cdr:x>0.31649</cdr:x>
      <cdr:y>0.23933</cdr:y>
    </cdr:to>
    <cdr:sp macro="" textlink="">
      <cdr:nvSpPr>
        <cdr:cNvPr id="795" name="TextBox 794"/>
        <cdr:cNvSpPr txBox="1"/>
      </cdr:nvSpPr>
      <cdr:spPr>
        <a:xfrm xmlns:a="http://schemas.openxmlformats.org/drawingml/2006/main">
          <a:off x="63500" y="4940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a:t>
          </a:r>
        </a:p>
      </cdr:txBody>
    </cdr:sp>
  </cdr:relSizeAnchor>
  <cdr:relSizeAnchor xmlns:cdr="http://schemas.openxmlformats.org/drawingml/2006/chartDrawing">
    <cdr:from>
      <cdr:x>0.75498</cdr:x>
      <cdr:y>0.21702</cdr:y>
    </cdr:from>
    <cdr:to>
      <cdr:x>1</cdr:x>
      <cdr:y>0.22817</cdr:y>
    </cdr:to>
    <cdr:sp macro="" textlink="">
      <cdr:nvSpPr>
        <cdr:cNvPr id="796" name="TextBox 795"/>
        <cdr:cNvSpPr txBox="1"/>
      </cdr:nvSpPr>
      <cdr:spPr>
        <a:xfrm xmlns:a="http://schemas.openxmlformats.org/drawingml/2006/main">
          <a:off x="4815044" y="4940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0.37 (0.06 – 1.66)</a:t>
          </a:r>
        </a:p>
      </cdr:txBody>
    </cdr:sp>
  </cdr:relSizeAnchor>
  <cdr:relSizeAnchor xmlns:cdr="http://schemas.openxmlformats.org/drawingml/2006/chartDrawing">
    <cdr:from>
      <cdr:x>0.01021</cdr:x>
      <cdr:y>0.19637</cdr:y>
    </cdr:from>
    <cdr:to>
      <cdr:x>0.31649</cdr:x>
      <cdr:y>0.21869</cdr:y>
    </cdr:to>
    <cdr:sp macro="" textlink="">
      <cdr:nvSpPr>
        <cdr:cNvPr id="797" name="TextBox 796"/>
        <cdr:cNvSpPr txBox="1"/>
      </cdr:nvSpPr>
      <cdr:spPr>
        <a:xfrm xmlns:a="http://schemas.openxmlformats.org/drawingml/2006/main">
          <a:off x="63500" y="4470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IBUIVHIGHDOSE</a:t>
          </a:r>
        </a:p>
      </cdr:txBody>
    </cdr:sp>
  </cdr:relSizeAnchor>
  <cdr:relSizeAnchor xmlns:cdr="http://schemas.openxmlformats.org/drawingml/2006/chartDrawing">
    <cdr:from>
      <cdr:x>0.75498</cdr:x>
      <cdr:y>0.19637</cdr:y>
    </cdr:from>
    <cdr:to>
      <cdr:x>1</cdr:x>
      <cdr:y>0.20753</cdr:y>
    </cdr:to>
    <cdr:sp macro="" textlink="">
      <cdr:nvSpPr>
        <cdr:cNvPr id="798" name="TextBox 797"/>
        <cdr:cNvSpPr txBox="1"/>
      </cdr:nvSpPr>
      <cdr:spPr>
        <a:xfrm xmlns:a="http://schemas.openxmlformats.org/drawingml/2006/main">
          <a:off x="4815044" y="4470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0.31 (0.02 – 3.63)</a:t>
          </a:r>
        </a:p>
      </cdr:txBody>
    </cdr:sp>
  </cdr:relSizeAnchor>
  <cdr:relSizeAnchor xmlns:cdr="http://schemas.openxmlformats.org/drawingml/2006/chartDrawing">
    <cdr:from>
      <cdr:x>0.01021</cdr:x>
      <cdr:y>0.17573</cdr:y>
    </cdr:from>
    <cdr:to>
      <cdr:x>0.31649</cdr:x>
      <cdr:y>0.19805</cdr:y>
    </cdr:to>
    <cdr:sp macro="" textlink="">
      <cdr:nvSpPr>
        <cdr:cNvPr id="799" name="TextBox 798"/>
        <cdr:cNvSpPr txBox="1"/>
      </cdr:nvSpPr>
      <cdr:spPr>
        <a:xfrm xmlns:a="http://schemas.openxmlformats.org/drawingml/2006/main">
          <a:off x="63500" y="4000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a:t>
          </a:r>
        </a:p>
      </cdr:txBody>
    </cdr:sp>
  </cdr:relSizeAnchor>
  <cdr:relSizeAnchor xmlns:cdr="http://schemas.openxmlformats.org/drawingml/2006/chartDrawing">
    <cdr:from>
      <cdr:x>0.75498</cdr:x>
      <cdr:y>0.17573</cdr:y>
    </cdr:from>
    <cdr:to>
      <cdr:x>1</cdr:x>
      <cdr:y>0.18689</cdr:y>
    </cdr:to>
    <cdr:sp macro="" textlink="">
      <cdr:nvSpPr>
        <cdr:cNvPr id="800" name="TextBox 799"/>
        <cdr:cNvSpPr txBox="1"/>
      </cdr:nvSpPr>
      <cdr:spPr>
        <a:xfrm xmlns:a="http://schemas.openxmlformats.org/drawingml/2006/main">
          <a:off x="4815044" y="4000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0.30 (0.05 – 1.72)</a:t>
          </a:r>
        </a:p>
      </cdr:txBody>
    </cdr:sp>
  </cdr:relSizeAnchor>
  <cdr:relSizeAnchor xmlns:cdr="http://schemas.openxmlformats.org/drawingml/2006/chartDrawing">
    <cdr:from>
      <cdr:x>0.01021</cdr:x>
      <cdr:y>0.15509</cdr:y>
    </cdr:from>
    <cdr:to>
      <cdr:x>0.31649</cdr:x>
      <cdr:y>0.17741</cdr:y>
    </cdr:to>
    <cdr:sp macro="" textlink="">
      <cdr:nvSpPr>
        <cdr:cNvPr id="801" name="TextBox 800"/>
        <cdr:cNvSpPr txBox="1"/>
      </cdr:nvSpPr>
      <cdr:spPr>
        <a:xfrm xmlns:a="http://schemas.openxmlformats.org/drawingml/2006/main">
          <a:off x="63500" y="35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0.15509</cdr:y>
    </cdr:from>
    <cdr:to>
      <cdr:x>1</cdr:x>
      <cdr:y>0.16625</cdr:y>
    </cdr:to>
    <cdr:sp macro="" textlink="">
      <cdr:nvSpPr>
        <cdr:cNvPr id="802" name="TextBox 801"/>
        <cdr:cNvSpPr txBox="1"/>
      </cdr:nvSpPr>
      <cdr:spPr>
        <a:xfrm xmlns:a="http://schemas.openxmlformats.org/drawingml/2006/main">
          <a:off x="4815044" y="35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0.30 (0.10 – 0.91)</a:t>
          </a:r>
        </a:p>
      </cdr:txBody>
    </cdr:sp>
  </cdr:relSizeAnchor>
  <cdr:relSizeAnchor xmlns:cdr="http://schemas.openxmlformats.org/drawingml/2006/chartDrawing">
    <cdr:from>
      <cdr:x>0.01021</cdr:x>
      <cdr:y>0.13445</cdr:y>
    </cdr:from>
    <cdr:to>
      <cdr:x>0.31649</cdr:x>
      <cdr:y>0.15676</cdr:y>
    </cdr:to>
    <cdr:sp macro="" textlink="">
      <cdr:nvSpPr>
        <cdr:cNvPr id="803" name="TextBox 802"/>
        <cdr:cNvSpPr txBox="1"/>
      </cdr:nvSpPr>
      <cdr:spPr>
        <a:xfrm xmlns:a="http://schemas.openxmlformats.org/drawingml/2006/main">
          <a:off x="63500" y="30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INDOTHERS</a:t>
          </a:r>
        </a:p>
      </cdr:txBody>
    </cdr:sp>
  </cdr:relSizeAnchor>
  <cdr:relSizeAnchor xmlns:cdr="http://schemas.openxmlformats.org/drawingml/2006/chartDrawing">
    <cdr:from>
      <cdr:x>0.75498</cdr:x>
      <cdr:y>0.13445</cdr:y>
    </cdr:from>
    <cdr:to>
      <cdr:x>1</cdr:x>
      <cdr:y>0.14561</cdr:y>
    </cdr:to>
    <cdr:sp macro="" textlink="">
      <cdr:nvSpPr>
        <cdr:cNvPr id="804" name="TextBox 803"/>
        <cdr:cNvSpPr txBox="1"/>
      </cdr:nvSpPr>
      <cdr:spPr>
        <a:xfrm xmlns:a="http://schemas.openxmlformats.org/drawingml/2006/main">
          <a:off x="4815044" y="30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0.27 (0.06 – 1.19)</a:t>
          </a:r>
        </a:p>
      </cdr:txBody>
    </cdr:sp>
  </cdr:relSizeAnchor>
  <cdr:relSizeAnchor xmlns:cdr="http://schemas.openxmlformats.org/drawingml/2006/chartDrawing">
    <cdr:from>
      <cdr:x>0.01021</cdr:x>
      <cdr:y>0.11381</cdr:y>
    </cdr:from>
    <cdr:to>
      <cdr:x>0.31649</cdr:x>
      <cdr:y>0.13612</cdr:y>
    </cdr:to>
    <cdr:sp macro="" textlink="">
      <cdr:nvSpPr>
        <cdr:cNvPr id="805" name="TextBox 804"/>
        <cdr:cNvSpPr txBox="1"/>
      </cdr:nvSpPr>
      <cdr:spPr>
        <a:xfrm xmlns:a="http://schemas.openxmlformats.org/drawingml/2006/main">
          <a:off x="63500" y="25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0.11381</cdr:y>
    </cdr:from>
    <cdr:to>
      <cdr:x>1</cdr:x>
      <cdr:y>0.12497</cdr:y>
    </cdr:to>
    <cdr:sp macro="" textlink="">
      <cdr:nvSpPr>
        <cdr:cNvPr id="806" name="TextBox 805"/>
        <cdr:cNvSpPr txBox="1"/>
      </cdr:nvSpPr>
      <cdr:spPr>
        <a:xfrm xmlns:a="http://schemas.openxmlformats.org/drawingml/2006/main">
          <a:off x="4815044" y="25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0.27 (0.12 – 0.57)</a:t>
          </a:r>
        </a:p>
      </cdr:txBody>
    </cdr:sp>
  </cdr:relSizeAnchor>
  <cdr:relSizeAnchor xmlns:cdr="http://schemas.openxmlformats.org/drawingml/2006/chartDrawing">
    <cdr:from>
      <cdr:x>0.01021</cdr:x>
      <cdr:y>0.09317</cdr:y>
    </cdr:from>
    <cdr:to>
      <cdr:x>0.31649</cdr:x>
      <cdr:y>0.11548</cdr:y>
    </cdr:to>
    <cdr:sp macro="" textlink="">
      <cdr:nvSpPr>
        <cdr:cNvPr id="807" name="TextBox 806"/>
        <cdr:cNvSpPr txBox="1"/>
      </cdr:nvSpPr>
      <cdr:spPr>
        <a:xfrm xmlns:a="http://schemas.openxmlformats.org/drawingml/2006/main">
          <a:off x="63500" y="21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IBUIVHIGHDOSE</a:t>
          </a:r>
        </a:p>
      </cdr:txBody>
    </cdr:sp>
  </cdr:relSizeAnchor>
  <cdr:relSizeAnchor xmlns:cdr="http://schemas.openxmlformats.org/drawingml/2006/chartDrawing">
    <cdr:from>
      <cdr:x>0.75498</cdr:x>
      <cdr:y>0.09317</cdr:y>
    </cdr:from>
    <cdr:to>
      <cdr:x>1</cdr:x>
      <cdr:y>0.10432</cdr:y>
    </cdr:to>
    <cdr:sp macro="" textlink="">
      <cdr:nvSpPr>
        <cdr:cNvPr id="808" name="TextBox 807"/>
        <cdr:cNvSpPr txBox="1"/>
      </cdr:nvSpPr>
      <cdr:spPr>
        <a:xfrm xmlns:a="http://schemas.openxmlformats.org/drawingml/2006/main">
          <a:off x="4815044" y="21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0.26 (0.02 – 2.48)</a:t>
          </a:r>
        </a:p>
      </cdr:txBody>
    </cdr:sp>
  </cdr:relSizeAnchor>
  <cdr:relSizeAnchor xmlns:cdr="http://schemas.openxmlformats.org/drawingml/2006/chartDrawing">
    <cdr:from>
      <cdr:x>0.01021</cdr:x>
      <cdr:y>0.07252</cdr:y>
    </cdr:from>
    <cdr:to>
      <cdr:x>0.31649</cdr:x>
      <cdr:y>0.09484</cdr:y>
    </cdr:to>
    <cdr:sp macro="" textlink="">
      <cdr:nvSpPr>
        <cdr:cNvPr id="809" name="TextBox 808"/>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a:t>
          </a:r>
        </a:p>
      </cdr:txBody>
    </cdr:sp>
  </cdr:relSizeAnchor>
  <cdr:relSizeAnchor xmlns:cdr="http://schemas.openxmlformats.org/drawingml/2006/chartDrawing">
    <cdr:from>
      <cdr:x>0.75498</cdr:x>
      <cdr:y>0.07252</cdr:y>
    </cdr:from>
    <cdr:to>
      <cdr:x>1</cdr:x>
      <cdr:y>0.08368</cdr:y>
    </cdr:to>
    <cdr:sp macro="" textlink="">
      <cdr:nvSpPr>
        <cdr:cNvPr id="810" name="TextBox 809"/>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0.25 (0.04 – 1.21)</a:t>
          </a:r>
        </a:p>
      </cdr:txBody>
    </cdr:sp>
  </cdr:relSizeAnchor>
  <cdr:relSizeAnchor xmlns:cdr="http://schemas.openxmlformats.org/drawingml/2006/chartDrawing">
    <cdr:from>
      <cdr:x>0.01021</cdr:x>
      <cdr:y>0.05188</cdr:y>
    </cdr:from>
    <cdr:to>
      <cdr:x>0.31649</cdr:x>
      <cdr:y>0.0742</cdr:y>
    </cdr:to>
    <cdr:sp macro="" textlink="">
      <cdr:nvSpPr>
        <cdr:cNvPr id="811" name="TextBox 810"/>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INDOTHERS</a:t>
          </a:r>
        </a:p>
      </cdr:txBody>
    </cdr:sp>
  </cdr:relSizeAnchor>
  <cdr:relSizeAnchor xmlns:cdr="http://schemas.openxmlformats.org/drawingml/2006/chartDrawing">
    <cdr:from>
      <cdr:x>0.75498</cdr:x>
      <cdr:y>0.05188</cdr:y>
    </cdr:from>
    <cdr:to>
      <cdr:x>1</cdr:x>
      <cdr:y>0.06304</cdr:y>
    </cdr:to>
    <cdr:sp macro="" textlink="">
      <cdr:nvSpPr>
        <cdr:cNvPr id="812" name="TextBox 811"/>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0.20 (0.03 – 1.18)</a:t>
          </a:r>
        </a:p>
      </cdr:txBody>
    </cdr:sp>
  </cdr:relSizeAnchor>
  <cdr:relSizeAnchor xmlns:cdr="http://schemas.openxmlformats.org/drawingml/2006/chartDrawing">
    <cdr:from>
      <cdr:x>0.01021</cdr:x>
      <cdr:y>0.03124</cdr:y>
    </cdr:from>
    <cdr:to>
      <cdr:x>0.31649</cdr:x>
      <cdr:y>0.05356</cdr:y>
    </cdr:to>
    <cdr:sp macro="" textlink="">
      <cdr:nvSpPr>
        <cdr:cNvPr id="813" name="TextBox 812"/>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0.03124</cdr:y>
    </cdr:from>
    <cdr:to>
      <cdr:x>1</cdr:x>
      <cdr:y>0.0424</cdr:y>
    </cdr:to>
    <cdr:sp macro="" textlink="">
      <cdr:nvSpPr>
        <cdr:cNvPr id="814" name="TextBox 813"/>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0.16 (0.02 – 0.87)</a:t>
          </a:r>
        </a:p>
      </cdr:txBody>
    </cdr:sp>
  </cdr:relSizeAnchor>
  <cdr:relSizeAnchor xmlns:cdr="http://schemas.openxmlformats.org/drawingml/2006/chartDrawing">
    <cdr:from>
      <cdr:x>0.01021</cdr:x>
      <cdr:y>0.00279</cdr:y>
    </cdr:from>
    <cdr:to>
      <cdr:x>0.41858</cdr:x>
      <cdr:y>0.0251</cdr:y>
    </cdr:to>
    <cdr:sp macro="" textlink="">
      <cdr:nvSpPr>
        <cdr:cNvPr id="815" name="TextBox 814"/>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0.00279</cdr:y>
    </cdr:from>
    <cdr:to>
      <cdr:x>1</cdr:x>
      <cdr:y>0.0251</cdr:y>
    </cdr:to>
    <cdr:sp macro="" textlink="">
      <cdr:nvSpPr>
        <cdr:cNvPr id="816" name="TextBox 815"/>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0.97155</cdr:y>
    </cdr:from>
    <cdr:to>
      <cdr:x>0.60233</cdr:x>
      <cdr:y>0.98271</cdr:y>
    </cdr:to>
    <cdr:sp macro="" textlink="">
      <cdr:nvSpPr>
        <cdr:cNvPr id="817" name="TextBox 816"/>
        <cdr:cNvSpPr txBox="1"/>
      </cdr:nvSpPr>
      <cdr:spPr>
        <a:xfrm xmlns:a="http://schemas.openxmlformats.org/drawingml/2006/main">
          <a:off x="222236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0.97155</cdr:y>
    </cdr:from>
    <cdr:to>
      <cdr:x>0.81498</cdr:x>
      <cdr:y>0.98271</cdr:y>
    </cdr:to>
    <cdr:sp macro="" textlink="">
      <cdr:nvSpPr>
        <cdr:cNvPr id="818" name="TextBox 817"/>
        <cdr:cNvSpPr txBox="1"/>
      </cdr:nvSpPr>
      <cdr:spPr>
        <a:xfrm xmlns:a="http://schemas.openxmlformats.org/drawingml/2006/main">
          <a:off x="354504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0.98271</cdr:y>
    </cdr:from>
    <cdr:to>
      <cdr:x>0.81691</cdr:x>
      <cdr:y>0.99386</cdr:y>
    </cdr:to>
    <cdr:sp macro="" textlink="">
      <cdr:nvSpPr>
        <cdr:cNvPr id="819" name="TextBox 818"/>
        <cdr:cNvSpPr txBox="1"/>
      </cdr:nvSpPr>
      <cdr:spPr>
        <a:xfrm xmlns:a="http://schemas.openxmlformats.org/drawingml/2006/main">
          <a:off x="2984333" y="22371147"/>
          <a:ext cx="2096725" cy="253827"/>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0.96039</cdr:y>
    </cdr:from>
    <cdr:to>
      <cdr:x>0.3238</cdr:x>
      <cdr:y>0.97713</cdr:y>
    </cdr:to>
    <cdr:sp macro="" textlink="">
      <cdr:nvSpPr>
        <cdr:cNvPr id="820" name="TextBox 819"/>
        <cdr:cNvSpPr txBox="1"/>
      </cdr:nvSpPr>
      <cdr:spPr>
        <a:xfrm xmlns:a="http://schemas.openxmlformats.org/drawingml/2006/main">
          <a:off x="63503" y="21863038"/>
          <a:ext cx="1950505" cy="381082"/>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0.1958 
95% CrI (0.007723 – 0.6408)</a:t>
          </a:r>
        </a:p>
      </cdr:txBody>
    </cdr:sp>
  </cdr:relSizeAnchor>
  <cdr:relSizeAnchor xmlns:cdr="http://schemas.openxmlformats.org/drawingml/2006/chartDrawing">
    <cdr:from>
      <cdr:x>0.01021</cdr:x>
      <cdr:y>0.97155</cdr:y>
    </cdr:from>
    <cdr:to>
      <cdr:x>0.29607</cdr:x>
      <cdr:y>0.98828</cdr:y>
    </cdr:to>
    <cdr:sp macro="" textlink="">
      <cdr:nvSpPr>
        <cdr:cNvPr id="821" name="TextBox 820"/>
        <cdr:cNvSpPr txBox="1"/>
      </cdr:nvSpPr>
      <cdr:spPr>
        <a:xfrm xmlns:a="http://schemas.openxmlformats.org/drawingml/2006/main">
          <a:off x="63500" y="2211705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22" zoomScale="120" zoomScaleNormal="120" workbookViewId="0">
      <selection activeCell="C31" sqref="C31"/>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40000</v>
      </c>
      <c r="F9" s="230" t="s">
        <v>118</v>
      </c>
      <c r="G9" s="231"/>
      <c r="H9" s="232"/>
    </row>
    <row r="10" spans="2:16" ht="15.75" thickBot="1" x14ac:dyDescent="0.3">
      <c r="B10" s="20"/>
      <c r="C10" s="18" t="s">
        <v>36</v>
      </c>
      <c r="D10" s="174">
        <v>40000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4" zoomScale="80" zoomScaleNormal="80" workbookViewId="0">
      <selection activeCell="I46" sqref="I46:X46"/>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45</v>
      </c>
      <c r="D2" s="142" t="s">
        <v>14</v>
      </c>
      <c r="G2" s="60"/>
      <c r="H2" s="60"/>
    </row>
    <row r="3" spans="3:34" ht="19.5" thickBot="1" x14ac:dyDescent="0.35">
      <c r="C3" s="143">
        <f>COUNTIF(E5:AH5,"&lt;&gt;")</f>
        <v>10</v>
      </c>
      <c r="D3" s="142" t="s">
        <v>15</v>
      </c>
      <c r="E3" s="253" t="s">
        <v>231</v>
      </c>
      <c r="F3" s="254"/>
      <c r="G3" s="254"/>
      <c r="H3" s="254"/>
      <c r="I3" s="254"/>
      <c r="J3" s="254"/>
      <c r="K3" s="254"/>
      <c r="L3" s="254"/>
      <c r="M3" s="254"/>
      <c r="N3" s="254"/>
      <c r="O3" s="254"/>
      <c r="P3" s="254"/>
      <c r="Q3" s="254"/>
      <c r="R3" s="254"/>
      <c r="S3" s="254"/>
      <c r="T3" s="254"/>
      <c r="U3" s="254"/>
      <c r="V3" s="254"/>
      <c r="W3" s="254"/>
      <c r="X3" s="254"/>
      <c r="Y3" s="254"/>
      <c r="Z3" s="254"/>
      <c r="AA3" s="254"/>
      <c r="AB3" s="254"/>
      <c r="AC3" s="254"/>
      <c r="AD3" s="254"/>
      <c r="AE3" s="254"/>
      <c r="AF3" s="254"/>
      <c r="AG3" s="254"/>
      <c r="AH3" s="255"/>
    </row>
    <row r="4" spans="3:34" ht="15.75" thickBot="1" x14ac:dyDescent="0.3">
      <c r="C4" s="143">
        <f>COUNTIF(F7:F56,"&lt;&gt;")</f>
        <v>26</v>
      </c>
      <c r="D4" s="142" t="s">
        <v>114</v>
      </c>
      <c r="E4" s="244">
        <v>1</v>
      </c>
      <c r="F4" s="245"/>
      <c r="G4" s="244">
        <f>E4+1</f>
        <v>2</v>
      </c>
      <c r="H4" s="245"/>
      <c r="I4" s="244">
        <f>G4+1</f>
        <v>3</v>
      </c>
      <c r="J4" s="245"/>
      <c r="K4" s="244">
        <f>I4+1</f>
        <v>4</v>
      </c>
      <c r="L4" s="245"/>
      <c r="M4" s="244">
        <f>K4+1</f>
        <v>5</v>
      </c>
      <c r="N4" s="245"/>
      <c r="O4" s="244">
        <f>M4+1</f>
        <v>6</v>
      </c>
      <c r="P4" s="245"/>
      <c r="Q4" s="244">
        <f>O4+1</f>
        <v>7</v>
      </c>
      <c r="R4" s="245"/>
      <c r="S4" s="244">
        <f>Q4+1</f>
        <v>8</v>
      </c>
      <c r="T4" s="245"/>
      <c r="U4" s="244">
        <f>S4+1</f>
        <v>9</v>
      </c>
      <c r="V4" s="245"/>
      <c r="W4" s="244">
        <f>U4+1</f>
        <v>10</v>
      </c>
      <c r="X4" s="245"/>
      <c r="Y4" s="244">
        <f>W4+1</f>
        <v>11</v>
      </c>
      <c r="Z4" s="245"/>
      <c r="AA4" s="244">
        <f>Y4+1</f>
        <v>12</v>
      </c>
      <c r="AB4" s="245"/>
      <c r="AC4" s="244">
        <f>AA4+1</f>
        <v>13</v>
      </c>
      <c r="AD4" s="245"/>
      <c r="AE4" s="244">
        <f>AC4+1</f>
        <v>14</v>
      </c>
      <c r="AF4" s="245"/>
      <c r="AG4" s="244">
        <f>AE4+1</f>
        <v>15</v>
      </c>
      <c r="AH4" s="245"/>
    </row>
    <row r="5" spans="3:34" ht="19.5" customHeight="1" thickBot="1" x14ac:dyDescent="0.3">
      <c r="C5" s="242" t="s">
        <v>9</v>
      </c>
      <c r="D5" s="140" t="s">
        <v>241</v>
      </c>
      <c r="E5" s="248" t="s">
        <v>351</v>
      </c>
      <c r="F5" s="249"/>
      <c r="G5" s="246" t="s">
        <v>352</v>
      </c>
      <c r="H5" s="247"/>
      <c r="I5" s="246" t="s">
        <v>353</v>
      </c>
      <c r="J5" s="247"/>
      <c r="K5" s="246" t="s">
        <v>354</v>
      </c>
      <c r="L5" s="247"/>
      <c r="M5" s="246" t="s">
        <v>355</v>
      </c>
      <c r="N5" s="247"/>
      <c r="O5" s="246" t="s">
        <v>356</v>
      </c>
      <c r="P5" s="247"/>
      <c r="Q5" s="246" t="s">
        <v>357</v>
      </c>
      <c r="R5" s="247"/>
      <c r="S5" s="246" t="s">
        <v>358</v>
      </c>
      <c r="T5" s="247"/>
      <c r="U5" s="246" t="s">
        <v>359</v>
      </c>
      <c r="V5" s="247"/>
      <c r="W5" s="246" t="s">
        <v>360</v>
      </c>
      <c r="X5" s="247"/>
      <c r="Y5" s="246"/>
      <c r="Z5" s="247"/>
      <c r="AA5" s="246"/>
      <c r="AB5" s="247"/>
      <c r="AC5" s="246"/>
      <c r="AD5" s="247"/>
      <c r="AE5" s="246"/>
      <c r="AF5" s="247"/>
      <c r="AG5" s="246"/>
      <c r="AH5" s="247"/>
    </row>
    <row r="6" spans="3:34" ht="32.25" customHeight="1" thickBot="1" x14ac:dyDescent="0.3">
      <c r="C6" s="243"/>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1</v>
      </c>
      <c r="E7" s="62">
        <v>0</v>
      </c>
      <c r="F7" s="63">
        <v>9</v>
      </c>
      <c r="G7" s="62"/>
      <c r="H7" s="63"/>
      <c r="I7" s="62">
        <v>0</v>
      </c>
      <c r="J7" s="63">
        <v>12</v>
      </c>
      <c r="K7" s="62"/>
      <c r="L7" s="63"/>
      <c r="M7" s="62"/>
      <c r="N7" s="63"/>
      <c r="O7" s="62"/>
      <c r="P7" s="63"/>
      <c r="Q7" s="62"/>
      <c r="R7" s="63"/>
      <c r="S7" s="62"/>
      <c r="T7" s="63"/>
      <c r="U7" s="62"/>
      <c r="V7" s="63"/>
      <c r="W7" s="62"/>
      <c r="X7" s="63"/>
      <c r="Y7" s="62"/>
      <c r="Z7" s="63"/>
      <c r="AA7" s="62"/>
      <c r="AB7" s="63"/>
      <c r="AC7" s="62"/>
      <c r="AD7" s="63"/>
      <c r="AE7" s="62"/>
      <c r="AF7" s="63"/>
      <c r="AG7" s="62"/>
      <c r="AH7" s="63"/>
    </row>
    <row r="8" spans="3:34" x14ac:dyDescent="0.25">
      <c r="C8" s="79">
        <v>2</v>
      </c>
      <c r="D8" s="61">
        <v>2</v>
      </c>
      <c r="E8" s="62"/>
      <c r="F8" s="63"/>
      <c r="G8" s="62">
        <v>9</v>
      </c>
      <c r="H8" s="63">
        <v>68</v>
      </c>
      <c r="I8" s="62"/>
      <c r="J8" s="63"/>
      <c r="K8" s="62"/>
      <c r="L8" s="63"/>
      <c r="M8" s="62"/>
      <c r="N8" s="63"/>
      <c r="O8" s="62"/>
      <c r="P8" s="63"/>
      <c r="Q8" s="62"/>
      <c r="R8" s="63"/>
      <c r="S8" s="62"/>
      <c r="T8" s="63"/>
      <c r="U8" s="62"/>
      <c r="V8" s="63"/>
      <c r="W8" s="62">
        <v>9</v>
      </c>
      <c r="X8" s="63">
        <v>68</v>
      </c>
      <c r="Y8" s="62"/>
      <c r="Z8" s="63"/>
      <c r="AA8" s="62"/>
      <c r="AB8" s="63"/>
      <c r="AC8" s="62"/>
      <c r="AD8" s="63"/>
      <c r="AE8" s="62"/>
      <c r="AF8" s="63"/>
      <c r="AG8" s="62"/>
      <c r="AH8" s="63"/>
    </row>
    <row r="9" spans="3:34" x14ac:dyDescent="0.25">
      <c r="C9" s="79">
        <v>3</v>
      </c>
      <c r="D9" s="61">
        <v>4</v>
      </c>
      <c r="E9" s="62">
        <v>4</v>
      </c>
      <c r="F9" s="63">
        <v>39</v>
      </c>
      <c r="G9" s="62"/>
      <c r="H9" s="63"/>
      <c r="I9" s="62"/>
      <c r="J9" s="63"/>
      <c r="K9" s="62">
        <v>2</v>
      </c>
      <c r="L9" s="63">
        <v>38</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7</v>
      </c>
      <c r="E10" s="62"/>
      <c r="F10" s="63"/>
      <c r="G10" s="62"/>
      <c r="H10" s="63"/>
      <c r="I10" s="62">
        <v>2</v>
      </c>
      <c r="J10" s="63">
        <v>80</v>
      </c>
      <c r="K10" s="62">
        <v>3</v>
      </c>
      <c r="L10" s="63">
        <v>80</v>
      </c>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8</v>
      </c>
      <c r="E11" s="62"/>
      <c r="F11" s="63"/>
      <c r="G11" s="62">
        <v>3</v>
      </c>
      <c r="H11" s="63">
        <v>34</v>
      </c>
      <c r="I11" s="62">
        <v>2</v>
      </c>
      <c r="J11" s="63">
        <v>36</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9</v>
      </c>
      <c r="E12" s="62"/>
      <c r="F12" s="63"/>
      <c r="G12" s="62">
        <v>3</v>
      </c>
      <c r="H12" s="63">
        <v>50</v>
      </c>
      <c r="I12" s="62">
        <v>2</v>
      </c>
      <c r="J12" s="63">
        <v>52</v>
      </c>
      <c r="K12" s="62"/>
      <c r="L12" s="63"/>
      <c r="M12" s="62"/>
      <c r="N12" s="63"/>
      <c r="O12" s="62"/>
      <c r="P12" s="63"/>
      <c r="Q12" s="62"/>
      <c r="R12" s="63"/>
      <c r="S12" s="62"/>
      <c r="T12" s="63"/>
      <c r="U12" s="62"/>
      <c r="V12" s="63"/>
      <c r="W12" s="62"/>
      <c r="X12" s="63"/>
      <c r="Y12" s="62"/>
      <c r="Z12" s="63"/>
      <c r="AA12" s="62"/>
      <c r="AB12" s="63"/>
      <c r="AC12" s="62"/>
      <c r="AD12" s="63"/>
      <c r="AE12" s="62"/>
      <c r="AF12" s="63"/>
      <c r="AG12" s="62"/>
      <c r="AH12" s="63"/>
    </row>
    <row r="13" spans="3:34" x14ac:dyDescent="0.25">
      <c r="C13" s="79">
        <v>7</v>
      </c>
      <c r="D13" s="61">
        <v>10</v>
      </c>
      <c r="E13" s="62"/>
      <c r="F13" s="63"/>
      <c r="G13" s="62"/>
      <c r="H13" s="63"/>
      <c r="I13" s="62">
        <v>1</v>
      </c>
      <c r="J13" s="63">
        <v>33</v>
      </c>
      <c r="K13" s="62"/>
      <c r="L13" s="63"/>
      <c r="M13" s="62"/>
      <c r="N13" s="63"/>
      <c r="O13" s="62"/>
      <c r="P13" s="63"/>
      <c r="Q13" s="62"/>
      <c r="R13" s="63"/>
      <c r="S13" s="62"/>
      <c r="T13" s="63"/>
      <c r="U13" s="62"/>
      <c r="V13" s="63"/>
      <c r="W13" s="62">
        <v>1</v>
      </c>
      <c r="X13" s="63">
        <v>33</v>
      </c>
      <c r="Y13" s="62"/>
      <c r="Z13" s="63"/>
      <c r="AA13" s="62"/>
      <c r="AB13" s="63"/>
      <c r="AC13" s="62"/>
      <c r="AD13" s="63"/>
      <c r="AE13" s="62"/>
      <c r="AF13" s="63"/>
      <c r="AG13" s="62"/>
      <c r="AH13" s="63"/>
    </row>
    <row r="14" spans="3:34" x14ac:dyDescent="0.25">
      <c r="C14" s="79">
        <v>8</v>
      </c>
      <c r="D14" s="61">
        <v>11</v>
      </c>
      <c r="E14" s="62"/>
      <c r="F14" s="63"/>
      <c r="G14" s="62">
        <v>3</v>
      </c>
      <c r="H14" s="63">
        <v>32</v>
      </c>
      <c r="I14" s="62">
        <v>4</v>
      </c>
      <c r="J14" s="63">
        <v>32</v>
      </c>
      <c r="K14" s="62"/>
      <c r="L14" s="63"/>
      <c r="M14" s="62"/>
      <c r="N14" s="63"/>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13</v>
      </c>
      <c r="E15" s="62">
        <v>10</v>
      </c>
      <c r="F15" s="63">
        <v>15</v>
      </c>
      <c r="G15" s="62"/>
      <c r="H15" s="63"/>
      <c r="I15" s="62">
        <v>6</v>
      </c>
      <c r="J15" s="63">
        <v>15</v>
      </c>
      <c r="K15" s="62"/>
      <c r="L15" s="63"/>
      <c r="M15" s="62"/>
      <c r="N15" s="63"/>
      <c r="O15" s="62"/>
      <c r="P15" s="63"/>
      <c r="Q15" s="62"/>
      <c r="R15" s="63"/>
      <c r="S15" s="62"/>
      <c r="T15" s="63"/>
      <c r="U15" s="62"/>
      <c r="V15" s="63"/>
      <c r="W15" s="62"/>
      <c r="X15" s="63"/>
      <c r="Y15" s="62"/>
      <c r="Z15" s="63"/>
      <c r="AA15" s="62"/>
      <c r="AB15" s="63"/>
      <c r="AC15" s="62"/>
      <c r="AD15" s="63"/>
      <c r="AE15" s="62"/>
      <c r="AF15" s="63"/>
      <c r="AG15" s="62"/>
      <c r="AH15" s="63"/>
    </row>
    <row r="16" spans="3:34" x14ac:dyDescent="0.25">
      <c r="C16" s="79">
        <v>10</v>
      </c>
      <c r="D16" s="61">
        <v>14</v>
      </c>
      <c r="E16" s="62">
        <v>1</v>
      </c>
      <c r="F16" s="63">
        <v>14</v>
      </c>
      <c r="G16" s="62"/>
      <c r="H16" s="63"/>
      <c r="I16" s="62"/>
      <c r="J16" s="63"/>
      <c r="K16" s="62"/>
      <c r="L16" s="63"/>
      <c r="M16" s="62"/>
      <c r="N16" s="63"/>
      <c r="O16" s="62"/>
      <c r="P16" s="63"/>
      <c r="Q16" s="62"/>
      <c r="R16" s="63"/>
      <c r="S16" s="62">
        <v>0</v>
      </c>
      <c r="T16" s="63">
        <v>18</v>
      </c>
      <c r="U16" s="62"/>
      <c r="V16" s="63"/>
      <c r="W16" s="62"/>
      <c r="X16" s="63"/>
      <c r="Y16" s="62"/>
      <c r="Z16" s="63"/>
      <c r="AA16" s="62"/>
      <c r="AB16" s="63"/>
      <c r="AC16" s="62"/>
      <c r="AD16" s="63"/>
      <c r="AE16" s="62"/>
      <c r="AF16" s="63"/>
      <c r="AG16" s="62"/>
      <c r="AH16" s="63"/>
    </row>
    <row r="17" spans="3:34" x14ac:dyDescent="0.25">
      <c r="C17" s="79">
        <v>11</v>
      </c>
      <c r="D17" s="61">
        <v>15</v>
      </c>
      <c r="E17" s="62">
        <v>0</v>
      </c>
      <c r="F17" s="63">
        <v>20</v>
      </c>
      <c r="G17" s="62"/>
      <c r="H17" s="63"/>
      <c r="I17" s="62"/>
      <c r="J17" s="63"/>
      <c r="K17" s="62"/>
      <c r="L17" s="63"/>
      <c r="M17" s="62"/>
      <c r="N17" s="63"/>
      <c r="O17" s="62"/>
      <c r="P17" s="63"/>
      <c r="Q17" s="62"/>
      <c r="R17" s="63"/>
      <c r="S17" s="62"/>
      <c r="T17" s="63"/>
      <c r="U17" s="62"/>
      <c r="V17" s="63"/>
      <c r="W17" s="62">
        <v>2</v>
      </c>
      <c r="X17" s="63">
        <v>19</v>
      </c>
      <c r="Y17" s="62"/>
      <c r="Z17" s="63"/>
      <c r="AA17" s="62"/>
      <c r="AB17" s="63"/>
      <c r="AC17" s="62"/>
      <c r="AD17" s="63"/>
      <c r="AE17" s="62"/>
      <c r="AF17" s="63"/>
      <c r="AG17" s="62"/>
      <c r="AH17" s="63"/>
    </row>
    <row r="18" spans="3:34" x14ac:dyDescent="0.25">
      <c r="C18" s="79">
        <v>12</v>
      </c>
      <c r="D18" s="61">
        <v>17</v>
      </c>
      <c r="E18" s="62"/>
      <c r="F18" s="63"/>
      <c r="G18" s="62">
        <v>9</v>
      </c>
      <c r="H18" s="63">
        <v>32</v>
      </c>
      <c r="I18" s="62"/>
      <c r="J18" s="63"/>
      <c r="K18" s="62"/>
      <c r="L18" s="63"/>
      <c r="M18" s="62"/>
      <c r="N18" s="63"/>
      <c r="O18" s="62"/>
      <c r="P18" s="63"/>
      <c r="Q18" s="62"/>
      <c r="R18" s="63"/>
      <c r="S18" s="62">
        <v>7</v>
      </c>
      <c r="T18" s="63">
        <v>31</v>
      </c>
      <c r="U18" s="62"/>
      <c r="V18" s="63"/>
      <c r="W18" s="62"/>
      <c r="X18" s="63"/>
      <c r="Y18" s="62"/>
      <c r="Z18" s="63"/>
      <c r="AA18" s="62"/>
      <c r="AB18" s="63"/>
      <c r="AC18" s="62"/>
      <c r="AD18" s="63"/>
      <c r="AE18" s="62"/>
      <c r="AF18" s="63"/>
      <c r="AG18" s="62"/>
      <c r="AH18" s="63"/>
    </row>
    <row r="19" spans="3:34" x14ac:dyDescent="0.25">
      <c r="C19" s="79">
        <v>13</v>
      </c>
      <c r="D19" s="61">
        <v>18</v>
      </c>
      <c r="E19" s="62"/>
      <c r="F19" s="63"/>
      <c r="G19" s="62">
        <v>3</v>
      </c>
      <c r="H19" s="63">
        <v>35</v>
      </c>
      <c r="I19" s="62"/>
      <c r="J19" s="63"/>
      <c r="K19" s="62"/>
      <c r="L19" s="63"/>
      <c r="M19" s="62">
        <v>4</v>
      </c>
      <c r="N19" s="63">
        <v>35</v>
      </c>
      <c r="O19" s="62"/>
      <c r="P19" s="63"/>
      <c r="Q19" s="62"/>
      <c r="R19" s="63"/>
      <c r="S19" s="62"/>
      <c r="T19" s="63"/>
      <c r="U19" s="62"/>
      <c r="V19" s="63"/>
      <c r="W19" s="62"/>
      <c r="X19" s="63"/>
      <c r="Y19" s="62"/>
      <c r="Z19" s="63"/>
      <c r="AA19" s="62"/>
      <c r="AB19" s="63"/>
      <c r="AC19" s="62"/>
      <c r="AD19" s="63"/>
      <c r="AE19" s="62"/>
      <c r="AF19" s="63"/>
      <c r="AG19" s="62"/>
      <c r="AH19" s="63"/>
    </row>
    <row r="20" spans="3:34" x14ac:dyDescent="0.25">
      <c r="C20" s="79">
        <v>14</v>
      </c>
      <c r="D20" s="61">
        <v>19</v>
      </c>
      <c r="E20" s="62"/>
      <c r="F20" s="63"/>
      <c r="G20" s="62"/>
      <c r="H20" s="63"/>
      <c r="I20" s="62">
        <v>0</v>
      </c>
      <c r="J20" s="63">
        <v>18</v>
      </c>
      <c r="K20" s="62"/>
      <c r="L20" s="63"/>
      <c r="M20" s="62"/>
      <c r="N20" s="63"/>
      <c r="O20" s="62"/>
      <c r="P20" s="63"/>
      <c r="Q20" s="62"/>
      <c r="R20" s="63"/>
      <c r="S20" s="62"/>
      <c r="T20" s="63"/>
      <c r="U20" s="62">
        <v>3</v>
      </c>
      <c r="V20" s="63">
        <v>18</v>
      </c>
      <c r="W20" s="62"/>
      <c r="X20" s="63"/>
      <c r="Y20" s="62"/>
      <c r="Z20" s="63"/>
      <c r="AA20" s="62"/>
      <c r="AB20" s="63"/>
      <c r="AC20" s="62"/>
      <c r="AD20" s="63"/>
      <c r="AE20" s="62"/>
      <c r="AF20" s="63"/>
      <c r="AG20" s="62"/>
      <c r="AH20" s="63"/>
    </row>
    <row r="21" spans="3:34" x14ac:dyDescent="0.25">
      <c r="C21" s="79">
        <v>15</v>
      </c>
      <c r="D21" s="61">
        <v>21</v>
      </c>
      <c r="E21" s="62">
        <v>10</v>
      </c>
      <c r="F21" s="63">
        <v>50</v>
      </c>
      <c r="G21" s="62"/>
      <c r="H21" s="63"/>
      <c r="I21" s="62"/>
      <c r="J21" s="63"/>
      <c r="K21" s="62"/>
      <c r="L21" s="63"/>
      <c r="M21" s="62"/>
      <c r="N21" s="63"/>
      <c r="O21" s="62"/>
      <c r="P21" s="63"/>
      <c r="Q21" s="62"/>
      <c r="R21" s="63"/>
      <c r="S21" s="62"/>
      <c r="T21" s="63"/>
      <c r="U21" s="62">
        <v>9</v>
      </c>
      <c r="V21" s="63">
        <v>55</v>
      </c>
      <c r="W21" s="62"/>
      <c r="X21" s="63"/>
      <c r="Y21" s="62"/>
      <c r="Z21" s="63"/>
      <c r="AA21" s="62"/>
      <c r="AB21" s="63"/>
      <c r="AC21" s="62"/>
      <c r="AD21" s="63"/>
      <c r="AE21" s="62"/>
      <c r="AF21" s="63"/>
      <c r="AG21" s="62"/>
      <c r="AH21" s="63"/>
    </row>
    <row r="22" spans="3:34" x14ac:dyDescent="0.25">
      <c r="C22" s="79">
        <v>16</v>
      </c>
      <c r="D22" s="61">
        <v>22</v>
      </c>
      <c r="E22" s="62">
        <v>2</v>
      </c>
      <c r="F22" s="63">
        <v>44</v>
      </c>
      <c r="G22" s="62"/>
      <c r="H22" s="63"/>
      <c r="I22" s="62"/>
      <c r="J22" s="63"/>
      <c r="K22" s="62"/>
      <c r="L22" s="63"/>
      <c r="M22" s="62"/>
      <c r="N22" s="63"/>
      <c r="O22" s="62"/>
      <c r="P22" s="63"/>
      <c r="Q22" s="62"/>
      <c r="R22" s="63"/>
      <c r="S22" s="62"/>
      <c r="T22" s="63"/>
      <c r="U22" s="62"/>
      <c r="V22" s="63"/>
      <c r="W22" s="62">
        <v>2</v>
      </c>
      <c r="X22" s="63">
        <v>48</v>
      </c>
      <c r="Y22" s="62"/>
      <c r="Z22" s="63"/>
      <c r="AA22" s="62"/>
      <c r="AB22" s="63"/>
      <c r="AC22" s="62"/>
      <c r="AD22" s="63"/>
      <c r="AE22" s="62"/>
      <c r="AF22" s="63"/>
      <c r="AG22" s="62"/>
      <c r="AH22" s="63"/>
    </row>
    <row r="23" spans="3:34" x14ac:dyDescent="0.25">
      <c r="C23" s="79">
        <v>17</v>
      </c>
      <c r="D23" s="61">
        <v>24</v>
      </c>
      <c r="E23" s="62">
        <v>2</v>
      </c>
      <c r="F23" s="63">
        <v>81</v>
      </c>
      <c r="G23" s="62">
        <v>2</v>
      </c>
      <c r="H23" s="63">
        <v>94</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25</v>
      </c>
      <c r="E24" s="62"/>
      <c r="F24" s="63"/>
      <c r="G24" s="62">
        <v>7</v>
      </c>
      <c r="H24" s="63">
        <v>56</v>
      </c>
      <c r="I24" s="62"/>
      <c r="J24" s="63"/>
      <c r="K24" s="62"/>
      <c r="L24" s="63"/>
      <c r="M24" s="62"/>
      <c r="N24" s="63"/>
      <c r="O24" s="62"/>
      <c r="P24" s="63"/>
      <c r="Q24" s="62">
        <v>3</v>
      </c>
      <c r="R24" s="63">
        <v>55</v>
      </c>
      <c r="S24" s="62"/>
      <c r="T24" s="63"/>
      <c r="U24" s="62"/>
      <c r="V24" s="63"/>
      <c r="W24" s="62"/>
      <c r="X24" s="63"/>
      <c r="Y24" s="62"/>
      <c r="Z24" s="63"/>
      <c r="AA24" s="62"/>
      <c r="AB24" s="63"/>
      <c r="AC24" s="62"/>
      <c r="AD24" s="63"/>
      <c r="AE24" s="62"/>
      <c r="AF24" s="63"/>
      <c r="AG24" s="62"/>
      <c r="AH24" s="63"/>
    </row>
    <row r="25" spans="3:34" x14ac:dyDescent="0.25">
      <c r="C25" s="79">
        <v>19</v>
      </c>
      <c r="D25" s="61">
        <v>26</v>
      </c>
      <c r="E25" s="62">
        <v>1</v>
      </c>
      <c r="F25" s="63">
        <v>69</v>
      </c>
      <c r="G25" s="62"/>
      <c r="H25" s="63"/>
      <c r="I25" s="62"/>
      <c r="J25" s="63"/>
      <c r="K25" s="62"/>
      <c r="L25" s="63"/>
      <c r="M25" s="62"/>
      <c r="N25" s="63"/>
      <c r="O25" s="62"/>
      <c r="P25" s="63"/>
      <c r="Q25" s="62"/>
      <c r="R25" s="63"/>
      <c r="S25" s="62"/>
      <c r="T25" s="63"/>
      <c r="U25" s="62">
        <v>5</v>
      </c>
      <c r="V25" s="63">
        <v>71</v>
      </c>
      <c r="W25" s="62"/>
      <c r="X25" s="63"/>
      <c r="Y25" s="62"/>
      <c r="Z25" s="63"/>
      <c r="AA25" s="62"/>
      <c r="AB25" s="63"/>
      <c r="AC25" s="62"/>
      <c r="AD25" s="63"/>
      <c r="AE25" s="62"/>
      <c r="AF25" s="63"/>
      <c r="AG25" s="62"/>
      <c r="AH25" s="63"/>
    </row>
    <row r="26" spans="3:34" x14ac:dyDescent="0.25">
      <c r="C26" s="79">
        <v>20</v>
      </c>
      <c r="D26" s="61">
        <v>29</v>
      </c>
      <c r="E26" s="62"/>
      <c r="F26" s="63"/>
      <c r="G26" s="62"/>
      <c r="H26" s="63"/>
      <c r="I26" s="62"/>
      <c r="J26" s="63"/>
      <c r="K26" s="62"/>
      <c r="L26" s="63"/>
      <c r="M26" s="62"/>
      <c r="N26" s="63"/>
      <c r="O26" s="62"/>
      <c r="P26" s="63"/>
      <c r="Q26" s="62"/>
      <c r="R26" s="63"/>
      <c r="S26" s="62"/>
      <c r="T26" s="63"/>
      <c r="U26" s="62">
        <v>1</v>
      </c>
      <c r="V26" s="63">
        <v>24</v>
      </c>
      <c r="W26" s="62">
        <v>0</v>
      </c>
      <c r="X26" s="63">
        <v>23</v>
      </c>
      <c r="Y26" s="62"/>
      <c r="Z26" s="63"/>
      <c r="AA26" s="62"/>
      <c r="AB26" s="63"/>
      <c r="AC26" s="62"/>
      <c r="AD26" s="63"/>
      <c r="AE26" s="62"/>
      <c r="AF26" s="63"/>
      <c r="AG26" s="62"/>
      <c r="AH26" s="63"/>
    </row>
    <row r="27" spans="3:34" x14ac:dyDescent="0.25">
      <c r="C27" s="79">
        <v>21</v>
      </c>
      <c r="D27" s="61">
        <v>32</v>
      </c>
      <c r="E27" s="62"/>
      <c r="F27" s="63"/>
      <c r="G27" s="62"/>
      <c r="H27" s="63"/>
      <c r="I27" s="62">
        <v>2</v>
      </c>
      <c r="J27" s="63">
        <v>40</v>
      </c>
      <c r="K27" s="62">
        <v>3</v>
      </c>
      <c r="L27" s="63">
        <v>40</v>
      </c>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v>33</v>
      </c>
      <c r="E28" s="62">
        <v>3</v>
      </c>
      <c r="F28" s="63">
        <v>35</v>
      </c>
      <c r="G28" s="62"/>
      <c r="H28" s="63"/>
      <c r="I28" s="62"/>
      <c r="J28" s="63"/>
      <c r="K28" s="62"/>
      <c r="L28" s="63"/>
      <c r="M28" s="62"/>
      <c r="N28" s="63"/>
      <c r="O28" s="62"/>
      <c r="P28" s="63"/>
      <c r="Q28" s="62"/>
      <c r="R28" s="63"/>
      <c r="S28" s="62"/>
      <c r="T28" s="63"/>
      <c r="U28" s="62"/>
      <c r="V28" s="63"/>
      <c r="W28" s="62">
        <v>0</v>
      </c>
      <c r="X28" s="63">
        <v>35</v>
      </c>
      <c r="Y28" s="62"/>
      <c r="Z28" s="63"/>
      <c r="AA28" s="62"/>
      <c r="AB28" s="63"/>
      <c r="AC28" s="62"/>
      <c r="AD28" s="63"/>
      <c r="AE28" s="62"/>
      <c r="AF28" s="63"/>
      <c r="AG28" s="62"/>
      <c r="AH28" s="63"/>
    </row>
    <row r="29" spans="3:34" x14ac:dyDescent="0.25">
      <c r="C29" s="79">
        <v>23</v>
      </c>
      <c r="D29" s="61">
        <v>35</v>
      </c>
      <c r="E29" s="62">
        <v>1</v>
      </c>
      <c r="F29" s="63">
        <v>20</v>
      </c>
      <c r="G29" s="62">
        <v>1</v>
      </c>
      <c r="H29" s="63">
        <v>20</v>
      </c>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v>36</v>
      </c>
      <c r="E30" s="62">
        <v>4</v>
      </c>
      <c r="F30" s="63">
        <v>64</v>
      </c>
      <c r="G30" s="62"/>
      <c r="H30" s="63"/>
      <c r="I30" s="62"/>
      <c r="J30" s="63"/>
      <c r="K30" s="62"/>
      <c r="L30" s="63"/>
      <c r="M30" s="62"/>
      <c r="N30" s="63"/>
      <c r="O30" s="62"/>
      <c r="P30" s="63"/>
      <c r="Q30" s="62"/>
      <c r="R30" s="63"/>
      <c r="S30" s="62"/>
      <c r="T30" s="63"/>
      <c r="U30" s="62">
        <v>1</v>
      </c>
      <c r="V30" s="63">
        <v>63</v>
      </c>
      <c r="W30" s="62"/>
      <c r="X30" s="63"/>
      <c r="Y30" s="62"/>
      <c r="Z30" s="63"/>
      <c r="AA30" s="62"/>
      <c r="AB30" s="63"/>
      <c r="AC30" s="62"/>
      <c r="AD30" s="63"/>
      <c r="AE30" s="62"/>
      <c r="AF30" s="63"/>
      <c r="AG30" s="62"/>
      <c r="AH30" s="63"/>
    </row>
    <row r="31" spans="3:34" x14ac:dyDescent="0.25">
      <c r="C31" s="79">
        <v>25</v>
      </c>
      <c r="D31" s="61">
        <v>37</v>
      </c>
      <c r="E31" s="62">
        <v>1</v>
      </c>
      <c r="F31" s="63">
        <v>15</v>
      </c>
      <c r="G31" s="62">
        <v>0</v>
      </c>
      <c r="H31" s="63">
        <v>18</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38</v>
      </c>
      <c r="E32" s="62">
        <v>0</v>
      </c>
      <c r="F32" s="63">
        <v>8</v>
      </c>
      <c r="G32" s="62">
        <v>0</v>
      </c>
      <c r="H32" s="63">
        <v>9</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40</v>
      </c>
      <c r="E33" s="62"/>
      <c r="F33" s="63"/>
      <c r="G33" s="62"/>
      <c r="H33" s="63"/>
      <c r="I33" s="62">
        <v>0</v>
      </c>
      <c r="J33" s="63">
        <v>10</v>
      </c>
      <c r="K33" s="62"/>
      <c r="L33" s="63"/>
      <c r="M33" s="62"/>
      <c r="N33" s="63"/>
      <c r="O33" s="62"/>
      <c r="P33" s="63"/>
      <c r="Q33" s="62"/>
      <c r="R33" s="63"/>
      <c r="S33" s="62"/>
      <c r="T33" s="63"/>
      <c r="U33" s="62">
        <v>0</v>
      </c>
      <c r="V33" s="63">
        <v>10</v>
      </c>
      <c r="W33" s="62"/>
      <c r="X33" s="63"/>
      <c r="Y33" s="62"/>
      <c r="Z33" s="63"/>
      <c r="AA33" s="62"/>
      <c r="AB33" s="63"/>
      <c r="AC33" s="62"/>
      <c r="AD33" s="63"/>
      <c r="AE33" s="62"/>
      <c r="AF33" s="63"/>
      <c r="AG33" s="62"/>
      <c r="AH33" s="63"/>
    </row>
    <row r="34" spans="3:34" x14ac:dyDescent="0.25">
      <c r="C34" s="79">
        <v>28</v>
      </c>
      <c r="D34" s="61">
        <v>41</v>
      </c>
      <c r="E34" s="62"/>
      <c r="F34" s="63"/>
      <c r="G34" s="62"/>
      <c r="H34" s="63"/>
      <c r="I34" s="62">
        <v>5</v>
      </c>
      <c r="J34" s="63">
        <v>30</v>
      </c>
      <c r="K34" s="62"/>
      <c r="L34" s="63"/>
      <c r="M34" s="62"/>
      <c r="N34" s="63"/>
      <c r="O34" s="62">
        <v>4</v>
      </c>
      <c r="P34" s="63">
        <v>30</v>
      </c>
      <c r="Q34" s="62"/>
      <c r="R34" s="63"/>
      <c r="S34" s="62"/>
      <c r="T34" s="63"/>
      <c r="U34" s="62"/>
      <c r="V34" s="63"/>
      <c r="W34" s="62"/>
      <c r="X34" s="63"/>
      <c r="Y34" s="62"/>
      <c r="Z34" s="63"/>
      <c r="AA34" s="62"/>
      <c r="AB34" s="63"/>
      <c r="AC34" s="62"/>
      <c r="AD34" s="63"/>
      <c r="AE34" s="62"/>
      <c r="AF34" s="63"/>
      <c r="AG34" s="62"/>
      <c r="AH34" s="63"/>
    </row>
    <row r="35" spans="3:34" x14ac:dyDescent="0.25">
      <c r="C35" s="79">
        <v>29</v>
      </c>
      <c r="D35" s="61">
        <v>43</v>
      </c>
      <c r="E35" s="62">
        <v>3</v>
      </c>
      <c r="F35" s="63">
        <v>36</v>
      </c>
      <c r="G35" s="62"/>
      <c r="H35" s="63"/>
      <c r="I35" s="62"/>
      <c r="J35" s="63"/>
      <c r="K35" s="62"/>
      <c r="L35" s="63"/>
      <c r="M35" s="62"/>
      <c r="N35" s="63"/>
      <c r="O35" s="62"/>
      <c r="P35" s="63"/>
      <c r="Q35" s="62"/>
      <c r="R35" s="63"/>
      <c r="S35" s="62"/>
      <c r="T35" s="63"/>
      <c r="U35" s="62">
        <v>5</v>
      </c>
      <c r="V35" s="63">
        <v>34</v>
      </c>
      <c r="W35" s="62"/>
      <c r="X35" s="63"/>
      <c r="Y35" s="62"/>
      <c r="Z35" s="63"/>
      <c r="AA35" s="62"/>
      <c r="AB35" s="63"/>
      <c r="AC35" s="62"/>
      <c r="AD35" s="63"/>
      <c r="AE35" s="62"/>
      <c r="AF35" s="63"/>
      <c r="AG35" s="62"/>
      <c r="AH35" s="63"/>
    </row>
    <row r="36" spans="3:34" x14ac:dyDescent="0.25">
      <c r="C36" s="79">
        <v>30</v>
      </c>
      <c r="D36" s="61">
        <v>46</v>
      </c>
      <c r="E36" s="62"/>
      <c r="F36" s="63"/>
      <c r="G36" s="62"/>
      <c r="H36" s="63"/>
      <c r="I36" s="62">
        <v>0</v>
      </c>
      <c r="J36" s="63">
        <v>31</v>
      </c>
      <c r="K36" s="62"/>
      <c r="L36" s="63"/>
      <c r="M36" s="62"/>
      <c r="N36" s="63"/>
      <c r="O36" s="62"/>
      <c r="P36" s="63"/>
      <c r="Q36" s="62"/>
      <c r="R36" s="63"/>
      <c r="S36" s="62"/>
      <c r="T36" s="63"/>
      <c r="U36" s="62"/>
      <c r="V36" s="63"/>
      <c r="W36" s="62">
        <v>1</v>
      </c>
      <c r="X36" s="63">
        <v>31</v>
      </c>
      <c r="Y36" s="62"/>
      <c r="Z36" s="63"/>
      <c r="AA36" s="62"/>
      <c r="AB36" s="63"/>
      <c r="AC36" s="62"/>
      <c r="AD36" s="63"/>
      <c r="AE36" s="62"/>
      <c r="AF36" s="63"/>
      <c r="AG36" s="62"/>
      <c r="AH36" s="63"/>
    </row>
    <row r="37" spans="3:34" x14ac:dyDescent="0.25">
      <c r="C37" s="79">
        <v>31</v>
      </c>
      <c r="D37" s="61">
        <v>47</v>
      </c>
      <c r="E37" s="62"/>
      <c r="F37" s="63"/>
      <c r="G37" s="62">
        <v>5</v>
      </c>
      <c r="H37" s="63">
        <v>54</v>
      </c>
      <c r="I37" s="62"/>
      <c r="J37" s="63"/>
      <c r="K37" s="62"/>
      <c r="L37" s="63"/>
      <c r="M37" s="62"/>
      <c r="N37" s="63"/>
      <c r="O37" s="62"/>
      <c r="P37" s="63"/>
      <c r="Q37" s="62"/>
      <c r="R37" s="63"/>
      <c r="S37" s="62"/>
      <c r="T37" s="63"/>
      <c r="U37" s="62"/>
      <c r="V37" s="63"/>
      <c r="W37" s="62">
        <v>2</v>
      </c>
      <c r="X37" s="63">
        <v>51</v>
      </c>
      <c r="Y37" s="62"/>
      <c r="Z37" s="63"/>
      <c r="AA37" s="62"/>
      <c r="AB37" s="63"/>
      <c r="AC37" s="62"/>
      <c r="AD37" s="63"/>
      <c r="AE37" s="62"/>
      <c r="AF37" s="63"/>
      <c r="AG37" s="62"/>
      <c r="AH37" s="63"/>
    </row>
    <row r="38" spans="3:34" x14ac:dyDescent="0.25">
      <c r="C38" s="79">
        <v>32</v>
      </c>
      <c r="D38" s="61">
        <v>48</v>
      </c>
      <c r="E38" s="62">
        <v>4</v>
      </c>
      <c r="F38" s="63">
        <v>46</v>
      </c>
      <c r="G38" s="62"/>
      <c r="H38" s="63"/>
      <c r="I38" s="62"/>
      <c r="J38" s="63"/>
      <c r="K38" s="62"/>
      <c r="L38" s="63"/>
      <c r="M38" s="62"/>
      <c r="N38" s="63"/>
      <c r="O38" s="62"/>
      <c r="P38" s="63"/>
      <c r="Q38" s="62"/>
      <c r="R38" s="63"/>
      <c r="S38" s="62"/>
      <c r="T38" s="63"/>
      <c r="U38" s="62">
        <v>4</v>
      </c>
      <c r="V38" s="63">
        <v>47</v>
      </c>
      <c r="W38" s="62"/>
      <c r="X38" s="63"/>
      <c r="Y38" s="62"/>
      <c r="Z38" s="63"/>
      <c r="AA38" s="62"/>
      <c r="AB38" s="63"/>
      <c r="AC38" s="62"/>
      <c r="AD38" s="63"/>
      <c r="AE38" s="62"/>
      <c r="AF38" s="63"/>
      <c r="AG38" s="62"/>
      <c r="AH38" s="63"/>
    </row>
    <row r="39" spans="3:34" x14ac:dyDescent="0.25">
      <c r="C39" s="79">
        <v>33</v>
      </c>
      <c r="D39" s="61">
        <v>49</v>
      </c>
      <c r="E39" s="62">
        <v>7</v>
      </c>
      <c r="F39" s="63">
        <v>59</v>
      </c>
      <c r="G39" s="62">
        <v>6</v>
      </c>
      <c r="H39" s="63">
        <v>60</v>
      </c>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v>50</v>
      </c>
      <c r="E40" s="62">
        <v>3</v>
      </c>
      <c r="F40" s="63">
        <v>31</v>
      </c>
      <c r="G40" s="62">
        <v>2</v>
      </c>
      <c r="H40" s="63">
        <v>32</v>
      </c>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v>51</v>
      </c>
      <c r="E41" s="62">
        <v>3</v>
      </c>
      <c r="F41" s="63">
        <v>9</v>
      </c>
      <c r="G41" s="62"/>
      <c r="H41" s="63"/>
      <c r="I41" s="62">
        <v>1</v>
      </c>
      <c r="J41" s="63">
        <v>9</v>
      </c>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v>52</v>
      </c>
      <c r="E42" s="62">
        <v>8</v>
      </c>
      <c r="F42" s="63">
        <v>31</v>
      </c>
      <c r="G42" s="62"/>
      <c r="H42" s="63"/>
      <c r="I42" s="62"/>
      <c r="J42" s="63"/>
      <c r="K42" s="62"/>
      <c r="L42" s="63"/>
      <c r="M42" s="62"/>
      <c r="N42" s="63"/>
      <c r="O42" s="62"/>
      <c r="P42" s="63"/>
      <c r="Q42" s="62"/>
      <c r="R42" s="63"/>
      <c r="S42" s="62"/>
      <c r="T42" s="63"/>
      <c r="U42" s="62">
        <v>16</v>
      </c>
      <c r="V42" s="63">
        <v>30</v>
      </c>
      <c r="W42" s="62"/>
      <c r="X42" s="63"/>
      <c r="Y42" s="62"/>
      <c r="Z42" s="63"/>
      <c r="AA42" s="62"/>
      <c r="AB42" s="63"/>
      <c r="AC42" s="62"/>
      <c r="AD42" s="63"/>
      <c r="AE42" s="62"/>
      <c r="AF42" s="63"/>
      <c r="AG42" s="62"/>
      <c r="AH42" s="63"/>
    </row>
    <row r="43" spans="3:34" x14ac:dyDescent="0.25">
      <c r="C43" s="79">
        <v>37</v>
      </c>
      <c r="D43" s="61">
        <v>53</v>
      </c>
      <c r="E43" s="62">
        <v>8</v>
      </c>
      <c r="F43" s="63">
        <v>74</v>
      </c>
      <c r="G43" s="62">
        <v>4</v>
      </c>
      <c r="H43" s="63">
        <v>74</v>
      </c>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v>54</v>
      </c>
      <c r="E44" s="62"/>
      <c r="F44" s="63"/>
      <c r="G44" s="62"/>
      <c r="H44" s="63"/>
      <c r="I44" s="62">
        <v>2</v>
      </c>
      <c r="J44" s="63">
        <v>48</v>
      </c>
      <c r="K44" s="62"/>
      <c r="L44" s="63"/>
      <c r="M44" s="62"/>
      <c r="N44" s="63"/>
      <c r="O44" s="62"/>
      <c r="P44" s="63"/>
      <c r="Q44" s="62"/>
      <c r="R44" s="63"/>
      <c r="S44" s="62"/>
      <c r="T44" s="63"/>
      <c r="U44" s="62">
        <v>5</v>
      </c>
      <c r="V44" s="63">
        <v>35</v>
      </c>
      <c r="W44" s="62"/>
      <c r="X44" s="63"/>
      <c r="Y44" s="62"/>
      <c r="Z44" s="63"/>
      <c r="AA44" s="62"/>
      <c r="AB44" s="63"/>
      <c r="AC44" s="62"/>
      <c r="AD44" s="63"/>
      <c r="AE44" s="62"/>
      <c r="AF44" s="63"/>
      <c r="AG44" s="62"/>
      <c r="AH44" s="63"/>
    </row>
    <row r="45" spans="3:34" x14ac:dyDescent="0.25">
      <c r="C45" s="79">
        <v>39</v>
      </c>
      <c r="D45" s="61">
        <v>58</v>
      </c>
      <c r="E45" s="62">
        <v>3</v>
      </c>
      <c r="F45" s="63">
        <v>28</v>
      </c>
      <c r="G45" s="62"/>
      <c r="H45" s="63"/>
      <c r="I45" s="62"/>
      <c r="J45" s="63"/>
      <c r="K45" s="62"/>
      <c r="L45" s="63"/>
      <c r="M45" s="62"/>
      <c r="N45" s="63"/>
      <c r="O45" s="62"/>
      <c r="P45" s="63"/>
      <c r="Q45" s="62"/>
      <c r="R45" s="63"/>
      <c r="S45" s="62"/>
      <c r="T45" s="63"/>
      <c r="U45" s="62"/>
      <c r="V45" s="63"/>
      <c r="W45" s="62">
        <v>2</v>
      </c>
      <c r="X45" s="63">
        <v>27</v>
      </c>
      <c r="Y45" s="62"/>
      <c r="Z45" s="63"/>
      <c r="AA45" s="62"/>
      <c r="AB45" s="63"/>
      <c r="AC45" s="62"/>
      <c r="AD45" s="63"/>
      <c r="AE45" s="62"/>
      <c r="AF45" s="63"/>
      <c r="AG45" s="62"/>
      <c r="AH45" s="63"/>
    </row>
    <row r="46" spans="3:34" x14ac:dyDescent="0.25">
      <c r="C46" s="79">
        <v>40</v>
      </c>
      <c r="D46" s="61">
        <v>60</v>
      </c>
      <c r="E46" s="62"/>
      <c r="F46" s="63"/>
      <c r="G46" s="62"/>
      <c r="H46" s="63"/>
      <c r="I46" s="62">
        <v>3</v>
      </c>
      <c r="J46" s="63">
        <v>32</v>
      </c>
      <c r="K46" s="62"/>
      <c r="L46" s="63"/>
      <c r="M46" s="62"/>
      <c r="N46" s="63"/>
      <c r="O46" s="62"/>
      <c r="P46" s="63"/>
      <c r="Q46" s="62"/>
      <c r="R46" s="63"/>
      <c r="S46" s="62"/>
      <c r="T46" s="63"/>
      <c r="U46" s="62"/>
      <c r="V46" s="63"/>
      <c r="W46" s="62">
        <v>5</v>
      </c>
      <c r="X46" s="63">
        <v>32</v>
      </c>
      <c r="Y46" s="62"/>
      <c r="Z46" s="63"/>
      <c r="AA46" s="62"/>
      <c r="AB46" s="63"/>
      <c r="AC46" s="62"/>
      <c r="AD46" s="63"/>
      <c r="AE46" s="62"/>
      <c r="AF46" s="63"/>
      <c r="AG46" s="62"/>
      <c r="AH46" s="63"/>
    </row>
    <row r="47" spans="3:34" x14ac:dyDescent="0.25">
      <c r="C47" s="79">
        <v>41</v>
      </c>
      <c r="D47" s="61">
        <v>62</v>
      </c>
      <c r="E47" s="62">
        <v>1</v>
      </c>
      <c r="F47" s="63">
        <v>24</v>
      </c>
      <c r="G47" s="62">
        <v>0</v>
      </c>
      <c r="H47" s="63">
        <v>23</v>
      </c>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v>63</v>
      </c>
      <c r="E48" s="62">
        <v>3</v>
      </c>
      <c r="F48" s="63">
        <v>19</v>
      </c>
      <c r="G48" s="62">
        <v>3</v>
      </c>
      <c r="H48" s="63">
        <v>16</v>
      </c>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v>65</v>
      </c>
      <c r="E49" s="62">
        <v>1</v>
      </c>
      <c r="F49" s="63">
        <v>18</v>
      </c>
      <c r="G49" s="62"/>
      <c r="H49" s="63"/>
      <c r="I49" s="62">
        <v>1</v>
      </c>
      <c r="J49" s="63">
        <v>16</v>
      </c>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v>66</v>
      </c>
      <c r="E50" s="62">
        <v>3</v>
      </c>
      <c r="F50" s="63">
        <v>73</v>
      </c>
      <c r="G50" s="62">
        <v>4</v>
      </c>
      <c r="H50" s="63">
        <v>71</v>
      </c>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v>68</v>
      </c>
      <c r="E51" s="62"/>
      <c r="F51" s="63"/>
      <c r="G51" s="62"/>
      <c r="H51" s="63"/>
      <c r="I51" s="62">
        <v>5</v>
      </c>
      <c r="J51" s="63">
        <v>43</v>
      </c>
      <c r="K51" s="62">
        <v>4</v>
      </c>
      <c r="L51" s="63">
        <v>44</v>
      </c>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3371</v>
      </c>
      <c r="E57" s="250">
        <f>IF(SUM(F7:F56)=0,"",SUM(F7:F56))</f>
        <v>931</v>
      </c>
      <c r="F57" s="251"/>
      <c r="G57" s="250">
        <f>IF(SUM(H7:H56)=0,"",SUM(H7:H56))</f>
        <v>778</v>
      </c>
      <c r="H57" s="251"/>
      <c r="I57" s="250">
        <f>IF(SUM(J7:J56)=0,"",SUM(J7:J56))</f>
        <v>537</v>
      </c>
      <c r="J57" s="251"/>
      <c r="K57" s="250">
        <f>IF(SUM(L7:L56)=0,"",SUM(L7:L56))</f>
        <v>202</v>
      </c>
      <c r="L57" s="251"/>
      <c r="M57" s="250">
        <f>IF(SUM(N7:N56)=0,"",SUM(N7:N56))</f>
        <v>35</v>
      </c>
      <c r="N57" s="251"/>
      <c r="O57" s="250">
        <f>IF(SUM(P7:P56)=0,"",SUM(P7:P56))</f>
        <v>30</v>
      </c>
      <c r="P57" s="251"/>
      <c r="Q57" s="250">
        <f>IF(SUM(R7:R56)=0,"",SUM(R7:R56))</f>
        <v>55</v>
      </c>
      <c r="R57" s="251"/>
      <c r="S57" s="250">
        <f>IF(SUM(T7:T56)=0,"",SUM(T7:T56))</f>
        <v>49</v>
      </c>
      <c r="T57" s="251"/>
      <c r="U57" s="250">
        <f>IF(SUM(V7:V56)=0,"",SUM(V7:V56))</f>
        <v>387</v>
      </c>
      <c r="V57" s="251"/>
      <c r="W57" s="250">
        <f>IF(SUM(X7:X56)=0,"",SUM(X7:X56))</f>
        <v>367</v>
      </c>
      <c r="X57" s="251"/>
      <c r="Y57" s="250" t="str">
        <f>IF(SUM(Z7:Z56)=0,"",SUM(Z7:Z56))</f>
        <v/>
      </c>
      <c r="Z57" s="251"/>
      <c r="AA57" s="250" t="str">
        <f>IF(SUM(AB7:AB56)=0,"",SUM(AB7:AB56))</f>
        <v/>
      </c>
      <c r="AB57" s="251"/>
      <c r="AC57" s="250" t="str">
        <f>IF(SUM(AD7:AD56)=0,"",SUM(AD7:AD56))</f>
        <v/>
      </c>
      <c r="AD57" s="251"/>
      <c r="AE57" s="250" t="str">
        <f>IF(SUM(AF7:AF56)=0,"",SUM(AF7:AF56))</f>
        <v/>
      </c>
      <c r="AF57" s="251"/>
      <c r="AG57" s="252" t="str">
        <f>IF(SUM(AH7:AH56)=0,"",SUM(AH7:AH56))</f>
        <v/>
      </c>
      <c r="AH57" s="251"/>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1,3</v>
      </c>
      <c r="F5" s="31">
        <f>IFERROR(INDEX('WINBUGS data'!$F$17:$ZZ$65,MATCH($C5,'WINBUGS data'!$F$17:$F$65,0),MATCH("t[,"&amp;F$4 &amp;"]",'WINBUGS data'!$F$16:$ZZ$16,0)),"")</f>
        <v>1</v>
      </c>
      <c r="G5" s="31">
        <f>IFERROR(INDEX('WINBUGS data'!$F$17:$ZZ$65,MATCH($C5,'WINBUGS data'!$F$17:$F$65,0),MATCH("t[,"&amp;G$4 &amp;"]",'WINBUGS data'!$F$16:$ZZ$16,0)),"")</f>
        <v>3</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2,10</v>
      </c>
      <c r="F6" s="31">
        <f>IFERROR(INDEX('WINBUGS data'!$F$17:$ZZ$65,MATCH($C6,'WINBUGS data'!$F$17:$F$65,0),MATCH("t[,"&amp;F$4 &amp;"]",'WINBUGS data'!$F$16:$ZZ$16,0)),"")</f>
        <v>2</v>
      </c>
      <c r="G6" s="31">
        <f>IFERROR(INDEX('WINBUGS data'!$F$17:$ZZ$65,MATCH($C6,'WINBUGS data'!$F$17:$F$65,0),MATCH("t[,"&amp;G$4 &amp;"]",'WINBUGS data'!$F$16:$ZZ$16,0)),"")</f>
        <v>10</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1,4</v>
      </c>
      <c r="F7" s="31">
        <f>IFERROR(INDEX('WINBUGS data'!$F$17:$ZZ$65,MATCH($C7,'WINBUGS data'!$F$17:$F$65,0),MATCH("t[,"&amp;F$4 &amp;"]",'WINBUGS data'!$F$16:$ZZ$16,0)),"")</f>
        <v>1</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3,4</v>
      </c>
      <c r="F8" s="31">
        <f>IFERROR(INDEX('WINBUGS data'!$F$17:$ZZ$65,MATCH($C8,'WINBUGS data'!$F$17:$F$65,0),MATCH("t[,"&amp;F$4 &amp;"]",'WINBUGS data'!$F$16:$ZZ$16,0)),"")</f>
        <v>3</v>
      </c>
      <c r="G8" s="31">
        <f>IFERROR(INDEX('WINBUGS data'!$F$17:$ZZ$65,MATCH($C8,'WINBUGS data'!$F$17:$F$65,0),MATCH("t[,"&amp;G$4 &amp;"]",'WINBUGS data'!$F$16:$ZZ$16,0)),"")</f>
        <v>4</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2,3</v>
      </c>
      <c r="F10" s="31">
        <f>IFERROR(INDEX('WINBUGS data'!$F$17:$ZZ$65,MATCH($C10,'WINBUGS data'!$F$17:$F$65,0),MATCH("t[,"&amp;F$4 &amp;"]",'WINBUGS data'!$F$16:$ZZ$16,0)),"")</f>
        <v>2</v>
      </c>
      <c r="G10" s="31">
        <f>IFERROR(INDEX('WINBUGS data'!$F$17:$ZZ$65,MATCH($C10,'WINBUGS data'!$F$17:$F$65,0),MATCH("t[,"&amp;G$4 &amp;"]",'WINBUGS data'!$F$16:$ZZ$16,0)),"")</f>
        <v>3</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3,10</v>
      </c>
      <c r="F11" s="31">
        <f>IFERROR(INDEX('WINBUGS data'!$F$17:$ZZ$65,MATCH($C11,'WINBUGS data'!$F$17:$F$65,0),MATCH("t[,"&amp;F$4 &amp;"]",'WINBUGS data'!$F$16:$ZZ$16,0)),"")</f>
        <v>3</v>
      </c>
      <c r="G11" s="31">
        <f>IFERROR(INDEX('WINBUGS data'!$F$17:$ZZ$65,MATCH($C11,'WINBUGS data'!$F$17:$F$65,0),MATCH("t[,"&amp;G$4 &amp;"]",'WINBUGS data'!$F$16:$ZZ$16,0)),"")</f>
        <v>10</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2,3</v>
      </c>
      <c r="F12" s="31">
        <f>IFERROR(INDEX('WINBUGS data'!$F$17:$ZZ$65,MATCH($C12,'WINBUGS data'!$F$17:$F$65,0),MATCH("t[,"&amp;F$4 &amp;"]",'WINBUGS data'!$F$16:$ZZ$16,0)),"")</f>
        <v>2</v>
      </c>
      <c r="G12" s="31">
        <f>IFERROR(INDEX('WINBUGS data'!$F$17:$ZZ$65,MATCH($C12,'WINBUGS data'!$F$17:$F$65,0),MATCH("t[,"&amp;G$4 &amp;"]",'WINBUGS data'!$F$16:$ZZ$16,0)),"")</f>
        <v>3</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1,3</v>
      </c>
      <c r="F13" s="31">
        <f>IFERROR(INDEX('WINBUGS data'!$F$17:$ZZ$65,MATCH($C13,'WINBUGS data'!$F$17:$F$65,0),MATCH("t[,"&amp;F$4 &amp;"]",'WINBUGS data'!$F$16:$ZZ$16,0)),"")</f>
        <v>1</v>
      </c>
      <c r="G13" s="31">
        <f>IFERROR(INDEX('WINBUGS data'!$F$17:$ZZ$65,MATCH($C13,'WINBUGS data'!$F$17:$F$65,0),MATCH("t[,"&amp;G$4 &amp;"]",'WINBUGS data'!$F$16:$ZZ$16,0)),"")</f>
        <v>3</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1,8</v>
      </c>
      <c r="F14" s="31">
        <f>IFERROR(INDEX('WINBUGS data'!$F$17:$ZZ$65,MATCH($C14,'WINBUGS data'!$F$17:$F$65,0),MATCH("t[,"&amp;F$4 &amp;"]",'WINBUGS data'!$F$16:$ZZ$16,0)),"")</f>
        <v>1</v>
      </c>
      <c r="G14" s="31">
        <f>IFERROR(INDEX('WINBUGS data'!$F$17:$ZZ$65,MATCH($C14,'WINBUGS data'!$F$17:$F$65,0),MATCH("t[,"&amp;G$4 &amp;"]",'WINBUGS data'!$F$16:$ZZ$16,0)),"")</f>
        <v>8</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1,10</v>
      </c>
      <c r="F15" s="31">
        <f>IFERROR(INDEX('WINBUGS data'!$F$17:$ZZ$65,MATCH($C15,'WINBUGS data'!$F$17:$F$65,0),MATCH("t[,"&amp;F$4 &amp;"]",'WINBUGS data'!$F$16:$ZZ$16,0)),"")</f>
        <v>1</v>
      </c>
      <c r="G15" s="31">
        <f>IFERROR(INDEX('WINBUGS data'!$F$17:$ZZ$65,MATCH($C15,'WINBUGS data'!$F$17:$F$65,0),MATCH("t[,"&amp;G$4 &amp;"]",'WINBUGS data'!$F$16:$ZZ$16,0)),"")</f>
        <v>10</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2,8</v>
      </c>
      <c r="F16" s="31">
        <f>IFERROR(INDEX('WINBUGS data'!$F$17:$ZZ$65,MATCH($C16,'WINBUGS data'!$F$17:$F$65,0),MATCH("t[,"&amp;F$4 &amp;"]",'WINBUGS data'!$F$16:$ZZ$16,0)),"")</f>
        <v>2</v>
      </c>
      <c r="G16" s="31">
        <f>IFERROR(INDEX('WINBUGS data'!$F$17:$ZZ$65,MATCH($C16,'WINBUGS data'!$F$17:$F$65,0),MATCH("t[,"&amp;G$4 &amp;"]",'WINBUGS data'!$F$16:$ZZ$16,0)),"")</f>
        <v>8</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2,5</v>
      </c>
      <c r="F17" s="31">
        <f>IFERROR(INDEX('WINBUGS data'!$F$17:$ZZ$65,MATCH($C17,'WINBUGS data'!$F$17:$F$65,0),MATCH("t[,"&amp;F$4 &amp;"]",'WINBUGS data'!$F$16:$ZZ$16,0)),"")</f>
        <v>2</v>
      </c>
      <c r="G17" s="31">
        <f>IFERROR(INDEX('WINBUGS data'!$F$17:$ZZ$65,MATCH($C17,'WINBUGS data'!$F$17:$F$65,0),MATCH("t[,"&amp;G$4 &amp;"]",'WINBUGS data'!$F$16:$ZZ$16,0)),"")</f>
        <v>5</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3,9</v>
      </c>
      <c r="F18" s="31">
        <f>IFERROR(INDEX('WINBUGS data'!$F$17:$ZZ$65,MATCH($C18,'WINBUGS data'!$F$17:$F$65,0),MATCH("t[,"&amp;F$4 &amp;"]",'WINBUGS data'!$F$16:$ZZ$16,0)),"")</f>
        <v>3</v>
      </c>
      <c r="G18" s="31">
        <f>IFERROR(INDEX('WINBUGS data'!$F$17:$ZZ$65,MATCH($C18,'WINBUGS data'!$F$17:$F$65,0),MATCH("t[,"&amp;G$4 &amp;"]",'WINBUGS data'!$F$16:$ZZ$16,0)),"")</f>
        <v>9</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1,9</v>
      </c>
      <c r="F19" s="31">
        <f>IFERROR(INDEX('WINBUGS data'!$F$17:$ZZ$65,MATCH($C19,'WINBUGS data'!$F$17:$F$65,0),MATCH("t[,"&amp;F$4 &amp;"]",'WINBUGS data'!$F$16:$ZZ$16,0)),"")</f>
        <v>1</v>
      </c>
      <c r="G19" s="31">
        <f>IFERROR(INDEX('WINBUGS data'!$F$17:$ZZ$65,MATCH($C19,'WINBUGS data'!$F$17:$F$65,0),MATCH("t[,"&amp;G$4 &amp;"]",'WINBUGS data'!$F$16:$ZZ$16,0)),"")</f>
        <v>9</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1,10</v>
      </c>
      <c r="F20" s="31">
        <f>IFERROR(INDEX('WINBUGS data'!$F$17:$ZZ$65,MATCH($C20,'WINBUGS data'!$F$17:$F$65,0),MATCH("t[,"&amp;F$4 &amp;"]",'WINBUGS data'!$F$16:$ZZ$16,0)),"")</f>
        <v>1</v>
      </c>
      <c r="G20" s="31">
        <f>IFERROR(INDEX('WINBUGS data'!$F$17:$ZZ$65,MATCH($C20,'WINBUGS data'!$F$17:$F$65,0),MATCH("t[,"&amp;G$4 &amp;"]",'WINBUGS data'!$F$16:$ZZ$16,0)),"")</f>
        <v>10</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2,7</v>
      </c>
      <c r="F22" s="31">
        <f>IFERROR(INDEX('WINBUGS data'!$F$17:$ZZ$65,MATCH($C22,'WINBUGS data'!$F$17:$F$65,0),MATCH("t[,"&amp;F$4 &amp;"]",'WINBUGS data'!$F$16:$ZZ$16,0)),"")</f>
        <v>2</v>
      </c>
      <c r="G22" s="31">
        <f>IFERROR(INDEX('WINBUGS data'!$F$17:$ZZ$65,MATCH($C22,'WINBUGS data'!$F$17:$F$65,0),MATCH("t[,"&amp;G$4 &amp;"]",'WINBUGS data'!$F$16:$ZZ$16,0)),"")</f>
        <v>7</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1,9</v>
      </c>
      <c r="F23" s="31">
        <f>IFERROR(INDEX('WINBUGS data'!$F$17:$ZZ$65,MATCH($C23,'WINBUGS data'!$F$17:$F$65,0),MATCH("t[,"&amp;F$4 &amp;"]",'WINBUGS data'!$F$16:$ZZ$16,0)),"")</f>
        <v>1</v>
      </c>
      <c r="G23" s="31">
        <f>IFERROR(INDEX('WINBUGS data'!$F$17:$ZZ$65,MATCH($C23,'WINBUGS data'!$F$17:$F$65,0),MATCH("t[,"&amp;G$4 &amp;"]",'WINBUGS data'!$F$16:$ZZ$16,0)),"")</f>
        <v>9</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9,10</v>
      </c>
      <c r="F24" s="31">
        <f>IFERROR(INDEX('WINBUGS data'!$F$17:$ZZ$65,MATCH($C24,'WINBUGS data'!$F$17:$F$65,0),MATCH("t[,"&amp;F$4 &amp;"]",'WINBUGS data'!$F$16:$ZZ$16,0)),"")</f>
        <v>9</v>
      </c>
      <c r="G24" s="31">
        <f>IFERROR(INDEX('WINBUGS data'!$F$17:$ZZ$65,MATCH($C24,'WINBUGS data'!$F$17:$F$65,0),MATCH("t[,"&amp;G$4 &amp;"]",'WINBUGS data'!$F$16:$ZZ$16,0)),"")</f>
        <v>10</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3,4</v>
      </c>
      <c r="F25" s="31">
        <f>IFERROR(INDEX('WINBUGS data'!$F$17:$ZZ$65,MATCH($C25,'WINBUGS data'!$F$17:$F$65,0),MATCH("t[,"&amp;F$4 &amp;"]",'WINBUGS data'!$F$16:$ZZ$16,0)),"")</f>
        <v>3</v>
      </c>
      <c r="G25" s="31">
        <f>IFERROR(INDEX('WINBUGS data'!$F$17:$ZZ$65,MATCH($C25,'WINBUGS data'!$F$17:$F$65,0),MATCH("t[,"&amp;G$4 &amp;"]",'WINBUGS data'!$F$16:$ZZ$16,0)),"")</f>
        <v>4</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1,10</v>
      </c>
      <c r="F26" s="31">
        <f>IFERROR(INDEX('WINBUGS data'!$F$17:$ZZ$65,MATCH($C26,'WINBUGS data'!$F$17:$F$65,0),MATCH("t[,"&amp;F$4 &amp;"]",'WINBUGS data'!$F$16:$ZZ$16,0)),"")</f>
        <v>1</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1,2</v>
      </c>
      <c r="F27" s="31">
        <f>IFERROR(INDEX('WINBUGS data'!$F$17:$ZZ$65,MATCH($C27,'WINBUGS data'!$F$17:$F$65,0),MATCH("t[,"&amp;F$4 &amp;"]",'WINBUGS data'!$F$16:$ZZ$16,0)),"")</f>
        <v>1</v>
      </c>
      <c r="G27" s="31">
        <f>IFERROR(INDEX('WINBUGS data'!$F$17:$ZZ$65,MATCH($C27,'WINBUGS data'!$F$17:$F$65,0),MATCH("t[,"&amp;G$4 &amp;"]",'WINBUGS data'!$F$16:$ZZ$16,0)),"")</f>
        <v>2</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1,9</v>
      </c>
      <c r="F28" s="31">
        <f>IFERROR(INDEX('WINBUGS data'!$F$17:$ZZ$65,MATCH($C28,'WINBUGS data'!$F$17:$F$65,0),MATCH("t[,"&amp;F$4 &amp;"]",'WINBUGS data'!$F$16:$ZZ$16,0)),"")</f>
        <v>1</v>
      </c>
      <c r="G28" s="31">
        <f>IFERROR(INDEX('WINBUGS data'!$F$17:$ZZ$65,MATCH($C28,'WINBUGS data'!$F$17:$F$65,0),MATCH("t[,"&amp;G$4 &amp;"]",'WINBUGS data'!$F$16:$ZZ$16,0)),"")</f>
        <v>9</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3,9</v>
      </c>
      <c r="F31" s="31">
        <f>IFERROR(INDEX('WINBUGS data'!$F$17:$ZZ$65,MATCH($C31,'WINBUGS data'!$F$17:$F$65,0),MATCH("t[,"&amp;F$4 &amp;"]",'WINBUGS data'!$F$16:$ZZ$16,0)),"")</f>
        <v>3</v>
      </c>
      <c r="G31" s="31">
        <f>IFERROR(INDEX('WINBUGS data'!$F$17:$ZZ$65,MATCH($C31,'WINBUGS data'!$F$17:$F$65,0),MATCH("t[,"&amp;G$4 &amp;"]",'WINBUGS data'!$F$16:$ZZ$16,0)),"")</f>
        <v>9</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3,6</v>
      </c>
      <c r="F32" s="31">
        <f>IFERROR(INDEX('WINBUGS data'!$F$17:$ZZ$65,MATCH($C32,'WINBUGS data'!$F$17:$F$65,0),MATCH("t[,"&amp;F$4 &amp;"]",'WINBUGS data'!$F$16:$ZZ$16,0)),"")</f>
        <v>3</v>
      </c>
      <c r="G32" s="31">
        <f>IFERROR(INDEX('WINBUGS data'!$F$17:$ZZ$65,MATCH($C32,'WINBUGS data'!$F$17:$F$65,0),MATCH("t[,"&amp;G$4 &amp;"]",'WINBUGS data'!$F$16:$ZZ$16,0)),"")</f>
        <v>6</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1,9</v>
      </c>
      <c r="F33" s="31">
        <f>IFERROR(INDEX('WINBUGS data'!$F$17:$ZZ$65,MATCH($C33,'WINBUGS data'!$F$17:$F$65,0),MATCH("t[,"&amp;F$4 &amp;"]",'WINBUGS data'!$F$16:$ZZ$16,0)),"")</f>
        <v>1</v>
      </c>
      <c r="G33" s="31">
        <f>IFERROR(INDEX('WINBUGS data'!$F$17:$ZZ$65,MATCH($C33,'WINBUGS data'!$F$17:$F$65,0),MATCH("t[,"&amp;G$4 &amp;"]",'WINBUGS data'!$F$16:$ZZ$16,0)),"")</f>
        <v>9</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3,10</v>
      </c>
      <c r="F34" s="31">
        <f>IFERROR(INDEX('WINBUGS data'!$F$17:$ZZ$65,MATCH($C34,'WINBUGS data'!$F$17:$F$65,0),MATCH("t[,"&amp;F$4 &amp;"]",'WINBUGS data'!$F$16:$ZZ$16,0)),"")</f>
        <v>3</v>
      </c>
      <c r="G34" s="31">
        <f>IFERROR(INDEX('WINBUGS data'!$F$17:$ZZ$65,MATCH($C34,'WINBUGS data'!$F$17:$F$65,0),MATCH("t[,"&amp;G$4 &amp;"]",'WINBUGS data'!$F$16:$ZZ$16,0)),"")</f>
        <v>10</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2,10</v>
      </c>
      <c r="F35" s="31">
        <f>IFERROR(INDEX('WINBUGS data'!$F$17:$ZZ$65,MATCH($C35,'WINBUGS data'!$F$17:$F$65,0),MATCH("t[,"&amp;F$4 &amp;"]",'WINBUGS data'!$F$16:$ZZ$16,0)),"")</f>
        <v>2</v>
      </c>
      <c r="G35" s="31">
        <f>IFERROR(INDEX('WINBUGS data'!$F$17:$ZZ$65,MATCH($C35,'WINBUGS data'!$F$17:$F$65,0),MATCH("t[,"&amp;G$4 &amp;"]",'WINBUGS data'!$F$16:$ZZ$16,0)),"")</f>
        <v>10</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1,9</v>
      </c>
      <c r="F36" s="31">
        <f>IFERROR(INDEX('WINBUGS data'!$F$17:$ZZ$65,MATCH($C36,'WINBUGS data'!$F$17:$F$65,0),MATCH("t[,"&amp;F$4 &amp;"]",'WINBUGS data'!$F$16:$ZZ$16,0)),"")</f>
        <v>1</v>
      </c>
      <c r="G36" s="31">
        <f>IFERROR(INDEX('WINBUGS data'!$F$17:$ZZ$65,MATCH($C36,'WINBUGS data'!$F$17:$F$65,0),MATCH("t[,"&amp;G$4 &amp;"]",'WINBUGS data'!$F$16:$ZZ$16,0)),"")</f>
        <v>9</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NA</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1,2</v>
      </c>
      <c r="F37" s="31">
        <f>IFERROR(INDEX('WINBUGS data'!$F$17:$ZZ$65,MATCH($C37,'WINBUGS data'!$F$17:$F$65,0),MATCH("t[,"&amp;F$4 &amp;"]",'WINBUGS data'!$F$16:$ZZ$16,0)),"")</f>
        <v>1</v>
      </c>
      <c r="G37" s="31">
        <f>IFERROR(INDEX('WINBUGS data'!$F$17:$ZZ$65,MATCH($C37,'WINBUGS data'!$F$17:$F$65,0),MATCH("t[,"&amp;G$4 &amp;"]",'WINBUGS data'!$F$16:$ZZ$16,0)),"")</f>
        <v>2</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NA</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f>IF('WINBUGS data'!F50&lt;&gt;"",'WINBUGS data'!F50,"")</f>
        <v>34</v>
      </c>
      <c r="D38" s="31">
        <f>IFERROR(INDEX('WINBUGS data'!$F$17:$ZZ$65,MATCH(C38,'WINBUGS data'!$F$17:$F$65,0),MATCH("na[]",'WINBUGS data'!$F$16:$ZZ$16,0)),"")</f>
        <v>2</v>
      </c>
      <c r="E38" s="31" t="str">
        <f t="shared" si="0"/>
        <v>1,2</v>
      </c>
      <c r="F38" s="31">
        <f>IFERROR(INDEX('WINBUGS data'!$F$17:$ZZ$65,MATCH($C38,'WINBUGS data'!$F$17:$F$65,0),MATCH("t[,"&amp;F$4 &amp;"]",'WINBUGS data'!$F$16:$ZZ$16,0)),"")</f>
        <v>1</v>
      </c>
      <c r="G38" s="31">
        <f>IFERROR(INDEX('WINBUGS data'!$F$17:$ZZ$65,MATCH($C38,'WINBUGS data'!$F$17:$F$65,0),MATCH("t[,"&amp;G$4 &amp;"]",'WINBUGS data'!$F$16:$ZZ$16,0)),"")</f>
        <v>2</v>
      </c>
      <c r="H38" s="31" t="str">
        <f>IFERROR(INDEX('WINBUGS data'!$F$17:$ZZ$65,MATCH($C38,'WINBUGS data'!$F$17:$F$65,0),MATCH("t[,"&amp;H$4 &amp;"]",'WINBUGS data'!$F$16:$ZZ$16,0)),"")</f>
        <v>NA</v>
      </c>
      <c r="I38" s="31" t="str">
        <f>IFERROR(INDEX('WINBUGS data'!$F$17:$ZZ$65,MATCH($C38,'WINBUGS data'!$F$17:$F$65,0),MATCH("t[,"&amp;I$4 &amp;"]",'WINBUGS data'!$F$16:$ZZ$16,0)),"")</f>
        <v>NA</v>
      </c>
      <c r="J38" s="31" t="str">
        <f>IFERROR(INDEX('WINBUGS data'!$F$17:$ZZ$65,MATCH($C38,'WINBUGS data'!$F$17:$F$65,0),MATCH("t[,"&amp;J$4 &amp;"]",'WINBUGS data'!$F$16:$ZZ$16,0)),"")</f>
        <v>NA</v>
      </c>
      <c r="K38" s="31" t="str">
        <f>IFERROR(INDEX('WINBUGS data'!$F$17:$ZZ$65,MATCH($C38,'WINBUGS data'!$F$17:$F$65,0),MATCH("t[,"&amp;K$4 &amp;"]",'WINBUGS data'!$F$16:$ZZ$16,0)),"")</f>
        <v>NA</v>
      </c>
      <c r="L38" s="31" t="str">
        <f>IFERROR(INDEX('WINBUGS data'!$F$17:$ZZ$65,MATCH($C38,'WINBUGS data'!$F$17:$F$65,0),MATCH("t[,"&amp;L$4 &amp;"]",'WINBUGS data'!$F$16:$ZZ$16,0)),"")</f>
        <v>NA</v>
      </c>
      <c r="M38" s="31" t="str">
        <f>IFERROR(INDEX('WINBUGS data'!$F$17:$ZZ$65,MATCH($C38,'WINBUGS data'!$F$17:$F$65,0),MATCH("t[,"&amp;M$4 &amp;"]",'WINBUGS data'!$F$16:$ZZ$16,0)),"")</f>
        <v>NA</v>
      </c>
      <c r="N38" s="31" t="str">
        <f>IFERROR(INDEX('WINBUGS data'!$F$17:$ZZ$65,MATCH($C38,'WINBUGS data'!$F$17:$F$65,0),MATCH("t[,"&amp;N$4 &amp;"]",'WINBUGS data'!$F$16:$ZZ$16,0)),"")</f>
        <v>NA</v>
      </c>
      <c r="O38" s="31" t="str">
        <f>IFERROR(INDEX('WINBUGS data'!$F$17:$ZZ$65,MATCH($C38,'WINBUGS data'!$F$17:$F$65,0),MATCH("t[,"&amp;O$4 &amp;"]",'WINBUGS data'!$F$16:$ZZ$16,0)),"")</f>
        <v>NA</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f>IF('WINBUGS data'!F51&lt;&gt;"",'WINBUGS data'!F51,"")</f>
        <v>35</v>
      </c>
      <c r="D39" s="31">
        <f>IFERROR(INDEX('WINBUGS data'!$F$17:$ZZ$65,MATCH(C39,'WINBUGS data'!$F$17:$F$65,0),MATCH("na[]",'WINBUGS data'!$F$16:$ZZ$16,0)),"")</f>
        <v>2</v>
      </c>
      <c r="E39" s="31" t="str">
        <f t="shared" si="0"/>
        <v>1,3</v>
      </c>
      <c r="F39" s="31">
        <f>IFERROR(INDEX('WINBUGS data'!$F$17:$ZZ$65,MATCH($C39,'WINBUGS data'!$F$17:$F$65,0),MATCH("t[,"&amp;F$4 &amp;"]",'WINBUGS data'!$F$16:$ZZ$16,0)),"")</f>
        <v>1</v>
      </c>
      <c r="G39" s="31">
        <f>IFERROR(INDEX('WINBUGS data'!$F$17:$ZZ$65,MATCH($C39,'WINBUGS data'!$F$17:$F$65,0),MATCH("t[,"&amp;G$4 &amp;"]",'WINBUGS data'!$F$16:$ZZ$16,0)),"")</f>
        <v>3</v>
      </c>
      <c r="H39" s="31" t="str">
        <f>IFERROR(INDEX('WINBUGS data'!$F$17:$ZZ$65,MATCH($C39,'WINBUGS data'!$F$17:$F$65,0),MATCH("t[,"&amp;H$4 &amp;"]",'WINBUGS data'!$F$16:$ZZ$16,0)),"")</f>
        <v>NA</v>
      </c>
      <c r="I39" s="31" t="str">
        <f>IFERROR(INDEX('WINBUGS data'!$F$17:$ZZ$65,MATCH($C39,'WINBUGS data'!$F$17:$F$65,0),MATCH("t[,"&amp;I$4 &amp;"]",'WINBUGS data'!$F$16:$ZZ$16,0)),"")</f>
        <v>NA</v>
      </c>
      <c r="J39" s="31" t="str">
        <f>IFERROR(INDEX('WINBUGS data'!$F$17:$ZZ$65,MATCH($C39,'WINBUGS data'!$F$17:$F$65,0),MATCH("t[,"&amp;J$4 &amp;"]",'WINBUGS data'!$F$16:$ZZ$16,0)),"")</f>
        <v>NA</v>
      </c>
      <c r="K39" s="31" t="str">
        <f>IFERROR(INDEX('WINBUGS data'!$F$17:$ZZ$65,MATCH($C39,'WINBUGS data'!$F$17:$F$65,0),MATCH("t[,"&amp;K$4 &amp;"]",'WINBUGS data'!$F$16:$ZZ$16,0)),"")</f>
        <v>NA</v>
      </c>
      <c r="L39" s="31" t="str">
        <f>IFERROR(INDEX('WINBUGS data'!$F$17:$ZZ$65,MATCH($C39,'WINBUGS data'!$F$17:$F$65,0),MATCH("t[,"&amp;L$4 &amp;"]",'WINBUGS data'!$F$16:$ZZ$16,0)),"")</f>
        <v>NA</v>
      </c>
      <c r="M39" s="31" t="str">
        <f>IFERROR(INDEX('WINBUGS data'!$F$17:$ZZ$65,MATCH($C39,'WINBUGS data'!$F$17:$F$65,0),MATCH("t[,"&amp;M$4 &amp;"]",'WINBUGS data'!$F$16:$ZZ$16,0)),"")</f>
        <v>NA</v>
      </c>
      <c r="N39" s="31" t="str">
        <f>IFERROR(INDEX('WINBUGS data'!$F$17:$ZZ$65,MATCH($C39,'WINBUGS data'!$F$17:$F$65,0),MATCH("t[,"&amp;N$4 &amp;"]",'WINBUGS data'!$F$16:$ZZ$16,0)),"")</f>
        <v>NA</v>
      </c>
      <c r="O39" s="31" t="str">
        <f>IFERROR(INDEX('WINBUGS data'!$F$17:$ZZ$65,MATCH($C39,'WINBUGS data'!$F$17:$F$65,0),MATCH("t[,"&amp;O$4 &amp;"]",'WINBUGS data'!$F$16:$ZZ$16,0)),"")</f>
        <v>NA</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f>IF('WINBUGS data'!F52&lt;&gt;"",'WINBUGS data'!F52,"")</f>
        <v>36</v>
      </c>
      <c r="D40" s="31">
        <f>IFERROR(INDEX('WINBUGS data'!$F$17:$ZZ$65,MATCH(C40,'WINBUGS data'!$F$17:$F$65,0),MATCH("na[]",'WINBUGS data'!$F$16:$ZZ$16,0)),"")</f>
        <v>2</v>
      </c>
      <c r="E40" s="31" t="str">
        <f t="shared" si="0"/>
        <v>1,9</v>
      </c>
      <c r="F40" s="31">
        <f>IFERROR(INDEX('WINBUGS data'!$F$17:$ZZ$65,MATCH($C40,'WINBUGS data'!$F$17:$F$65,0),MATCH("t[,"&amp;F$4 &amp;"]",'WINBUGS data'!$F$16:$ZZ$16,0)),"")</f>
        <v>1</v>
      </c>
      <c r="G40" s="31">
        <f>IFERROR(INDEX('WINBUGS data'!$F$17:$ZZ$65,MATCH($C40,'WINBUGS data'!$F$17:$F$65,0),MATCH("t[,"&amp;G$4 &amp;"]",'WINBUGS data'!$F$16:$ZZ$16,0)),"")</f>
        <v>9</v>
      </c>
      <c r="H40" s="31" t="str">
        <f>IFERROR(INDEX('WINBUGS data'!$F$17:$ZZ$65,MATCH($C40,'WINBUGS data'!$F$17:$F$65,0),MATCH("t[,"&amp;H$4 &amp;"]",'WINBUGS data'!$F$16:$ZZ$16,0)),"")</f>
        <v>NA</v>
      </c>
      <c r="I40" s="31" t="str">
        <f>IFERROR(INDEX('WINBUGS data'!$F$17:$ZZ$65,MATCH($C40,'WINBUGS data'!$F$17:$F$65,0),MATCH("t[,"&amp;I$4 &amp;"]",'WINBUGS data'!$F$16:$ZZ$16,0)),"")</f>
        <v>NA</v>
      </c>
      <c r="J40" s="31" t="str">
        <f>IFERROR(INDEX('WINBUGS data'!$F$17:$ZZ$65,MATCH($C40,'WINBUGS data'!$F$17:$F$65,0),MATCH("t[,"&amp;J$4 &amp;"]",'WINBUGS data'!$F$16:$ZZ$16,0)),"")</f>
        <v>NA</v>
      </c>
      <c r="K40" s="31" t="str">
        <f>IFERROR(INDEX('WINBUGS data'!$F$17:$ZZ$65,MATCH($C40,'WINBUGS data'!$F$17:$F$65,0),MATCH("t[,"&amp;K$4 &amp;"]",'WINBUGS data'!$F$16:$ZZ$16,0)),"")</f>
        <v>NA</v>
      </c>
      <c r="L40" s="31" t="str">
        <f>IFERROR(INDEX('WINBUGS data'!$F$17:$ZZ$65,MATCH($C40,'WINBUGS data'!$F$17:$F$65,0),MATCH("t[,"&amp;L$4 &amp;"]",'WINBUGS data'!$F$16:$ZZ$16,0)),"")</f>
        <v>NA</v>
      </c>
      <c r="M40" s="31" t="str">
        <f>IFERROR(INDEX('WINBUGS data'!$F$17:$ZZ$65,MATCH($C40,'WINBUGS data'!$F$17:$F$65,0),MATCH("t[,"&amp;M$4 &amp;"]",'WINBUGS data'!$F$16:$ZZ$16,0)),"")</f>
        <v>NA</v>
      </c>
      <c r="N40" s="31" t="str">
        <f>IFERROR(INDEX('WINBUGS data'!$F$17:$ZZ$65,MATCH($C40,'WINBUGS data'!$F$17:$F$65,0),MATCH("t[,"&amp;N$4 &amp;"]",'WINBUGS data'!$F$16:$ZZ$16,0)),"")</f>
        <v>NA</v>
      </c>
      <c r="O40" s="31" t="str">
        <f>IFERROR(INDEX('WINBUGS data'!$F$17:$ZZ$65,MATCH($C40,'WINBUGS data'!$F$17:$F$65,0),MATCH("t[,"&amp;O$4 &amp;"]",'WINBUGS data'!$F$16:$ZZ$16,0)),"")</f>
        <v>NA</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f>IF('WINBUGS data'!F53&lt;&gt;"",'WINBUGS data'!F53,"")</f>
        <v>37</v>
      </c>
      <c r="D41" s="31">
        <f>IFERROR(INDEX('WINBUGS data'!$F$17:$ZZ$65,MATCH(C41,'WINBUGS data'!$F$17:$F$65,0),MATCH("na[]",'WINBUGS data'!$F$16:$ZZ$16,0)),"")</f>
        <v>2</v>
      </c>
      <c r="E41" s="31" t="str">
        <f t="shared" si="0"/>
        <v>1,2</v>
      </c>
      <c r="F41" s="31">
        <f>IFERROR(INDEX('WINBUGS data'!$F$17:$ZZ$65,MATCH($C41,'WINBUGS data'!$F$17:$F$65,0),MATCH("t[,"&amp;F$4 &amp;"]",'WINBUGS data'!$F$16:$ZZ$16,0)),"")</f>
        <v>1</v>
      </c>
      <c r="G41" s="31">
        <f>IFERROR(INDEX('WINBUGS data'!$F$17:$ZZ$65,MATCH($C41,'WINBUGS data'!$F$17:$F$65,0),MATCH("t[,"&amp;G$4 &amp;"]",'WINBUGS data'!$F$16:$ZZ$16,0)),"")</f>
        <v>2</v>
      </c>
      <c r="H41" s="31" t="str">
        <f>IFERROR(INDEX('WINBUGS data'!$F$17:$ZZ$65,MATCH($C41,'WINBUGS data'!$F$17:$F$65,0),MATCH("t[,"&amp;H$4 &amp;"]",'WINBUGS data'!$F$16:$ZZ$16,0)),"")</f>
        <v>NA</v>
      </c>
      <c r="I41" s="31" t="str">
        <f>IFERROR(INDEX('WINBUGS data'!$F$17:$ZZ$65,MATCH($C41,'WINBUGS data'!$F$17:$F$65,0),MATCH("t[,"&amp;I$4 &amp;"]",'WINBUGS data'!$F$16:$ZZ$16,0)),"")</f>
        <v>NA</v>
      </c>
      <c r="J41" s="31" t="str">
        <f>IFERROR(INDEX('WINBUGS data'!$F$17:$ZZ$65,MATCH($C41,'WINBUGS data'!$F$17:$F$65,0),MATCH("t[,"&amp;J$4 &amp;"]",'WINBUGS data'!$F$16:$ZZ$16,0)),"")</f>
        <v>NA</v>
      </c>
      <c r="K41" s="31" t="str">
        <f>IFERROR(INDEX('WINBUGS data'!$F$17:$ZZ$65,MATCH($C41,'WINBUGS data'!$F$17:$F$65,0),MATCH("t[,"&amp;K$4 &amp;"]",'WINBUGS data'!$F$16:$ZZ$16,0)),"")</f>
        <v>NA</v>
      </c>
      <c r="L41" s="31" t="str">
        <f>IFERROR(INDEX('WINBUGS data'!$F$17:$ZZ$65,MATCH($C41,'WINBUGS data'!$F$17:$F$65,0),MATCH("t[,"&amp;L$4 &amp;"]",'WINBUGS data'!$F$16:$ZZ$16,0)),"")</f>
        <v>NA</v>
      </c>
      <c r="M41" s="31" t="str">
        <f>IFERROR(INDEX('WINBUGS data'!$F$17:$ZZ$65,MATCH($C41,'WINBUGS data'!$F$17:$F$65,0),MATCH("t[,"&amp;M$4 &amp;"]",'WINBUGS data'!$F$16:$ZZ$16,0)),"")</f>
        <v>NA</v>
      </c>
      <c r="N41" s="31" t="str">
        <f>IFERROR(INDEX('WINBUGS data'!$F$17:$ZZ$65,MATCH($C41,'WINBUGS data'!$F$17:$F$65,0),MATCH("t[,"&amp;N$4 &amp;"]",'WINBUGS data'!$F$16:$ZZ$16,0)),"")</f>
        <v>NA</v>
      </c>
      <c r="O41" s="31" t="str">
        <f>IFERROR(INDEX('WINBUGS data'!$F$17:$ZZ$65,MATCH($C41,'WINBUGS data'!$F$17:$F$65,0),MATCH("t[,"&amp;O$4 &amp;"]",'WINBUGS data'!$F$16:$ZZ$16,0)),"")</f>
        <v>NA</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f>IF('WINBUGS data'!F54&lt;&gt;"",'WINBUGS data'!F54,"")</f>
        <v>38</v>
      </c>
      <c r="D42" s="31">
        <f>IFERROR(INDEX('WINBUGS data'!$F$17:$ZZ$65,MATCH(C42,'WINBUGS data'!$F$17:$F$65,0),MATCH("na[]",'WINBUGS data'!$F$16:$ZZ$16,0)),"")</f>
        <v>2</v>
      </c>
      <c r="E42" s="31" t="str">
        <f t="shared" si="0"/>
        <v>3,9</v>
      </c>
      <c r="F42" s="31">
        <f>IFERROR(INDEX('WINBUGS data'!$F$17:$ZZ$65,MATCH($C42,'WINBUGS data'!$F$17:$F$65,0),MATCH("t[,"&amp;F$4 &amp;"]",'WINBUGS data'!$F$16:$ZZ$16,0)),"")</f>
        <v>3</v>
      </c>
      <c r="G42" s="31">
        <f>IFERROR(INDEX('WINBUGS data'!$F$17:$ZZ$65,MATCH($C42,'WINBUGS data'!$F$17:$F$65,0),MATCH("t[,"&amp;G$4 &amp;"]",'WINBUGS data'!$F$16:$ZZ$16,0)),"")</f>
        <v>9</v>
      </c>
      <c r="H42" s="31" t="str">
        <f>IFERROR(INDEX('WINBUGS data'!$F$17:$ZZ$65,MATCH($C42,'WINBUGS data'!$F$17:$F$65,0),MATCH("t[,"&amp;H$4 &amp;"]",'WINBUGS data'!$F$16:$ZZ$16,0)),"")</f>
        <v>NA</v>
      </c>
      <c r="I42" s="31" t="str">
        <f>IFERROR(INDEX('WINBUGS data'!$F$17:$ZZ$65,MATCH($C42,'WINBUGS data'!$F$17:$F$65,0),MATCH("t[,"&amp;I$4 &amp;"]",'WINBUGS data'!$F$16:$ZZ$16,0)),"")</f>
        <v>NA</v>
      </c>
      <c r="J42" s="31" t="str">
        <f>IFERROR(INDEX('WINBUGS data'!$F$17:$ZZ$65,MATCH($C42,'WINBUGS data'!$F$17:$F$65,0),MATCH("t[,"&amp;J$4 &amp;"]",'WINBUGS data'!$F$16:$ZZ$16,0)),"")</f>
        <v>NA</v>
      </c>
      <c r="K42" s="31" t="str">
        <f>IFERROR(INDEX('WINBUGS data'!$F$17:$ZZ$65,MATCH($C42,'WINBUGS data'!$F$17:$F$65,0),MATCH("t[,"&amp;K$4 &amp;"]",'WINBUGS data'!$F$16:$ZZ$16,0)),"")</f>
        <v>NA</v>
      </c>
      <c r="L42" s="31" t="str">
        <f>IFERROR(INDEX('WINBUGS data'!$F$17:$ZZ$65,MATCH($C42,'WINBUGS data'!$F$17:$F$65,0),MATCH("t[,"&amp;L$4 &amp;"]",'WINBUGS data'!$F$16:$ZZ$16,0)),"")</f>
        <v>NA</v>
      </c>
      <c r="M42" s="31" t="str">
        <f>IFERROR(INDEX('WINBUGS data'!$F$17:$ZZ$65,MATCH($C42,'WINBUGS data'!$F$17:$F$65,0),MATCH("t[,"&amp;M$4 &amp;"]",'WINBUGS data'!$F$16:$ZZ$16,0)),"")</f>
        <v>NA</v>
      </c>
      <c r="N42" s="31" t="str">
        <f>IFERROR(INDEX('WINBUGS data'!$F$17:$ZZ$65,MATCH($C42,'WINBUGS data'!$F$17:$F$65,0),MATCH("t[,"&amp;N$4 &amp;"]",'WINBUGS data'!$F$16:$ZZ$16,0)),"")</f>
        <v>NA</v>
      </c>
      <c r="O42" s="31" t="str">
        <f>IFERROR(INDEX('WINBUGS data'!$F$17:$ZZ$65,MATCH($C42,'WINBUGS data'!$F$17:$F$65,0),MATCH("t[,"&amp;O$4 &amp;"]",'WINBUGS data'!$F$16:$ZZ$16,0)),"")</f>
        <v>NA</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f>IF('WINBUGS data'!F55&lt;&gt;"",'WINBUGS data'!F55,"")</f>
        <v>39</v>
      </c>
      <c r="D43" s="31">
        <f>IFERROR(INDEX('WINBUGS data'!$F$17:$ZZ$65,MATCH(C43,'WINBUGS data'!$F$17:$F$65,0),MATCH("na[]",'WINBUGS data'!$F$16:$ZZ$16,0)),"")</f>
        <v>2</v>
      </c>
      <c r="E43" s="31" t="str">
        <f t="shared" si="0"/>
        <v>1,10</v>
      </c>
      <c r="F43" s="31">
        <f>IFERROR(INDEX('WINBUGS data'!$F$17:$ZZ$65,MATCH($C43,'WINBUGS data'!$F$17:$F$65,0),MATCH("t[,"&amp;F$4 &amp;"]",'WINBUGS data'!$F$16:$ZZ$16,0)),"")</f>
        <v>1</v>
      </c>
      <c r="G43" s="31">
        <f>IFERROR(INDEX('WINBUGS data'!$F$17:$ZZ$65,MATCH($C43,'WINBUGS data'!$F$17:$F$65,0),MATCH("t[,"&amp;G$4 &amp;"]",'WINBUGS data'!$F$16:$ZZ$16,0)),"")</f>
        <v>10</v>
      </c>
      <c r="H43" s="31" t="str">
        <f>IFERROR(INDEX('WINBUGS data'!$F$17:$ZZ$65,MATCH($C43,'WINBUGS data'!$F$17:$F$65,0),MATCH("t[,"&amp;H$4 &amp;"]",'WINBUGS data'!$F$16:$ZZ$16,0)),"")</f>
        <v>NA</v>
      </c>
      <c r="I43" s="31" t="str">
        <f>IFERROR(INDEX('WINBUGS data'!$F$17:$ZZ$65,MATCH($C43,'WINBUGS data'!$F$17:$F$65,0),MATCH("t[,"&amp;I$4 &amp;"]",'WINBUGS data'!$F$16:$ZZ$16,0)),"")</f>
        <v>NA</v>
      </c>
      <c r="J43" s="31" t="str">
        <f>IFERROR(INDEX('WINBUGS data'!$F$17:$ZZ$65,MATCH($C43,'WINBUGS data'!$F$17:$F$65,0),MATCH("t[,"&amp;J$4 &amp;"]",'WINBUGS data'!$F$16:$ZZ$16,0)),"")</f>
        <v>NA</v>
      </c>
      <c r="K43" s="31" t="str">
        <f>IFERROR(INDEX('WINBUGS data'!$F$17:$ZZ$65,MATCH($C43,'WINBUGS data'!$F$17:$F$65,0),MATCH("t[,"&amp;K$4 &amp;"]",'WINBUGS data'!$F$16:$ZZ$16,0)),"")</f>
        <v>NA</v>
      </c>
      <c r="L43" s="31" t="str">
        <f>IFERROR(INDEX('WINBUGS data'!$F$17:$ZZ$65,MATCH($C43,'WINBUGS data'!$F$17:$F$65,0),MATCH("t[,"&amp;L$4 &amp;"]",'WINBUGS data'!$F$16:$ZZ$16,0)),"")</f>
        <v>NA</v>
      </c>
      <c r="M43" s="31" t="str">
        <f>IFERROR(INDEX('WINBUGS data'!$F$17:$ZZ$65,MATCH($C43,'WINBUGS data'!$F$17:$F$65,0),MATCH("t[,"&amp;M$4 &amp;"]",'WINBUGS data'!$F$16:$ZZ$16,0)),"")</f>
        <v>NA</v>
      </c>
      <c r="N43" s="31" t="str">
        <f>IFERROR(INDEX('WINBUGS data'!$F$17:$ZZ$65,MATCH($C43,'WINBUGS data'!$F$17:$F$65,0),MATCH("t[,"&amp;N$4 &amp;"]",'WINBUGS data'!$F$16:$ZZ$16,0)),"")</f>
        <v>NA</v>
      </c>
      <c r="O43" s="31" t="str">
        <f>IFERROR(INDEX('WINBUGS data'!$F$17:$ZZ$65,MATCH($C43,'WINBUGS data'!$F$17:$F$65,0),MATCH("t[,"&amp;O$4 &amp;"]",'WINBUGS data'!$F$16:$ZZ$16,0)),"")</f>
        <v>NA</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f>IF('WINBUGS data'!F56&lt;&gt;"",'WINBUGS data'!F56,"")</f>
        <v>40</v>
      </c>
      <c r="D44" s="31">
        <f>IFERROR(INDEX('WINBUGS data'!$F$17:$ZZ$65,MATCH(C44,'WINBUGS data'!$F$17:$F$65,0),MATCH("na[]",'WINBUGS data'!$F$16:$ZZ$16,0)),"")</f>
        <v>2</v>
      </c>
      <c r="E44" s="31" t="str">
        <f t="shared" si="0"/>
        <v>3,10</v>
      </c>
      <c r="F44" s="31">
        <f>IFERROR(INDEX('WINBUGS data'!$F$17:$ZZ$65,MATCH($C44,'WINBUGS data'!$F$17:$F$65,0),MATCH("t[,"&amp;F$4 &amp;"]",'WINBUGS data'!$F$16:$ZZ$16,0)),"")</f>
        <v>3</v>
      </c>
      <c r="G44" s="31">
        <f>IFERROR(INDEX('WINBUGS data'!$F$17:$ZZ$65,MATCH($C44,'WINBUGS data'!$F$17:$F$65,0),MATCH("t[,"&amp;G$4 &amp;"]",'WINBUGS data'!$F$16:$ZZ$16,0)),"")</f>
        <v>10</v>
      </c>
      <c r="H44" s="31" t="str">
        <f>IFERROR(INDEX('WINBUGS data'!$F$17:$ZZ$65,MATCH($C44,'WINBUGS data'!$F$17:$F$65,0),MATCH("t[,"&amp;H$4 &amp;"]",'WINBUGS data'!$F$16:$ZZ$16,0)),"")</f>
        <v>NA</v>
      </c>
      <c r="I44" s="31" t="str">
        <f>IFERROR(INDEX('WINBUGS data'!$F$17:$ZZ$65,MATCH($C44,'WINBUGS data'!$F$17:$F$65,0),MATCH("t[,"&amp;I$4 &amp;"]",'WINBUGS data'!$F$16:$ZZ$16,0)),"")</f>
        <v>NA</v>
      </c>
      <c r="J44" s="31" t="str">
        <f>IFERROR(INDEX('WINBUGS data'!$F$17:$ZZ$65,MATCH($C44,'WINBUGS data'!$F$17:$F$65,0),MATCH("t[,"&amp;J$4 &amp;"]",'WINBUGS data'!$F$16:$ZZ$16,0)),"")</f>
        <v>NA</v>
      </c>
      <c r="K44" s="31" t="str">
        <f>IFERROR(INDEX('WINBUGS data'!$F$17:$ZZ$65,MATCH($C44,'WINBUGS data'!$F$17:$F$65,0),MATCH("t[,"&amp;K$4 &amp;"]",'WINBUGS data'!$F$16:$ZZ$16,0)),"")</f>
        <v>NA</v>
      </c>
      <c r="L44" s="31" t="str">
        <f>IFERROR(INDEX('WINBUGS data'!$F$17:$ZZ$65,MATCH($C44,'WINBUGS data'!$F$17:$F$65,0),MATCH("t[,"&amp;L$4 &amp;"]",'WINBUGS data'!$F$16:$ZZ$16,0)),"")</f>
        <v>NA</v>
      </c>
      <c r="M44" s="31" t="str">
        <f>IFERROR(INDEX('WINBUGS data'!$F$17:$ZZ$65,MATCH($C44,'WINBUGS data'!$F$17:$F$65,0),MATCH("t[,"&amp;M$4 &amp;"]",'WINBUGS data'!$F$16:$ZZ$16,0)),"")</f>
        <v>NA</v>
      </c>
      <c r="N44" s="31" t="str">
        <f>IFERROR(INDEX('WINBUGS data'!$F$17:$ZZ$65,MATCH($C44,'WINBUGS data'!$F$17:$F$65,0),MATCH("t[,"&amp;N$4 &amp;"]",'WINBUGS data'!$F$16:$ZZ$16,0)),"")</f>
        <v>NA</v>
      </c>
      <c r="O44" s="31" t="str">
        <f>IFERROR(INDEX('WINBUGS data'!$F$17:$ZZ$65,MATCH($C44,'WINBUGS data'!$F$17:$F$65,0),MATCH("t[,"&amp;O$4 &amp;"]",'WINBUGS data'!$F$16:$ZZ$16,0)),"")</f>
        <v>NA</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f>IF('WINBUGS data'!F57&lt;&gt;"",'WINBUGS data'!F57,"")</f>
        <v>41</v>
      </c>
      <c r="D45" s="31">
        <f>IFERROR(INDEX('WINBUGS data'!$F$17:$ZZ$65,MATCH(C45,'WINBUGS data'!$F$17:$F$65,0),MATCH("na[]",'WINBUGS data'!$F$16:$ZZ$16,0)),"")</f>
        <v>2</v>
      </c>
      <c r="E45" s="31" t="str">
        <f t="shared" si="0"/>
        <v>1,2</v>
      </c>
      <c r="F45" s="31">
        <f>IFERROR(INDEX('WINBUGS data'!$F$17:$ZZ$65,MATCH($C45,'WINBUGS data'!$F$17:$F$65,0),MATCH("t[,"&amp;F$4 &amp;"]",'WINBUGS data'!$F$16:$ZZ$16,0)),"")</f>
        <v>1</v>
      </c>
      <c r="G45" s="31">
        <f>IFERROR(INDEX('WINBUGS data'!$F$17:$ZZ$65,MATCH($C45,'WINBUGS data'!$F$17:$F$65,0),MATCH("t[,"&amp;G$4 &amp;"]",'WINBUGS data'!$F$16:$ZZ$16,0)),"")</f>
        <v>2</v>
      </c>
      <c r="H45" s="31" t="str">
        <f>IFERROR(INDEX('WINBUGS data'!$F$17:$ZZ$65,MATCH($C45,'WINBUGS data'!$F$17:$F$65,0),MATCH("t[,"&amp;H$4 &amp;"]",'WINBUGS data'!$F$16:$ZZ$16,0)),"")</f>
        <v>NA</v>
      </c>
      <c r="I45" s="31" t="str">
        <f>IFERROR(INDEX('WINBUGS data'!$F$17:$ZZ$65,MATCH($C45,'WINBUGS data'!$F$17:$F$65,0),MATCH("t[,"&amp;I$4 &amp;"]",'WINBUGS data'!$F$16:$ZZ$16,0)),"")</f>
        <v>NA</v>
      </c>
      <c r="J45" s="31" t="str">
        <f>IFERROR(INDEX('WINBUGS data'!$F$17:$ZZ$65,MATCH($C45,'WINBUGS data'!$F$17:$F$65,0),MATCH("t[,"&amp;J$4 &amp;"]",'WINBUGS data'!$F$16:$ZZ$16,0)),"")</f>
        <v>NA</v>
      </c>
      <c r="K45" s="31" t="str">
        <f>IFERROR(INDEX('WINBUGS data'!$F$17:$ZZ$65,MATCH($C45,'WINBUGS data'!$F$17:$F$65,0),MATCH("t[,"&amp;K$4 &amp;"]",'WINBUGS data'!$F$16:$ZZ$16,0)),"")</f>
        <v>NA</v>
      </c>
      <c r="L45" s="31" t="str">
        <f>IFERROR(INDEX('WINBUGS data'!$F$17:$ZZ$65,MATCH($C45,'WINBUGS data'!$F$17:$F$65,0),MATCH("t[,"&amp;L$4 &amp;"]",'WINBUGS data'!$F$16:$ZZ$16,0)),"")</f>
        <v>NA</v>
      </c>
      <c r="M45" s="31" t="str">
        <f>IFERROR(INDEX('WINBUGS data'!$F$17:$ZZ$65,MATCH($C45,'WINBUGS data'!$F$17:$F$65,0),MATCH("t[,"&amp;M$4 &amp;"]",'WINBUGS data'!$F$16:$ZZ$16,0)),"")</f>
        <v>NA</v>
      </c>
      <c r="N45" s="31" t="str">
        <f>IFERROR(INDEX('WINBUGS data'!$F$17:$ZZ$65,MATCH($C45,'WINBUGS data'!$F$17:$F$65,0),MATCH("t[,"&amp;N$4 &amp;"]",'WINBUGS data'!$F$16:$ZZ$16,0)),"")</f>
        <v>NA</v>
      </c>
      <c r="O45" s="31" t="str">
        <f>IFERROR(INDEX('WINBUGS data'!$F$17:$ZZ$65,MATCH($C45,'WINBUGS data'!$F$17:$F$65,0),MATCH("t[,"&amp;O$4 &amp;"]",'WINBUGS data'!$F$16:$ZZ$16,0)),"")</f>
        <v>NA</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f>IF('WINBUGS data'!F58&lt;&gt;"",'WINBUGS data'!F58,"")</f>
        <v>42</v>
      </c>
      <c r="D46" s="31">
        <f>IFERROR(INDEX('WINBUGS data'!$F$17:$ZZ$65,MATCH(C46,'WINBUGS data'!$F$17:$F$65,0),MATCH("na[]",'WINBUGS data'!$F$16:$ZZ$16,0)),"")</f>
        <v>2</v>
      </c>
      <c r="E46" s="31" t="str">
        <f t="shared" si="0"/>
        <v>1,2</v>
      </c>
      <c r="F46" s="31">
        <f>IFERROR(INDEX('WINBUGS data'!$F$17:$ZZ$65,MATCH($C46,'WINBUGS data'!$F$17:$F$65,0),MATCH("t[,"&amp;F$4 &amp;"]",'WINBUGS data'!$F$16:$ZZ$16,0)),"")</f>
        <v>1</v>
      </c>
      <c r="G46" s="31">
        <f>IFERROR(INDEX('WINBUGS data'!$F$17:$ZZ$65,MATCH($C46,'WINBUGS data'!$F$17:$F$65,0),MATCH("t[,"&amp;G$4 &amp;"]",'WINBUGS data'!$F$16:$ZZ$16,0)),"")</f>
        <v>2</v>
      </c>
      <c r="H46" s="31" t="str">
        <f>IFERROR(INDEX('WINBUGS data'!$F$17:$ZZ$65,MATCH($C46,'WINBUGS data'!$F$17:$F$65,0),MATCH("t[,"&amp;H$4 &amp;"]",'WINBUGS data'!$F$16:$ZZ$16,0)),"")</f>
        <v>NA</v>
      </c>
      <c r="I46" s="31" t="str">
        <f>IFERROR(INDEX('WINBUGS data'!$F$17:$ZZ$65,MATCH($C46,'WINBUGS data'!$F$17:$F$65,0),MATCH("t[,"&amp;I$4 &amp;"]",'WINBUGS data'!$F$16:$ZZ$16,0)),"")</f>
        <v>NA</v>
      </c>
      <c r="J46" s="31" t="str">
        <f>IFERROR(INDEX('WINBUGS data'!$F$17:$ZZ$65,MATCH($C46,'WINBUGS data'!$F$17:$F$65,0),MATCH("t[,"&amp;J$4 &amp;"]",'WINBUGS data'!$F$16:$ZZ$16,0)),"")</f>
        <v>NA</v>
      </c>
      <c r="K46" s="31" t="str">
        <f>IFERROR(INDEX('WINBUGS data'!$F$17:$ZZ$65,MATCH($C46,'WINBUGS data'!$F$17:$F$65,0),MATCH("t[,"&amp;K$4 &amp;"]",'WINBUGS data'!$F$16:$ZZ$16,0)),"")</f>
        <v>NA</v>
      </c>
      <c r="L46" s="31" t="str">
        <f>IFERROR(INDEX('WINBUGS data'!$F$17:$ZZ$65,MATCH($C46,'WINBUGS data'!$F$17:$F$65,0),MATCH("t[,"&amp;L$4 &amp;"]",'WINBUGS data'!$F$16:$ZZ$16,0)),"")</f>
        <v>NA</v>
      </c>
      <c r="M46" s="31" t="str">
        <f>IFERROR(INDEX('WINBUGS data'!$F$17:$ZZ$65,MATCH($C46,'WINBUGS data'!$F$17:$F$65,0),MATCH("t[,"&amp;M$4 &amp;"]",'WINBUGS data'!$F$16:$ZZ$16,0)),"")</f>
        <v>NA</v>
      </c>
      <c r="N46" s="31" t="str">
        <f>IFERROR(INDEX('WINBUGS data'!$F$17:$ZZ$65,MATCH($C46,'WINBUGS data'!$F$17:$F$65,0),MATCH("t[,"&amp;N$4 &amp;"]",'WINBUGS data'!$F$16:$ZZ$16,0)),"")</f>
        <v>NA</v>
      </c>
      <c r="O46" s="31" t="str">
        <f>IFERROR(INDEX('WINBUGS data'!$F$17:$ZZ$65,MATCH($C46,'WINBUGS data'!$F$17:$F$65,0),MATCH("t[,"&amp;O$4 &amp;"]",'WINBUGS data'!$F$16:$ZZ$16,0)),"")</f>
        <v>NA</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f>IF('WINBUGS data'!F59&lt;&gt;"",'WINBUGS data'!F59,"")</f>
        <v>43</v>
      </c>
      <c r="D47" s="31">
        <f>IFERROR(INDEX('WINBUGS data'!$F$17:$ZZ$65,MATCH(C47,'WINBUGS data'!$F$17:$F$65,0),MATCH("na[]",'WINBUGS data'!$F$16:$ZZ$16,0)),"")</f>
        <v>2</v>
      </c>
      <c r="E47" s="31" t="str">
        <f t="shared" si="0"/>
        <v>1,3</v>
      </c>
      <c r="F47" s="31">
        <f>IFERROR(INDEX('WINBUGS data'!$F$17:$ZZ$65,MATCH($C47,'WINBUGS data'!$F$17:$F$65,0),MATCH("t[,"&amp;F$4 &amp;"]",'WINBUGS data'!$F$16:$ZZ$16,0)),"")</f>
        <v>1</v>
      </c>
      <c r="G47" s="31">
        <f>IFERROR(INDEX('WINBUGS data'!$F$17:$ZZ$65,MATCH($C47,'WINBUGS data'!$F$17:$F$65,0),MATCH("t[,"&amp;G$4 &amp;"]",'WINBUGS data'!$F$16:$ZZ$16,0)),"")</f>
        <v>3</v>
      </c>
      <c r="H47" s="31" t="str">
        <f>IFERROR(INDEX('WINBUGS data'!$F$17:$ZZ$65,MATCH($C47,'WINBUGS data'!$F$17:$F$65,0),MATCH("t[,"&amp;H$4 &amp;"]",'WINBUGS data'!$F$16:$ZZ$16,0)),"")</f>
        <v>NA</v>
      </c>
      <c r="I47" s="31" t="str">
        <f>IFERROR(INDEX('WINBUGS data'!$F$17:$ZZ$65,MATCH($C47,'WINBUGS data'!$F$17:$F$65,0),MATCH("t[,"&amp;I$4 &amp;"]",'WINBUGS data'!$F$16:$ZZ$16,0)),"")</f>
        <v>NA</v>
      </c>
      <c r="J47" s="31" t="str">
        <f>IFERROR(INDEX('WINBUGS data'!$F$17:$ZZ$65,MATCH($C47,'WINBUGS data'!$F$17:$F$65,0),MATCH("t[,"&amp;J$4 &amp;"]",'WINBUGS data'!$F$16:$ZZ$16,0)),"")</f>
        <v>NA</v>
      </c>
      <c r="K47" s="31" t="str">
        <f>IFERROR(INDEX('WINBUGS data'!$F$17:$ZZ$65,MATCH($C47,'WINBUGS data'!$F$17:$F$65,0),MATCH("t[,"&amp;K$4 &amp;"]",'WINBUGS data'!$F$16:$ZZ$16,0)),"")</f>
        <v>NA</v>
      </c>
      <c r="L47" s="31" t="str">
        <f>IFERROR(INDEX('WINBUGS data'!$F$17:$ZZ$65,MATCH($C47,'WINBUGS data'!$F$17:$F$65,0),MATCH("t[,"&amp;L$4 &amp;"]",'WINBUGS data'!$F$16:$ZZ$16,0)),"")</f>
        <v>NA</v>
      </c>
      <c r="M47" s="31" t="str">
        <f>IFERROR(INDEX('WINBUGS data'!$F$17:$ZZ$65,MATCH($C47,'WINBUGS data'!$F$17:$F$65,0),MATCH("t[,"&amp;M$4 &amp;"]",'WINBUGS data'!$F$16:$ZZ$16,0)),"")</f>
        <v>NA</v>
      </c>
      <c r="N47" s="31" t="str">
        <f>IFERROR(INDEX('WINBUGS data'!$F$17:$ZZ$65,MATCH($C47,'WINBUGS data'!$F$17:$F$65,0),MATCH("t[,"&amp;N$4 &amp;"]",'WINBUGS data'!$F$16:$ZZ$16,0)),"")</f>
        <v>NA</v>
      </c>
      <c r="O47" s="31" t="str">
        <f>IFERROR(INDEX('WINBUGS data'!$F$17:$ZZ$65,MATCH($C47,'WINBUGS data'!$F$17:$F$65,0),MATCH("t[,"&amp;O$4 &amp;"]",'WINBUGS data'!$F$16:$ZZ$16,0)),"")</f>
        <v>NA</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f>IF('WINBUGS data'!F60&lt;&gt;"",'WINBUGS data'!F60,"")</f>
        <v>44</v>
      </c>
      <c r="D48" s="31">
        <f>IFERROR(INDEX('WINBUGS data'!$F$17:$ZZ$65,MATCH(C48,'WINBUGS data'!$F$17:$F$65,0),MATCH("na[]",'WINBUGS data'!$F$16:$ZZ$16,0)),"")</f>
        <v>2</v>
      </c>
      <c r="E48" s="31" t="str">
        <f t="shared" si="0"/>
        <v>1,2</v>
      </c>
      <c r="F48" s="31">
        <f>IFERROR(INDEX('WINBUGS data'!$F$17:$ZZ$65,MATCH($C48,'WINBUGS data'!$F$17:$F$65,0),MATCH("t[,"&amp;F$4 &amp;"]",'WINBUGS data'!$F$16:$ZZ$16,0)),"")</f>
        <v>1</v>
      </c>
      <c r="G48" s="31">
        <f>IFERROR(INDEX('WINBUGS data'!$F$17:$ZZ$65,MATCH($C48,'WINBUGS data'!$F$17:$F$65,0),MATCH("t[,"&amp;G$4 &amp;"]",'WINBUGS data'!$F$16:$ZZ$16,0)),"")</f>
        <v>2</v>
      </c>
      <c r="H48" s="31" t="str">
        <f>IFERROR(INDEX('WINBUGS data'!$F$17:$ZZ$65,MATCH($C48,'WINBUGS data'!$F$17:$F$65,0),MATCH("t[,"&amp;H$4 &amp;"]",'WINBUGS data'!$F$16:$ZZ$16,0)),"")</f>
        <v>NA</v>
      </c>
      <c r="I48" s="31" t="str">
        <f>IFERROR(INDEX('WINBUGS data'!$F$17:$ZZ$65,MATCH($C48,'WINBUGS data'!$F$17:$F$65,0),MATCH("t[,"&amp;I$4 &amp;"]",'WINBUGS data'!$F$16:$ZZ$16,0)),"")</f>
        <v>NA</v>
      </c>
      <c r="J48" s="31" t="str">
        <f>IFERROR(INDEX('WINBUGS data'!$F$17:$ZZ$65,MATCH($C48,'WINBUGS data'!$F$17:$F$65,0),MATCH("t[,"&amp;J$4 &amp;"]",'WINBUGS data'!$F$16:$ZZ$16,0)),"")</f>
        <v>NA</v>
      </c>
      <c r="K48" s="31" t="str">
        <f>IFERROR(INDEX('WINBUGS data'!$F$17:$ZZ$65,MATCH($C48,'WINBUGS data'!$F$17:$F$65,0),MATCH("t[,"&amp;K$4 &amp;"]",'WINBUGS data'!$F$16:$ZZ$16,0)),"")</f>
        <v>NA</v>
      </c>
      <c r="L48" s="31" t="str">
        <f>IFERROR(INDEX('WINBUGS data'!$F$17:$ZZ$65,MATCH($C48,'WINBUGS data'!$F$17:$F$65,0),MATCH("t[,"&amp;L$4 &amp;"]",'WINBUGS data'!$F$16:$ZZ$16,0)),"")</f>
        <v>NA</v>
      </c>
      <c r="M48" s="31" t="str">
        <f>IFERROR(INDEX('WINBUGS data'!$F$17:$ZZ$65,MATCH($C48,'WINBUGS data'!$F$17:$F$65,0),MATCH("t[,"&amp;M$4 &amp;"]",'WINBUGS data'!$F$16:$ZZ$16,0)),"")</f>
        <v>NA</v>
      </c>
      <c r="N48" s="31" t="str">
        <f>IFERROR(INDEX('WINBUGS data'!$F$17:$ZZ$65,MATCH($C48,'WINBUGS data'!$F$17:$F$65,0),MATCH("t[,"&amp;N$4 &amp;"]",'WINBUGS data'!$F$16:$ZZ$16,0)),"")</f>
        <v>NA</v>
      </c>
      <c r="O48" s="31" t="str">
        <f>IFERROR(INDEX('WINBUGS data'!$F$17:$ZZ$65,MATCH($C48,'WINBUGS data'!$F$17:$F$65,0),MATCH("t[,"&amp;O$4 &amp;"]",'WINBUGS data'!$F$16:$ZZ$16,0)),"")</f>
        <v>NA</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f>IF('WINBUGS data'!F61&lt;&gt;"",'WINBUGS data'!F61,"")</f>
        <v>45</v>
      </c>
      <c r="D49" s="31">
        <f>IFERROR(INDEX('WINBUGS data'!$F$17:$ZZ$65,MATCH(C49,'WINBUGS data'!$F$17:$F$65,0),MATCH("na[]",'WINBUGS data'!$F$16:$ZZ$16,0)),"")</f>
        <v>2</v>
      </c>
      <c r="E49" s="31" t="str">
        <f t="shared" si="0"/>
        <v>3,4</v>
      </c>
      <c r="F49" s="31">
        <f>IFERROR(INDEX('WINBUGS data'!$F$17:$ZZ$65,MATCH($C49,'WINBUGS data'!$F$17:$F$65,0),MATCH("t[,"&amp;F$4 &amp;"]",'WINBUGS data'!$F$16:$ZZ$16,0)),"")</f>
        <v>3</v>
      </c>
      <c r="G49" s="31">
        <f>IFERROR(INDEX('WINBUGS data'!$F$17:$ZZ$65,MATCH($C49,'WINBUGS data'!$F$17:$F$65,0),MATCH("t[,"&amp;G$4 &amp;"]",'WINBUGS data'!$F$16:$ZZ$16,0)),"")</f>
        <v>4</v>
      </c>
      <c r="H49" s="31" t="str">
        <f>IFERROR(INDEX('WINBUGS data'!$F$17:$ZZ$65,MATCH($C49,'WINBUGS data'!$F$17:$F$65,0),MATCH("t[,"&amp;H$4 &amp;"]",'WINBUGS data'!$F$16:$ZZ$16,0)),"")</f>
        <v>NA</v>
      </c>
      <c r="I49" s="31" t="str">
        <f>IFERROR(INDEX('WINBUGS data'!$F$17:$ZZ$65,MATCH($C49,'WINBUGS data'!$F$17:$F$65,0),MATCH("t[,"&amp;I$4 &amp;"]",'WINBUGS data'!$F$16:$ZZ$16,0)),"")</f>
        <v>NA</v>
      </c>
      <c r="J49" s="31" t="str">
        <f>IFERROR(INDEX('WINBUGS data'!$F$17:$ZZ$65,MATCH($C49,'WINBUGS data'!$F$17:$F$65,0),MATCH("t[,"&amp;J$4 &amp;"]",'WINBUGS data'!$F$16:$ZZ$16,0)),"")</f>
        <v>NA</v>
      </c>
      <c r="K49" s="31" t="str">
        <f>IFERROR(INDEX('WINBUGS data'!$F$17:$ZZ$65,MATCH($C49,'WINBUGS data'!$F$17:$F$65,0),MATCH("t[,"&amp;K$4 &amp;"]",'WINBUGS data'!$F$16:$ZZ$16,0)),"")</f>
        <v>NA</v>
      </c>
      <c r="L49" s="31" t="str">
        <f>IFERROR(INDEX('WINBUGS data'!$F$17:$ZZ$65,MATCH($C49,'WINBUGS data'!$F$17:$F$65,0),MATCH("t[,"&amp;L$4 &amp;"]",'WINBUGS data'!$F$16:$ZZ$16,0)),"")</f>
        <v>NA</v>
      </c>
      <c r="M49" s="31" t="str">
        <f>IFERROR(INDEX('WINBUGS data'!$F$17:$ZZ$65,MATCH($C49,'WINBUGS data'!$F$17:$F$65,0),MATCH("t[,"&amp;M$4 &amp;"]",'WINBUGS data'!$F$16:$ZZ$16,0)),"")</f>
        <v>NA</v>
      </c>
      <c r="N49" s="31" t="str">
        <f>IFERROR(INDEX('WINBUGS data'!$F$17:$ZZ$65,MATCH($C49,'WINBUGS data'!$F$17:$F$65,0),MATCH("t[,"&amp;N$4 &amp;"]",'WINBUGS data'!$F$16:$ZZ$16,0)),"")</f>
        <v>NA</v>
      </c>
      <c r="O49" s="31" t="str">
        <f>IFERROR(INDEX('WINBUGS data'!$F$17:$ZZ$65,MATCH($C49,'WINBUGS data'!$F$17:$F$65,0),MATCH("t[,"&amp;O$4 &amp;"]",'WINBUGS data'!$F$16:$ZZ$16,0)),"")</f>
        <v>NA</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863</v>
      </c>
    </row>
    <row r="4" spans="2:38" x14ac:dyDescent="0.25">
      <c r="B4" s="5" t="str">
        <f>IF('DATA Input'!E5="","",'DATA Input'!E5)</f>
        <v>INDOIV</v>
      </c>
      <c r="C4" s="1">
        <f>IF(B4="","",1)</f>
        <v>1</v>
      </c>
      <c r="H4" t="s">
        <v>864</v>
      </c>
    </row>
    <row r="5" spans="2:38" x14ac:dyDescent="0.25">
      <c r="B5" s="5" t="str">
        <f>IF('DATA Input'!G5="","",'DATA Input'!G5)</f>
        <v>IBUIV</v>
      </c>
      <c r="C5" s="1">
        <f>IF(B5="","",C4+1)</f>
        <v>2</v>
      </c>
      <c r="H5" t="s">
        <v>865</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866</v>
      </c>
    </row>
    <row r="8" spans="2:38" x14ac:dyDescent="0.25">
      <c r="B8" s="5" t="str">
        <f>IF('DATA Input'!M$5="","",'DATA Input'!M$5)</f>
        <v>IBUIVHIGHDOSE</v>
      </c>
      <c r="C8" s="1">
        <f t="shared" si="0"/>
        <v>5</v>
      </c>
      <c r="H8" t="s">
        <v>867</v>
      </c>
    </row>
    <row r="9" spans="2:38" x14ac:dyDescent="0.25">
      <c r="B9" s="5" t="str">
        <f>IF('DATA Input'!O$5="","",'DATA Input'!O$5)</f>
        <v>IBUPOHIGHDOSE</v>
      </c>
      <c r="C9" s="1">
        <f t="shared" si="0"/>
        <v>6</v>
      </c>
      <c r="H9" t="s">
        <v>868</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869</v>
      </c>
    </row>
    <row r="12" spans="2:38" x14ac:dyDescent="0.25">
      <c r="B12" s="5" t="str">
        <f>IF('DATA Input'!U$5="","",'DATA Input'!U$5)</f>
        <v>INDOTHERS</v>
      </c>
      <c r="C12" s="1">
        <f t="shared" si="0"/>
        <v>9</v>
      </c>
      <c r="F12" s="172" t="s">
        <v>268</v>
      </c>
      <c r="G12" s="146"/>
      <c r="H12" s="54" t="s">
        <v>870</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871</v>
      </c>
      <c r="I13" s="19">
        <v>9.4285714285714288</v>
      </c>
      <c r="J13" s="19">
        <v>0.5714285714285714</v>
      </c>
      <c r="K13" s="19">
        <v>12.571428571428571</v>
      </c>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862</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1</v>
      </c>
      <c r="H17" s="144">
        <v>0</v>
      </c>
      <c r="I17" s="144">
        <v>9</v>
      </c>
      <c r="J17" s="144">
        <v>0</v>
      </c>
      <c r="K17" s="144">
        <v>12</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1</v>
      </c>
      <c r="AC17">
        <v>3</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2</v>
      </c>
      <c r="H18" s="19">
        <v>9</v>
      </c>
      <c r="I18" s="19">
        <v>68</v>
      </c>
      <c r="J18" s="19">
        <v>9</v>
      </c>
      <c r="K18" s="19">
        <v>68</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2</v>
      </c>
      <c r="AC18">
        <v>10</v>
      </c>
      <c r="AD18" t="s">
        <v>376</v>
      </c>
      <c r="AE18" t="s">
        <v>376</v>
      </c>
      <c r="AF18" t="s">
        <v>376</v>
      </c>
      <c r="AG18" t="s">
        <v>376</v>
      </c>
      <c r="AH18" t="s">
        <v>376</v>
      </c>
      <c r="AI18" t="s">
        <v>376</v>
      </c>
      <c r="AJ18" t="s">
        <v>376</v>
      </c>
      <c r="AK18" t="s">
        <v>376</v>
      </c>
      <c r="AL18">
        <v>2</v>
      </c>
    </row>
    <row r="19" spans="2:38" x14ac:dyDescent="0.25">
      <c r="F19" s="16">
        <v>3</v>
      </c>
      <c r="G19" s="104">
        <v>4</v>
      </c>
      <c r="H19" s="19">
        <v>4</v>
      </c>
      <c r="I19" s="19">
        <v>39</v>
      </c>
      <c r="J19" s="19">
        <v>2</v>
      </c>
      <c r="K19" s="19">
        <v>38</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1</v>
      </c>
      <c r="AC19">
        <v>4</v>
      </c>
      <c r="AD19" t="s">
        <v>376</v>
      </c>
      <c r="AE19" t="s">
        <v>376</v>
      </c>
      <c r="AF19" t="s">
        <v>376</v>
      </c>
      <c r="AG19" t="s">
        <v>376</v>
      </c>
      <c r="AH19" t="s">
        <v>376</v>
      </c>
      <c r="AI19" t="s">
        <v>376</v>
      </c>
      <c r="AJ19" t="s">
        <v>376</v>
      </c>
      <c r="AK19" t="s">
        <v>376</v>
      </c>
      <c r="AL19">
        <v>2</v>
      </c>
    </row>
    <row r="20" spans="2:38" x14ac:dyDescent="0.25">
      <c r="F20" s="16">
        <v>4</v>
      </c>
      <c r="G20" s="104">
        <v>7</v>
      </c>
      <c r="H20" s="19">
        <v>2</v>
      </c>
      <c r="I20" s="19">
        <v>80</v>
      </c>
      <c r="J20" s="19">
        <v>3</v>
      </c>
      <c r="K20" s="19">
        <v>80</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3</v>
      </c>
      <c r="AC20">
        <v>4</v>
      </c>
      <c r="AD20" t="s">
        <v>376</v>
      </c>
      <c r="AE20" t="s">
        <v>376</v>
      </c>
      <c r="AF20" t="s">
        <v>376</v>
      </c>
      <c r="AG20" t="s">
        <v>376</v>
      </c>
      <c r="AH20" t="s">
        <v>376</v>
      </c>
      <c r="AI20" t="s">
        <v>376</v>
      </c>
      <c r="AJ20" t="s">
        <v>376</v>
      </c>
      <c r="AK20" t="s">
        <v>376</v>
      </c>
      <c r="AL20">
        <v>2</v>
      </c>
    </row>
    <row r="21" spans="2:38" x14ac:dyDescent="0.25">
      <c r="F21" s="16">
        <v>5</v>
      </c>
      <c r="G21" s="104">
        <v>8</v>
      </c>
      <c r="H21" s="19">
        <v>3</v>
      </c>
      <c r="I21" s="19">
        <v>34</v>
      </c>
      <c r="J21" s="19">
        <v>2</v>
      </c>
      <c r="K21" s="19">
        <v>36</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9</v>
      </c>
      <c r="H22" s="19">
        <v>3</v>
      </c>
      <c r="I22" s="19">
        <v>50</v>
      </c>
      <c r="J22" s="19">
        <v>2</v>
      </c>
      <c r="K22" s="19">
        <v>52</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2</v>
      </c>
      <c r="AC22">
        <v>3</v>
      </c>
      <c r="AD22" t="s">
        <v>376</v>
      </c>
      <c r="AE22" t="s">
        <v>376</v>
      </c>
      <c r="AF22" t="s">
        <v>376</v>
      </c>
      <c r="AG22" t="s">
        <v>376</v>
      </c>
      <c r="AH22" t="s">
        <v>376</v>
      </c>
      <c r="AI22" t="s">
        <v>376</v>
      </c>
      <c r="AJ22" t="s">
        <v>376</v>
      </c>
      <c r="AK22" t="s">
        <v>376</v>
      </c>
      <c r="AL22">
        <v>2</v>
      </c>
    </row>
    <row r="23" spans="2:38" x14ac:dyDescent="0.25">
      <c r="F23" s="16">
        <v>7</v>
      </c>
      <c r="G23" s="104">
        <v>10</v>
      </c>
      <c r="H23" s="19">
        <v>1</v>
      </c>
      <c r="I23" s="19">
        <v>33</v>
      </c>
      <c r="J23" s="19">
        <v>1</v>
      </c>
      <c r="K23" s="19">
        <v>33</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3</v>
      </c>
      <c r="AC23">
        <v>10</v>
      </c>
      <c r="AD23" t="s">
        <v>376</v>
      </c>
      <c r="AE23" t="s">
        <v>376</v>
      </c>
      <c r="AF23" t="s">
        <v>376</v>
      </c>
      <c r="AG23" t="s">
        <v>376</v>
      </c>
      <c r="AH23" t="s">
        <v>376</v>
      </c>
      <c r="AI23" t="s">
        <v>376</v>
      </c>
      <c r="AJ23" t="s">
        <v>376</v>
      </c>
      <c r="AK23" t="s">
        <v>376</v>
      </c>
      <c r="AL23">
        <v>2</v>
      </c>
    </row>
    <row r="24" spans="2:38" x14ac:dyDescent="0.25">
      <c r="F24" s="16">
        <v>8</v>
      </c>
      <c r="G24" s="104">
        <v>11</v>
      </c>
      <c r="H24" s="19">
        <v>3</v>
      </c>
      <c r="I24" s="19">
        <v>32</v>
      </c>
      <c r="J24" s="19">
        <v>4</v>
      </c>
      <c r="K24" s="19">
        <v>32</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2</v>
      </c>
      <c r="AC24">
        <v>3</v>
      </c>
      <c r="AD24" t="s">
        <v>376</v>
      </c>
      <c r="AE24" t="s">
        <v>376</v>
      </c>
      <c r="AF24" t="s">
        <v>376</v>
      </c>
      <c r="AG24" t="s">
        <v>376</v>
      </c>
      <c r="AH24" t="s">
        <v>376</v>
      </c>
      <c r="AI24" t="s">
        <v>376</v>
      </c>
      <c r="AJ24" t="s">
        <v>376</v>
      </c>
      <c r="AK24" t="s">
        <v>376</v>
      </c>
      <c r="AL24">
        <v>2</v>
      </c>
    </row>
    <row r="25" spans="2:38" x14ac:dyDescent="0.25">
      <c r="F25" s="16">
        <v>9</v>
      </c>
      <c r="G25" s="104">
        <v>13</v>
      </c>
      <c r="H25" s="19">
        <v>10</v>
      </c>
      <c r="I25" s="19">
        <v>15</v>
      </c>
      <c r="J25" s="19">
        <v>6</v>
      </c>
      <c r="K25" s="19">
        <v>15</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1</v>
      </c>
      <c r="AC25">
        <v>3</v>
      </c>
      <c r="AD25" t="s">
        <v>376</v>
      </c>
      <c r="AE25" t="s">
        <v>376</v>
      </c>
      <c r="AF25" t="s">
        <v>376</v>
      </c>
      <c r="AG25" t="s">
        <v>376</v>
      </c>
      <c r="AH25" t="s">
        <v>376</v>
      </c>
      <c r="AI25" t="s">
        <v>376</v>
      </c>
      <c r="AJ25" t="s">
        <v>376</v>
      </c>
      <c r="AK25" t="s">
        <v>376</v>
      </c>
      <c r="AL25">
        <v>2</v>
      </c>
    </row>
    <row r="26" spans="2:38" x14ac:dyDescent="0.25">
      <c r="F26" s="16">
        <v>10</v>
      </c>
      <c r="G26" s="104">
        <v>14</v>
      </c>
      <c r="H26" s="19">
        <v>1</v>
      </c>
      <c r="I26" s="19">
        <v>14</v>
      </c>
      <c r="J26" s="19">
        <v>0</v>
      </c>
      <c r="K26" s="19">
        <v>18</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1</v>
      </c>
      <c r="AC26">
        <v>8</v>
      </c>
      <c r="AD26" t="s">
        <v>376</v>
      </c>
      <c r="AE26" t="s">
        <v>376</v>
      </c>
      <c r="AF26" t="s">
        <v>376</v>
      </c>
      <c r="AG26" t="s">
        <v>376</v>
      </c>
      <c r="AH26" t="s">
        <v>376</v>
      </c>
      <c r="AI26" t="s">
        <v>376</v>
      </c>
      <c r="AJ26" t="s">
        <v>376</v>
      </c>
      <c r="AK26" t="s">
        <v>376</v>
      </c>
      <c r="AL26">
        <v>2</v>
      </c>
    </row>
    <row r="27" spans="2:38" x14ac:dyDescent="0.25">
      <c r="F27" s="16">
        <v>11</v>
      </c>
      <c r="G27" s="104">
        <v>15</v>
      </c>
      <c r="H27" s="19">
        <v>0</v>
      </c>
      <c r="I27" s="16">
        <v>20</v>
      </c>
      <c r="J27" s="16">
        <v>2</v>
      </c>
      <c r="K27" s="16">
        <v>19</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1</v>
      </c>
      <c r="AC27">
        <v>10</v>
      </c>
      <c r="AD27" t="s">
        <v>376</v>
      </c>
      <c r="AE27" t="s">
        <v>376</v>
      </c>
      <c r="AF27" t="s">
        <v>376</v>
      </c>
      <c r="AG27" t="s">
        <v>376</v>
      </c>
      <c r="AH27" t="s">
        <v>376</v>
      </c>
      <c r="AI27" t="s">
        <v>376</v>
      </c>
      <c r="AJ27" t="s">
        <v>376</v>
      </c>
      <c r="AK27" t="s">
        <v>376</v>
      </c>
      <c r="AL27">
        <v>2</v>
      </c>
    </row>
    <row r="28" spans="2:38" x14ac:dyDescent="0.25">
      <c r="F28" s="16">
        <v>12</v>
      </c>
      <c r="G28" s="104">
        <v>17</v>
      </c>
      <c r="H28" s="16">
        <v>9</v>
      </c>
      <c r="I28" s="16">
        <v>32</v>
      </c>
      <c r="J28" s="16">
        <v>7</v>
      </c>
      <c r="K28" s="16">
        <v>31</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2</v>
      </c>
      <c r="AC28">
        <v>8</v>
      </c>
      <c r="AD28" t="s">
        <v>376</v>
      </c>
      <c r="AE28" t="s">
        <v>376</v>
      </c>
      <c r="AF28" t="s">
        <v>376</v>
      </c>
      <c r="AG28" t="s">
        <v>376</v>
      </c>
      <c r="AH28" t="s">
        <v>376</v>
      </c>
      <c r="AI28" t="s">
        <v>376</v>
      </c>
      <c r="AJ28" t="s">
        <v>376</v>
      </c>
      <c r="AK28" t="s">
        <v>376</v>
      </c>
      <c r="AL28">
        <v>2</v>
      </c>
    </row>
    <row r="29" spans="2:38" x14ac:dyDescent="0.25">
      <c r="F29" s="16">
        <v>13</v>
      </c>
      <c r="G29" s="104">
        <v>18</v>
      </c>
      <c r="H29" s="16">
        <v>3</v>
      </c>
      <c r="I29" s="16">
        <v>35</v>
      </c>
      <c r="J29" s="16">
        <v>4</v>
      </c>
      <c r="K29" s="16">
        <v>35</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2</v>
      </c>
      <c r="AC29">
        <v>5</v>
      </c>
      <c r="AD29" t="s">
        <v>376</v>
      </c>
      <c r="AE29" t="s">
        <v>376</v>
      </c>
      <c r="AF29" t="s">
        <v>376</v>
      </c>
      <c r="AG29" t="s">
        <v>376</v>
      </c>
      <c r="AH29" t="s">
        <v>376</v>
      </c>
      <c r="AI29" t="s">
        <v>376</v>
      </c>
      <c r="AJ29" t="s">
        <v>376</v>
      </c>
      <c r="AK29" t="s">
        <v>376</v>
      </c>
      <c r="AL29">
        <v>2</v>
      </c>
    </row>
    <row r="30" spans="2:38" x14ac:dyDescent="0.25">
      <c r="F30" s="16">
        <v>14</v>
      </c>
      <c r="G30" s="104">
        <v>19</v>
      </c>
      <c r="H30" s="16">
        <v>0</v>
      </c>
      <c r="I30" s="16">
        <v>18</v>
      </c>
      <c r="J30" s="16">
        <v>3</v>
      </c>
      <c r="K30" s="16">
        <v>18</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3</v>
      </c>
      <c r="AC30">
        <v>9</v>
      </c>
      <c r="AD30" t="s">
        <v>376</v>
      </c>
      <c r="AE30" t="s">
        <v>376</v>
      </c>
      <c r="AF30" t="s">
        <v>376</v>
      </c>
      <c r="AG30" t="s">
        <v>376</v>
      </c>
      <c r="AH30" t="s">
        <v>376</v>
      </c>
      <c r="AI30" t="s">
        <v>376</v>
      </c>
      <c r="AJ30" t="s">
        <v>376</v>
      </c>
      <c r="AK30" t="s">
        <v>376</v>
      </c>
      <c r="AL30">
        <v>2</v>
      </c>
    </row>
    <row r="31" spans="2:38" x14ac:dyDescent="0.25">
      <c r="F31" s="16">
        <v>15</v>
      </c>
      <c r="G31" s="104">
        <v>21</v>
      </c>
      <c r="H31" s="16">
        <v>10</v>
      </c>
      <c r="I31" s="16">
        <v>50</v>
      </c>
      <c r="J31" s="16">
        <v>9</v>
      </c>
      <c r="K31" s="16">
        <v>55</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9</v>
      </c>
      <c r="AD31" t="s">
        <v>376</v>
      </c>
      <c r="AE31" t="s">
        <v>376</v>
      </c>
      <c r="AF31" t="s">
        <v>376</v>
      </c>
      <c r="AG31" t="s">
        <v>376</v>
      </c>
      <c r="AH31" t="s">
        <v>376</v>
      </c>
      <c r="AI31" t="s">
        <v>376</v>
      </c>
      <c r="AJ31" t="s">
        <v>376</v>
      </c>
      <c r="AK31" t="s">
        <v>376</v>
      </c>
      <c r="AL31">
        <v>2</v>
      </c>
    </row>
    <row r="32" spans="2:38" x14ac:dyDescent="0.25">
      <c r="F32" s="16">
        <v>16</v>
      </c>
      <c r="G32" s="104">
        <v>22</v>
      </c>
      <c r="H32" s="16">
        <v>2</v>
      </c>
      <c r="I32" s="16">
        <v>44</v>
      </c>
      <c r="J32" s="16">
        <v>2</v>
      </c>
      <c r="K32" s="16">
        <v>48</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1</v>
      </c>
      <c r="AC32">
        <v>10</v>
      </c>
      <c r="AD32" t="s">
        <v>376</v>
      </c>
      <c r="AE32" t="s">
        <v>376</v>
      </c>
      <c r="AF32" t="s">
        <v>376</v>
      </c>
      <c r="AG32" t="s">
        <v>376</v>
      </c>
      <c r="AH32" t="s">
        <v>376</v>
      </c>
      <c r="AI32" t="s">
        <v>376</v>
      </c>
      <c r="AJ32" t="s">
        <v>376</v>
      </c>
      <c r="AK32" t="s">
        <v>376</v>
      </c>
      <c r="AL32">
        <v>2</v>
      </c>
    </row>
    <row r="33" spans="6:38" x14ac:dyDescent="0.25">
      <c r="F33" s="16">
        <v>17</v>
      </c>
      <c r="G33" s="104">
        <v>24</v>
      </c>
      <c r="H33" s="16">
        <v>2</v>
      </c>
      <c r="I33" s="16">
        <v>81</v>
      </c>
      <c r="J33" s="16">
        <v>2</v>
      </c>
      <c r="K33" s="16">
        <v>94</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1</v>
      </c>
      <c r="AC33">
        <v>2</v>
      </c>
      <c r="AD33" t="s">
        <v>376</v>
      </c>
      <c r="AE33" t="s">
        <v>376</v>
      </c>
      <c r="AF33" t="s">
        <v>376</v>
      </c>
      <c r="AG33" t="s">
        <v>376</v>
      </c>
      <c r="AH33" t="s">
        <v>376</v>
      </c>
      <c r="AI33" t="s">
        <v>376</v>
      </c>
      <c r="AJ33" t="s">
        <v>376</v>
      </c>
      <c r="AK33" t="s">
        <v>376</v>
      </c>
      <c r="AL33">
        <v>2</v>
      </c>
    </row>
    <row r="34" spans="6:38" x14ac:dyDescent="0.25">
      <c r="F34" s="16">
        <v>18</v>
      </c>
      <c r="G34" s="104">
        <v>25</v>
      </c>
      <c r="H34" s="16">
        <v>7</v>
      </c>
      <c r="I34" s="16">
        <v>56</v>
      </c>
      <c r="J34" s="16">
        <v>3</v>
      </c>
      <c r="K34" s="16">
        <v>55</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2</v>
      </c>
      <c r="AC34">
        <v>7</v>
      </c>
      <c r="AD34" t="s">
        <v>376</v>
      </c>
      <c r="AE34" t="s">
        <v>376</v>
      </c>
      <c r="AF34" t="s">
        <v>376</v>
      </c>
      <c r="AG34" t="s">
        <v>376</v>
      </c>
      <c r="AH34" t="s">
        <v>376</v>
      </c>
      <c r="AI34" t="s">
        <v>376</v>
      </c>
      <c r="AJ34" t="s">
        <v>376</v>
      </c>
      <c r="AK34" t="s">
        <v>376</v>
      </c>
      <c r="AL34">
        <v>2</v>
      </c>
    </row>
    <row r="35" spans="6:38" x14ac:dyDescent="0.25">
      <c r="F35" s="16">
        <v>19</v>
      </c>
      <c r="G35" s="104">
        <v>26</v>
      </c>
      <c r="H35" s="16">
        <v>1</v>
      </c>
      <c r="I35" s="16">
        <v>69</v>
      </c>
      <c r="J35" s="16">
        <v>5</v>
      </c>
      <c r="K35" s="16">
        <v>71</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9</v>
      </c>
      <c r="AD35" t="s">
        <v>376</v>
      </c>
      <c r="AE35" t="s">
        <v>376</v>
      </c>
      <c r="AF35" t="s">
        <v>376</v>
      </c>
      <c r="AG35" t="s">
        <v>376</v>
      </c>
      <c r="AH35" t="s">
        <v>376</v>
      </c>
      <c r="AI35" t="s">
        <v>376</v>
      </c>
      <c r="AJ35" t="s">
        <v>376</v>
      </c>
      <c r="AK35" t="s">
        <v>376</v>
      </c>
      <c r="AL35">
        <v>2</v>
      </c>
    </row>
    <row r="36" spans="6:38" x14ac:dyDescent="0.25">
      <c r="F36" s="16">
        <v>20</v>
      </c>
      <c r="G36" s="104">
        <v>29</v>
      </c>
      <c r="H36" s="16">
        <v>1</v>
      </c>
      <c r="I36" s="16">
        <v>24</v>
      </c>
      <c r="J36" s="16">
        <v>0</v>
      </c>
      <c r="K36" s="16">
        <v>23</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9</v>
      </c>
      <c r="AC36">
        <v>10</v>
      </c>
      <c r="AD36" t="s">
        <v>376</v>
      </c>
      <c r="AE36" t="s">
        <v>376</v>
      </c>
      <c r="AF36" t="s">
        <v>376</v>
      </c>
      <c r="AG36" t="s">
        <v>376</v>
      </c>
      <c r="AH36" t="s">
        <v>376</v>
      </c>
      <c r="AI36" t="s">
        <v>376</v>
      </c>
      <c r="AJ36" t="s">
        <v>376</v>
      </c>
      <c r="AK36" t="s">
        <v>376</v>
      </c>
      <c r="AL36">
        <v>2</v>
      </c>
    </row>
    <row r="37" spans="6:38" x14ac:dyDescent="0.25">
      <c r="F37" s="16">
        <v>21</v>
      </c>
      <c r="G37" s="104">
        <v>32</v>
      </c>
      <c r="H37" s="16">
        <v>2</v>
      </c>
      <c r="I37" s="16">
        <v>40</v>
      </c>
      <c r="J37" s="16">
        <v>3</v>
      </c>
      <c r="K37" s="16">
        <v>40</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3</v>
      </c>
      <c r="AC37">
        <v>4</v>
      </c>
      <c r="AD37" t="s">
        <v>376</v>
      </c>
      <c r="AE37" t="s">
        <v>376</v>
      </c>
      <c r="AF37" t="s">
        <v>376</v>
      </c>
      <c r="AG37" t="s">
        <v>376</v>
      </c>
      <c r="AH37" t="s">
        <v>376</v>
      </c>
      <c r="AI37" t="s">
        <v>376</v>
      </c>
      <c r="AJ37" t="s">
        <v>376</v>
      </c>
      <c r="AK37" t="s">
        <v>376</v>
      </c>
      <c r="AL37">
        <v>2</v>
      </c>
    </row>
    <row r="38" spans="6:38" x14ac:dyDescent="0.25">
      <c r="F38" s="16">
        <v>22</v>
      </c>
      <c r="G38" s="104">
        <v>33</v>
      </c>
      <c r="H38" s="16">
        <v>0.47058823529411764</v>
      </c>
      <c r="I38" s="16">
        <v>8.4705882352941178</v>
      </c>
      <c r="J38" s="16">
        <v>0.52941176470588236</v>
      </c>
      <c r="K38" s="16">
        <v>9.5294117647058822</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1</v>
      </c>
      <c r="AC38">
        <v>10</v>
      </c>
      <c r="AD38" t="s">
        <v>376</v>
      </c>
      <c r="AE38" t="s">
        <v>376</v>
      </c>
      <c r="AF38" t="s">
        <v>376</v>
      </c>
      <c r="AG38" t="s">
        <v>376</v>
      </c>
      <c r="AH38" t="s">
        <v>376</v>
      </c>
      <c r="AI38" t="s">
        <v>376</v>
      </c>
      <c r="AJ38" t="s">
        <v>376</v>
      </c>
      <c r="AK38" t="s">
        <v>376</v>
      </c>
      <c r="AL38">
        <v>2</v>
      </c>
    </row>
    <row r="39" spans="6:38" x14ac:dyDescent="0.25">
      <c r="F39" s="16">
        <v>23</v>
      </c>
      <c r="G39" s="104">
        <v>35</v>
      </c>
      <c r="H39" s="16">
        <v>0.5</v>
      </c>
      <c r="I39" s="16">
        <v>10.5</v>
      </c>
      <c r="J39" s="16">
        <v>0.5</v>
      </c>
      <c r="K39" s="16">
        <v>10.5</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1</v>
      </c>
      <c r="AC39">
        <v>2</v>
      </c>
      <c r="AD39" t="s">
        <v>376</v>
      </c>
      <c r="AE39" t="s">
        <v>376</v>
      </c>
      <c r="AF39" t="s">
        <v>376</v>
      </c>
      <c r="AG39" t="s">
        <v>376</v>
      </c>
      <c r="AH39" t="s">
        <v>376</v>
      </c>
      <c r="AI39" t="s">
        <v>376</v>
      </c>
      <c r="AJ39" t="s">
        <v>376</v>
      </c>
      <c r="AK39" t="s">
        <v>376</v>
      </c>
      <c r="AL39">
        <v>2</v>
      </c>
    </row>
    <row r="40" spans="6:38" x14ac:dyDescent="0.25">
      <c r="F40" s="16">
        <v>24</v>
      </c>
      <c r="G40" s="104">
        <v>36</v>
      </c>
      <c r="H40" s="16">
        <v>4</v>
      </c>
      <c r="I40" s="16">
        <v>64</v>
      </c>
      <c r="J40" s="16">
        <v>1</v>
      </c>
      <c r="K40" s="16">
        <v>63</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9</v>
      </c>
      <c r="AD40" t="s">
        <v>376</v>
      </c>
      <c r="AE40" t="s">
        <v>376</v>
      </c>
      <c r="AF40" t="s">
        <v>376</v>
      </c>
      <c r="AG40" t="s">
        <v>376</v>
      </c>
      <c r="AH40" t="s">
        <v>376</v>
      </c>
      <c r="AI40" t="s">
        <v>376</v>
      </c>
      <c r="AJ40" t="s">
        <v>376</v>
      </c>
      <c r="AK40" t="s">
        <v>376</v>
      </c>
      <c r="AL40">
        <v>2</v>
      </c>
    </row>
    <row r="41" spans="6:38" x14ac:dyDescent="0.25">
      <c r="F41" s="16">
        <v>25</v>
      </c>
      <c r="G41" s="104">
        <v>37</v>
      </c>
      <c r="H41" s="16">
        <v>1</v>
      </c>
      <c r="I41" s="16">
        <v>15</v>
      </c>
      <c r="J41" s="16">
        <v>0</v>
      </c>
      <c r="K41" s="16">
        <v>18</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38</v>
      </c>
      <c r="H42" s="16">
        <v>0</v>
      </c>
      <c r="I42" s="16">
        <v>8</v>
      </c>
      <c r="J42" s="16">
        <v>0</v>
      </c>
      <c r="K42" s="16">
        <v>9</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2</v>
      </c>
      <c r="AD42" t="s">
        <v>376</v>
      </c>
      <c r="AE42" t="s">
        <v>376</v>
      </c>
      <c r="AF42" t="s">
        <v>376</v>
      </c>
      <c r="AG42" t="s">
        <v>376</v>
      </c>
      <c r="AH42" t="s">
        <v>376</v>
      </c>
      <c r="AI42" t="s">
        <v>376</v>
      </c>
      <c r="AJ42" t="s">
        <v>376</v>
      </c>
      <c r="AK42" t="s">
        <v>376</v>
      </c>
      <c r="AL42">
        <v>2</v>
      </c>
    </row>
    <row r="43" spans="6:38" x14ac:dyDescent="0.25">
      <c r="F43" s="16">
        <v>27</v>
      </c>
      <c r="G43" s="104">
        <v>40</v>
      </c>
      <c r="H43" s="16">
        <v>0</v>
      </c>
      <c r="I43" s="16">
        <v>10</v>
      </c>
      <c r="J43" s="16">
        <v>0</v>
      </c>
      <c r="K43" s="16">
        <v>10</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3</v>
      </c>
      <c r="AC43">
        <v>9</v>
      </c>
      <c r="AD43" t="s">
        <v>376</v>
      </c>
      <c r="AE43" t="s">
        <v>376</v>
      </c>
      <c r="AF43" t="s">
        <v>376</v>
      </c>
      <c r="AG43" t="s">
        <v>376</v>
      </c>
      <c r="AH43" t="s">
        <v>376</v>
      </c>
      <c r="AI43" t="s">
        <v>376</v>
      </c>
      <c r="AJ43" t="s">
        <v>376</v>
      </c>
      <c r="AK43" t="s">
        <v>376</v>
      </c>
      <c r="AL43">
        <v>2</v>
      </c>
    </row>
    <row r="44" spans="6:38" x14ac:dyDescent="0.25">
      <c r="F44" s="16">
        <v>28</v>
      </c>
      <c r="G44" s="104">
        <v>41</v>
      </c>
      <c r="H44" s="16">
        <v>5</v>
      </c>
      <c r="I44" s="16">
        <v>30</v>
      </c>
      <c r="J44" s="16">
        <v>4</v>
      </c>
      <c r="K44" s="16">
        <v>30</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3</v>
      </c>
      <c r="AC44">
        <v>6</v>
      </c>
      <c r="AD44" t="s">
        <v>376</v>
      </c>
      <c r="AE44" t="s">
        <v>376</v>
      </c>
      <c r="AF44" t="s">
        <v>376</v>
      </c>
      <c r="AG44" t="s">
        <v>376</v>
      </c>
      <c r="AH44" t="s">
        <v>376</v>
      </c>
      <c r="AI44" t="s">
        <v>376</v>
      </c>
      <c r="AJ44" t="s">
        <v>376</v>
      </c>
      <c r="AK44" t="s">
        <v>376</v>
      </c>
      <c r="AL44">
        <v>2</v>
      </c>
    </row>
    <row r="45" spans="6:38" x14ac:dyDescent="0.25">
      <c r="F45" s="16">
        <v>29</v>
      </c>
      <c r="G45" s="104">
        <v>43</v>
      </c>
      <c r="H45" s="16">
        <v>3</v>
      </c>
      <c r="I45" s="16">
        <v>36</v>
      </c>
      <c r="J45" s="16">
        <v>5</v>
      </c>
      <c r="K45" s="16">
        <v>34</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1</v>
      </c>
      <c r="AC45">
        <v>9</v>
      </c>
      <c r="AD45" t="s">
        <v>376</v>
      </c>
      <c r="AE45" t="s">
        <v>376</v>
      </c>
      <c r="AF45" t="s">
        <v>376</v>
      </c>
      <c r="AG45" t="s">
        <v>376</v>
      </c>
      <c r="AH45" t="s">
        <v>376</v>
      </c>
      <c r="AI45" t="s">
        <v>376</v>
      </c>
      <c r="AJ45" t="s">
        <v>376</v>
      </c>
      <c r="AK45" t="s">
        <v>376</v>
      </c>
      <c r="AL45">
        <v>2</v>
      </c>
    </row>
    <row r="46" spans="6:38" x14ac:dyDescent="0.25">
      <c r="F46" s="16">
        <v>30</v>
      </c>
      <c r="G46" s="104">
        <v>46</v>
      </c>
      <c r="H46">
        <v>0</v>
      </c>
      <c r="I46">
        <v>31</v>
      </c>
      <c r="J46">
        <v>1</v>
      </c>
      <c r="K46">
        <v>31</v>
      </c>
      <c r="L46" t="s">
        <v>376</v>
      </c>
      <c r="M46">
        <v>1</v>
      </c>
      <c r="N46" t="s">
        <v>376</v>
      </c>
      <c r="O46">
        <v>1</v>
      </c>
      <c r="P46" t="s">
        <v>376</v>
      </c>
      <c r="Q46">
        <v>1</v>
      </c>
      <c r="R46" t="s">
        <v>376</v>
      </c>
      <c r="S46">
        <v>1</v>
      </c>
      <c r="T46" t="s">
        <v>376</v>
      </c>
      <c r="U46">
        <v>1</v>
      </c>
      <c r="V46" t="s">
        <v>376</v>
      </c>
      <c r="W46">
        <v>1</v>
      </c>
      <c r="X46" t="s">
        <v>376</v>
      </c>
      <c r="Y46">
        <v>1</v>
      </c>
      <c r="Z46" t="s">
        <v>376</v>
      </c>
      <c r="AA46">
        <v>1</v>
      </c>
      <c r="AB46">
        <v>3</v>
      </c>
      <c r="AC46">
        <v>10</v>
      </c>
      <c r="AD46" t="s">
        <v>376</v>
      </c>
      <c r="AE46" t="s">
        <v>376</v>
      </c>
      <c r="AF46" t="s">
        <v>376</v>
      </c>
      <c r="AG46" t="s">
        <v>376</v>
      </c>
      <c r="AH46" t="s">
        <v>376</v>
      </c>
      <c r="AI46" t="s">
        <v>376</v>
      </c>
      <c r="AJ46" t="s">
        <v>376</v>
      </c>
      <c r="AK46" t="s">
        <v>376</v>
      </c>
      <c r="AL46">
        <v>2</v>
      </c>
    </row>
    <row r="47" spans="6:38" x14ac:dyDescent="0.25">
      <c r="F47" s="16">
        <v>31</v>
      </c>
      <c r="G47" s="104">
        <v>47</v>
      </c>
      <c r="H47">
        <v>5</v>
      </c>
      <c r="I47">
        <v>54</v>
      </c>
      <c r="J47">
        <v>2</v>
      </c>
      <c r="K47">
        <v>51</v>
      </c>
      <c r="L47" t="s">
        <v>376</v>
      </c>
      <c r="M47">
        <v>1</v>
      </c>
      <c r="N47" t="s">
        <v>376</v>
      </c>
      <c r="O47">
        <v>1</v>
      </c>
      <c r="P47" t="s">
        <v>376</v>
      </c>
      <c r="Q47">
        <v>1</v>
      </c>
      <c r="R47" t="s">
        <v>376</v>
      </c>
      <c r="S47">
        <v>1</v>
      </c>
      <c r="T47" t="s">
        <v>376</v>
      </c>
      <c r="U47">
        <v>1</v>
      </c>
      <c r="V47" t="s">
        <v>376</v>
      </c>
      <c r="W47">
        <v>1</v>
      </c>
      <c r="X47" t="s">
        <v>376</v>
      </c>
      <c r="Y47">
        <v>1</v>
      </c>
      <c r="Z47" t="s">
        <v>376</v>
      </c>
      <c r="AA47">
        <v>1</v>
      </c>
      <c r="AB47">
        <v>2</v>
      </c>
      <c r="AC47">
        <v>10</v>
      </c>
      <c r="AD47" t="s">
        <v>376</v>
      </c>
      <c r="AE47" t="s">
        <v>376</v>
      </c>
      <c r="AF47" t="s">
        <v>376</v>
      </c>
      <c r="AG47" t="s">
        <v>376</v>
      </c>
      <c r="AH47" t="s">
        <v>376</v>
      </c>
      <c r="AI47" t="s">
        <v>376</v>
      </c>
      <c r="AJ47" t="s">
        <v>376</v>
      </c>
      <c r="AK47" t="s">
        <v>376</v>
      </c>
      <c r="AL47">
        <v>2</v>
      </c>
    </row>
    <row r="48" spans="6:38" x14ac:dyDescent="0.25">
      <c r="F48" s="16">
        <v>32</v>
      </c>
      <c r="G48" s="104">
        <v>48</v>
      </c>
      <c r="H48">
        <v>4</v>
      </c>
      <c r="I48">
        <v>46</v>
      </c>
      <c r="J48">
        <v>4</v>
      </c>
      <c r="K48">
        <v>47</v>
      </c>
      <c r="L48" t="s">
        <v>376</v>
      </c>
      <c r="M48">
        <v>1</v>
      </c>
      <c r="N48" t="s">
        <v>376</v>
      </c>
      <c r="O48">
        <v>1</v>
      </c>
      <c r="P48" t="s">
        <v>376</v>
      </c>
      <c r="Q48">
        <v>1</v>
      </c>
      <c r="R48" t="s">
        <v>376</v>
      </c>
      <c r="S48">
        <v>1</v>
      </c>
      <c r="T48" t="s">
        <v>376</v>
      </c>
      <c r="U48">
        <v>1</v>
      </c>
      <c r="V48" t="s">
        <v>376</v>
      </c>
      <c r="W48">
        <v>1</v>
      </c>
      <c r="X48" t="s">
        <v>376</v>
      </c>
      <c r="Y48">
        <v>1</v>
      </c>
      <c r="Z48" t="s">
        <v>376</v>
      </c>
      <c r="AA48">
        <v>1</v>
      </c>
      <c r="AB48">
        <v>1</v>
      </c>
      <c r="AC48">
        <v>9</v>
      </c>
      <c r="AD48" t="s">
        <v>376</v>
      </c>
      <c r="AE48" t="s">
        <v>376</v>
      </c>
      <c r="AF48" t="s">
        <v>376</v>
      </c>
      <c r="AG48" t="s">
        <v>376</v>
      </c>
      <c r="AH48" t="s">
        <v>376</v>
      </c>
      <c r="AI48" t="s">
        <v>376</v>
      </c>
      <c r="AJ48" t="s">
        <v>376</v>
      </c>
      <c r="AK48" t="s">
        <v>376</v>
      </c>
      <c r="AL48">
        <v>2</v>
      </c>
    </row>
    <row r="49" spans="6:38" x14ac:dyDescent="0.25">
      <c r="F49" s="16">
        <v>33</v>
      </c>
      <c r="G49" s="104">
        <v>49</v>
      </c>
      <c r="H49">
        <v>7</v>
      </c>
      <c r="I49">
        <v>59</v>
      </c>
      <c r="J49">
        <v>6</v>
      </c>
      <c r="K49">
        <v>60</v>
      </c>
      <c r="L49" t="s">
        <v>376</v>
      </c>
      <c r="M49">
        <v>1</v>
      </c>
      <c r="N49" t="s">
        <v>376</v>
      </c>
      <c r="O49">
        <v>1</v>
      </c>
      <c r="P49" t="s">
        <v>376</v>
      </c>
      <c r="Q49">
        <v>1</v>
      </c>
      <c r="R49" t="s">
        <v>376</v>
      </c>
      <c r="S49">
        <v>1</v>
      </c>
      <c r="T49" t="s">
        <v>376</v>
      </c>
      <c r="U49">
        <v>1</v>
      </c>
      <c r="V49" t="s">
        <v>376</v>
      </c>
      <c r="W49">
        <v>1</v>
      </c>
      <c r="X49" t="s">
        <v>376</v>
      </c>
      <c r="Y49">
        <v>1</v>
      </c>
      <c r="Z49" t="s">
        <v>376</v>
      </c>
      <c r="AA49">
        <v>1</v>
      </c>
      <c r="AB49">
        <v>1</v>
      </c>
      <c r="AC49">
        <v>2</v>
      </c>
      <c r="AD49" t="s">
        <v>376</v>
      </c>
      <c r="AE49" t="s">
        <v>376</v>
      </c>
      <c r="AF49" t="s">
        <v>376</v>
      </c>
      <c r="AG49" t="s">
        <v>376</v>
      </c>
      <c r="AH49" t="s">
        <v>376</v>
      </c>
      <c r="AI49" t="s">
        <v>376</v>
      </c>
      <c r="AJ49" t="s">
        <v>376</v>
      </c>
      <c r="AK49" t="s">
        <v>376</v>
      </c>
      <c r="AL49">
        <v>2</v>
      </c>
    </row>
    <row r="50" spans="6:38" x14ac:dyDescent="0.25">
      <c r="F50" s="16">
        <v>34</v>
      </c>
      <c r="G50" s="104">
        <v>50</v>
      </c>
      <c r="H50">
        <v>3</v>
      </c>
      <c r="I50">
        <v>31</v>
      </c>
      <c r="J50">
        <v>2</v>
      </c>
      <c r="K50">
        <v>32</v>
      </c>
      <c r="L50" t="s">
        <v>376</v>
      </c>
      <c r="M50">
        <v>1</v>
      </c>
      <c r="N50" t="s">
        <v>376</v>
      </c>
      <c r="O50">
        <v>1</v>
      </c>
      <c r="P50" t="s">
        <v>376</v>
      </c>
      <c r="Q50">
        <v>1</v>
      </c>
      <c r="R50" t="s">
        <v>376</v>
      </c>
      <c r="S50">
        <v>1</v>
      </c>
      <c r="T50" t="s">
        <v>376</v>
      </c>
      <c r="U50">
        <v>1</v>
      </c>
      <c r="V50" t="s">
        <v>376</v>
      </c>
      <c r="W50">
        <v>1</v>
      </c>
      <c r="X50" t="s">
        <v>376</v>
      </c>
      <c r="Y50">
        <v>1</v>
      </c>
      <c r="Z50" t="s">
        <v>376</v>
      </c>
      <c r="AA50">
        <v>1</v>
      </c>
      <c r="AB50">
        <v>1</v>
      </c>
      <c r="AC50">
        <v>2</v>
      </c>
      <c r="AD50" t="s">
        <v>376</v>
      </c>
      <c r="AE50" t="s">
        <v>376</v>
      </c>
      <c r="AF50" t="s">
        <v>376</v>
      </c>
      <c r="AG50" t="s">
        <v>376</v>
      </c>
      <c r="AH50" t="s">
        <v>376</v>
      </c>
      <c r="AI50" t="s">
        <v>376</v>
      </c>
      <c r="AJ50" t="s">
        <v>376</v>
      </c>
      <c r="AK50" t="s">
        <v>376</v>
      </c>
      <c r="AL50">
        <v>2</v>
      </c>
    </row>
    <row r="51" spans="6:38" x14ac:dyDescent="0.25">
      <c r="F51" s="16">
        <v>35</v>
      </c>
      <c r="G51" s="104">
        <v>51</v>
      </c>
      <c r="H51">
        <v>3</v>
      </c>
      <c r="I51">
        <v>9</v>
      </c>
      <c r="J51">
        <v>1</v>
      </c>
      <c r="K51">
        <v>9</v>
      </c>
      <c r="L51" t="s">
        <v>376</v>
      </c>
      <c r="M51">
        <v>1</v>
      </c>
      <c r="N51" t="s">
        <v>376</v>
      </c>
      <c r="O51">
        <v>1</v>
      </c>
      <c r="P51" t="s">
        <v>376</v>
      </c>
      <c r="Q51">
        <v>1</v>
      </c>
      <c r="R51" t="s">
        <v>376</v>
      </c>
      <c r="S51">
        <v>1</v>
      </c>
      <c r="T51" t="s">
        <v>376</v>
      </c>
      <c r="U51">
        <v>1</v>
      </c>
      <c r="V51" t="s">
        <v>376</v>
      </c>
      <c r="W51">
        <v>1</v>
      </c>
      <c r="X51" t="s">
        <v>376</v>
      </c>
      <c r="Y51">
        <v>1</v>
      </c>
      <c r="Z51" t="s">
        <v>376</v>
      </c>
      <c r="AA51">
        <v>1</v>
      </c>
      <c r="AB51">
        <v>1</v>
      </c>
      <c r="AC51">
        <v>3</v>
      </c>
      <c r="AD51" t="s">
        <v>376</v>
      </c>
      <c r="AE51" t="s">
        <v>376</v>
      </c>
      <c r="AF51" t="s">
        <v>376</v>
      </c>
      <c r="AG51" t="s">
        <v>376</v>
      </c>
      <c r="AH51" t="s">
        <v>376</v>
      </c>
      <c r="AI51" t="s">
        <v>376</v>
      </c>
      <c r="AJ51" t="s">
        <v>376</v>
      </c>
      <c r="AK51" t="s">
        <v>376</v>
      </c>
      <c r="AL51">
        <v>2</v>
      </c>
    </row>
    <row r="52" spans="6:38" x14ac:dyDescent="0.25">
      <c r="F52" s="16">
        <v>36</v>
      </c>
      <c r="G52" s="104">
        <v>52</v>
      </c>
      <c r="H52">
        <v>8</v>
      </c>
      <c r="I52">
        <v>31</v>
      </c>
      <c r="J52">
        <v>16</v>
      </c>
      <c r="K52">
        <v>30</v>
      </c>
      <c r="L52" t="s">
        <v>376</v>
      </c>
      <c r="M52">
        <v>1</v>
      </c>
      <c r="N52" t="s">
        <v>376</v>
      </c>
      <c r="O52">
        <v>1</v>
      </c>
      <c r="P52" t="s">
        <v>376</v>
      </c>
      <c r="Q52">
        <v>1</v>
      </c>
      <c r="R52" t="s">
        <v>376</v>
      </c>
      <c r="S52">
        <v>1</v>
      </c>
      <c r="T52" t="s">
        <v>376</v>
      </c>
      <c r="U52">
        <v>1</v>
      </c>
      <c r="V52" t="s">
        <v>376</v>
      </c>
      <c r="W52">
        <v>1</v>
      </c>
      <c r="X52" t="s">
        <v>376</v>
      </c>
      <c r="Y52">
        <v>1</v>
      </c>
      <c r="Z52" t="s">
        <v>376</v>
      </c>
      <c r="AA52">
        <v>1</v>
      </c>
      <c r="AB52">
        <v>1</v>
      </c>
      <c r="AC52">
        <v>9</v>
      </c>
      <c r="AD52" t="s">
        <v>376</v>
      </c>
      <c r="AE52" t="s">
        <v>376</v>
      </c>
      <c r="AF52" t="s">
        <v>376</v>
      </c>
      <c r="AG52" t="s">
        <v>376</v>
      </c>
      <c r="AH52" t="s">
        <v>376</v>
      </c>
      <c r="AI52" t="s">
        <v>376</v>
      </c>
      <c r="AJ52" t="s">
        <v>376</v>
      </c>
      <c r="AK52" t="s">
        <v>376</v>
      </c>
      <c r="AL52">
        <v>2</v>
      </c>
    </row>
    <row r="53" spans="6:38" x14ac:dyDescent="0.25">
      <c r="F53" s="16">
        <v>37</v>
      </c>
      <c r="G53" s="104">
        <v>53</v>
      </c>
      <c r="H53">
        <v>8</v>
      </c>
      <c r="I53">
        <v>74</v>
      </c>
      <c r="J53">
        <v>4</v>
      </c>
      <c r="K53">
        <v>74</v>
      </c>
      <c r="L53" t="s">
        <v>376</v>
      </c>
      <c r="M53">
        <v>1</v>
      </c>
      <c r="N53" t="s">
        <v>376</v>
      </c>
      <c r="O53">
        <v>1</v>
      </c>
      <c r="P53" t="s">
        <v>376</v>
      </c>
      <c r="Q53">
        <v>1</v>
      </c>
      <c r="R53" t="s">
        <v>376</v>
      </c>
      <c r="S53">
        <v>1</v>
      </c>
      <c r="T53" t="s">
        <v>376</v>
      </c>
      <c r="U53">
        <v>1</v>
      </c>
      <c r="V53" t="s">
        <v>376</v>
      </c>
      <c r="W53">
        <v>1</v>
      </c>
      <c r="X53" t="s">
        <v>376</v>
      </c>
      <c r="Y53">
        <v>1</v>
      </c>
      <c r="Z53" t="s">
        <v>376</v>
      </c>
      <c r="AA53">
        <v>1</v>
      </c>
      <c r="AB53">
        <v>1</v>
      </c>
      <c r="AC53">
        <v>2</v>
      </c>
      <c r="AD53" t="s">
        <v>376</v>
      </c>
      <c r="AE53" t="s">
        <v>376</v>
      </c>
      <c r="AF53" t="s">
        <v>376</v>
      </c>
      <c r="AG53" t="s">
        <v>376</v>
      </c>
      <c r="AH53" t="s">
        <v>376</v>
      </c>
      <c r="AI53" t="s">
        <v>376</v>
      </c>
      <c r="AJ53" t="s">
        <v>376</v>
      </c>
      <c r="AK53" t="s">
        <v>376</v>
      </c>
      <c r="AL53">
        <v>2</v>
      </c>
    </row>
    <row r="54" spans="6:38" x14ac:dyDescent="0.25">
      <c r="F54" s="16">
        <v>38</v>
      </c>
      <c r="G54" s="104">
        <v>54</v>
      </c>
      <c r="H54">
        <v>2</v>
      </c>
      <c r="I54">
        <v>48</v>
      </c>
      <c r="J54">
        <v>5</v>
      </c>
      <c r="K54">
        <v>35</v>
      </c>
      <c r="L54" t="s">
        <v>376</v>
      </c>
      <c r="M54">
        <v>1</v>
      </c>
      <c r="N54" t="s">
        <v>376</v>
      </c>
      <c r="O54">
        <v>1</v>
      </c>
      <c r="P54" t="s">
        <v>376</v>
      </c>
      <c r="Q54">
        <v>1</v>
      </c>
      <c r="R54" t="s">
        <v>376</v>
      </c>
      <c r="S54">
        <v>1</v>
      </c>
      <c r="T54" t="s">
        <v>376</v>
      </c>
      <c r="U54">
        <v>1</v>
      </c>
      <c r="V54" t="s">
        <v>376</v>
      </c>
      <c r="W54">
        <v>1</v>
      </c>
      <c r="X54" t="s">
        <v>376</v>
      </c>
      <c r="Y54">
        <v>1</v>
      </c>
      <c r="Z54" t="s">
        <v>376</v>
      </c>
      <c r="AA54">
        <v>1</v>
      </c>
      <c r="AB54">
        <v>3</v>
      </c>
      <c r="AC54">
        <v>9</v>
      </c>
      <c r="AD54" t="s">
        <v>376</v>
      </c>
      <c r="AE54" t="s">
        <v>376</v>
      </c>
      <c r="AF54" t="s">
        <v>376</v>
      </c>
      <c r="AG54" t="s">
        <v>376</v>
      </c>
      <c r="AH54" t="s">
        <v>376</v>
      </c>
      <c r="AI54" t="s">
        <v>376</v>
      </c>
      <c r="AJ54" t="s">
        <v>376</v>
      </c>
      <c r="AK54" t="s">
        <v>376</v>
      </c>
      <c r="AL54">
        <v>2</v>
      </c>
    </row>
    <row r="55" spans="6:38" x14ac:dyDescent="0.25">
      <c r="F55" s="16">
        <v>39</v>
      </c>
      <c r="G55" s="104">
        <v>58</v>
      </c>
      <c r="H55">
        <v>3</v>
      </c>
      <c r="I55">
        <v>28</v>
      </c>
      <c r="J55">
        <v>2</v>
      </c>
      <c r="K55">
        <v>27</v>
      </c>
      <c r="L55" t="s">
        <v>376</v>
      </c>
      <c r="M55">
        <v>1</v>
      </c>
      <c r="N55" t="s">
        <v>376</v>
      </c>
      <c r="O55">
        <v>1</v>
      </c>
      <c r="P55" t="s">
        <v>376</v>
      </c>
      <c r="Q55">
        <v>1</v>
      </c>
      <c r="R55" t="s">
        <v>376</v>
      </c>
      <c r="S55">
        <v>1</v>
      </c>
      <c r="T55" t="s">
        <v>376</v>
      </c>
      <c r="U55">
        <v>1</v>
      </c>
      <c r="V55" t="s">
        <v>376</v>
      </c>
      <c r="W55">
        <v>1</v>
      </c>
      <c r="X55" t="s">
        <v>376</v>
      </c>
      <c r="Y55">
        <v>1</v>
      </c>
      <c r="Z55" t="s">
        <v>376</v>
      </c>
      <c r="AA55">
        <v>1</v>
      </c>
      <c r="AB55">
        <v>1</v>
      </c>
      <c r="AC55">
        <v>10</v>
      </c>
      <c r="AD55" t="s">
        <v>376</v>
      </c>
      <c r="AE55" t="s">
        <v>376</v>
      </c>
      <c r="AF55" t="s">
        <v>376</v>
      </c>
      <c r="AG55" t="s">
        <v>376</v>
      </c>
      <c r="AH55" t="s">
        <v>376</v>
      </c>
      <c r="AI55" t="s">
        <v>376</v>
      </c>
      <c r="AJ55" t="s">
        <v>376</v>
      </c>
      <c r="AK55" t="s">
        <v>376</v>
      </c>
      <c r="AL55">
        <v>2</v>
      </c>
    </row>
    <row r="56" spans="6:38" x14ac:dyDescent="0.25">
      <c r="F56" s="16">
        <v>40</v>
      </c>
      <c r="G56" s="104">
        <v>60</v>
      </c>
      <c r="H56">
        <v>3</v>
      </c>
      <c r="I56">
        <v>32</v>
      </c>
      <c r="J56">
        <v>5</v>
      </c>
      <c r="K56">
        <v>32</v>
      </c>
      <c r="L56" t="s">
        <v>376</v>
      </c>
      <c r="M56">
        <v>1</v>
      </c>
      <c r="N56" t="s">
        <v>376</v>
      </c>
      <c r="O56">
        <v>1</v>
      </c>
      <c r="P56" t="s">
        <v>376</v>
      </c>
      <c r="Q56">
        <v>1</v>
      </c>
      <c r="R56" t="s">
        <v>376</v>
      </c>
      <c r="S56">
        <v>1</v>
      </c>
      <c r="T56" t="s">
        <v>376</v>
      </c>
      <c r="U56">
        <v>1</v>
      </c>
      <c r="V56" t="s">
        <v>376</v>
      </c>
      <c r="W56">
        <v>1</v>
      </c>
      <c r="X56" t="s">
        <v>376</v>
      </c>
      <c r="Y56">
        <v>1</v>
      </c>
      <c r="Z56" t="s">
        <v>376</v>
      </c>
      <c r="AA56">
        <v>1</v>
      </c>
      <c r="AB56">
        <v>3</v>
      </c>
      <c r="AC56">
        <v>10</v>
      </c>
      <c r="AD56" t="s">
        <v>376</v>
      </c>
      <c r="AE56" t="s">
        <v>376</v>
      </c>
      <c r="AF56" t="s">
        <v>376</v>
      </c>
      <c r="AG56" t="s">
        <v>376</v>
      </c>
      <c r="AH56" t="s">
        <v>376</v>
      </c>
      <c r="AI56" t="s">
        <v>376</v>
      </c>
      <c r="AJ56" t="s">
        <v>376</v>
      </c>
      <c r="AK56" t="s">
        <v>376</v>
      </c>
      <c r="AL56">
        <v>2</v>
      </c>
    </row>
    <row r="57" spans="6:38" x14ac:dyDescent="0.25">
      <c r="F57" s="16">
        <v>41</v>
      </c>
      <c r="G57" s="104">
        <v>62</v>
      </c>
      <c r="H57">
        <v>1</v>
      </c>
      <c r="I57">
        <v>24</v>
      </c>
      <c r="J57">
        <v>0</v>
      </c>
      <c r="K57">
        <v>23</v>
      </c>
      <c r="L57" t="s">
        <v>376</v>
      </c>
      <c r="M57">
        <v>1</v>
      </c>
      <c r="N57" t="s">
        <v>376</v>
      </c>
      <c r="O57">
        <v>1</v>
      </c>
      <c r="P57" t="s">
        <v>376</v>
      </c>
      <c r="Q57">
        <v>1</v>
      </c>
      <c r="R57" t="s">
        <v>376</v>
      </c>
      <c r="S57">
        <v>1</v>
      </c>
      <c r="T57" t="s">
        <v>376</v>
      </c>
      <c r="U57">
        <v>1</v>
      </c>
      <c r="V57" t="s">
        <v>376</v>
      </c>
      <c r="W57">
        <v>1</v>
      </c>
      <c r="X57" t="s">
        <v>376</v>
      </c>
      <c r="Y57">
        <v>1</v>
      </c>
      <c r="Z57" t="s">
        <v>376</v>
      </c>
      <c r="AA57">
        <v>1</v>
      </c>
      <c r="AB57">
        <v>1</v>
      </c>
      <c r="AC57">
        <v>2</v>
      </c>
      <c r="AD57" t="s">
        <v>376</v>
      </c>
      <c r="AE57" t="s">
        <v>376</v>
      </c>
      <c r="AF57" t="s">
        <v>376</v>
      </c>
      <c r="AG57" t="s">
        <v>376</v>
      </c>
      <c r="AH57" t="s">
        <v>376</v>
      </c>
      <c r="AI57" t="s">
        <v>376</v>
      </c>
      <c r="AJ57" t="s">
        <v>376</v>
      </c>
      <c r="AK57" t="s">
        <v>376</v>
      </c>
      <c r="AL57">
        <v>2</v>
      </c>
    </row>
    <row r="58" spans="6:38" x14ac:dyDescent="0.25">
      <c r="F58" s="16">
        <v>42</v>
      </c>
      <c r="G58" s="104">
        <v>63</v>
      </c>
      <c r="H58">
        <v>3</v>
      </c>
      <c r="I58">
        <v>19</v>
      </c>
      <c r="J58">
        <v>3</v>
      </c>
      <c r="K58">
        <v>16</v>
      </c>
      <c r="L58" t="s">
        <v>376</v>
      </c>
      <c r="M58">
        <v>1</v>
      </c>
      <c r="N58" t="s">
        <v>376</v>
      </c>
      <c r="O58">
        <v>1</v>
      </c>
      <c r="P58" t="s">
        <v>376</v>
      </c>
      <c r="Q58">
        <v>1</v>
      </c>
      <c r="R58" t="s">
        <v>376</v>
      </c>
      <c r="S58">
        <v>1</v>
      </c>
      <c r="T58" t="s">
        <v>376</v>
      </c>
      <c r="U58">
        <v>1</v>
      </c>
      <c r="V58" t="s">
        <v>376</v>
      </c>
      <c r="W58">
        <v>1</v>
      </c>
      <c r="X58" t="s">
        <v>376</v>
      </c>
      <c r="Y58">
        <v>1</v>
      </c>
      <c r="Z58" t="s">
        <v>376</v>
      </c>
      <c r="AA58">
        <v>1</v>
      </c>
      <c r="AB58">
        <v>1</v>
      </c>
      <c r="AC58">
        <v>2</v>
      </c>
      <c r="AD58" t="s">
        <v>376</v>
      </c>
      <c r="AE58" t="s">
        <v>376</v>
      </c>
      <c r="AF58" t="s">
        <v>376</v>
      </c>
      <c r="AG58" t="s">
        <v>376</v>
      </c>
      <c r="AH58" t="s">
        <v>376</v>
      </c>
      <c r="AI58" t="s">
        <v>376</v>
      </c>
      <c r="AJ58" t="s">
        <v>376</v>
      </c>
      <c r="AK58" t="s">
        <v>376</v>
      </c>
      <c r="AL58">
        <v>2</v>
      </c>
    </row>
    <row r="59" spans="6:38" x14ac:dyDescent="0.25">
      <c r="F59">
        <v>43</v>
      </c>
      <c r="G59" s="104">
        <v>65</v>
      </c>
      <c r="H59">
        <v>1</v>
      </c>
      <c r="I59">
        <v>18</v>
      </c>
      <c r="J59">
        <v>1</v>
      </c>
      <c r="K59">
        <v>16</v>
      </c>
      <c r="L59" t="s">
        <v>376</v>
      </c>
      <c r="M59">
        <v>1</v>
      </c>
      <c r="N59" t="s">
        <v>376</v>
      </c>
      <c r="O59">
        <v>1</v>
      </c>
      <c r="P59" t="s">
        <v>376</v>
      </c>
      <c r="Q59">
        <v>1</v>
      </c>
      <c r="R59" t="s">
        <v>376</v>
      </c>
      <c r="S59">
        <v>1</v>
      </c>
      <c r="T59" t="s">
        <v>376</v>
      </c>
      <c r="U59">
        <v>1</v>
      </c>
      <c r="V59" t="s">
        <v>376</v>
      </c>
      <c r="W59">
        <v>1</v>
      </c>
      <c r="X59" t="s">
        <v>376</v>
      </c>
      <c r="Y59">
        <v>1</v>
      </c>
      <c r="Z59" t="s">
        <v>376</v>
      </c>
      <c r="AA59">
        <v>1</v>
      </c>
      <c r="AB59">
        <v>1</v>
      </c>
      <c r="AC59">
        <v>3</v>
      </c>
      <c r="AD59" t="s">
        <v>376</v>
      </c>
      <c r="AE59" t="s">
        <v>376</v>
      </c>
      <c r="AF59" t="s">
        <v>376</v>
      </c>
      <c r="AG59" t="s">
        <v>376</v>
      </c>
      <c r="AH59" t="s">
        <v>376</v>
      </c>
      <c r="AI59" t="s">
        <v>376</v>
      </c>
      <c r="AJ59" t="s">
        <v>376</v>
      </c>
      <c r="AK59" t="s">
        <v>376</v>
      </c>
      <c r="AL59">
        <v>2</v>
      </c>
    </row>
    <row r="60" spans="6:38" x14ac:dyDescent="0.25">
      <c r="F60">
        <v>44</v>
      </c>
      <c r="G60" s="104">
        <v>66</v>
      </c>
      <c r="H60">
        <v>3</v>
      </c>
      <c r="I60">
        <v>73</v>
      </c>
      <c r="J60">
        <v>4</v>
      </c>
      <c r="K60">
        <v>71</v>
      </c>
      <c r="L60" t="s">
        <v>376</v>
      </c>
      <c r="M60">
        <v>1</v>
      </c>
      <c r="N60" t="s">
        <v>376</v>
      </c>
      <c r="O60">
        <v>1</v>
      </c>
      <c r="P60" t="s">
        <v>376</v>
      </c>
      <c r="Q60">
        <v>1</v>
      </c>
      <c r="R60" t="s">
        <v>376</v>
      </c>
      <c r="S60">
        <v>1</v>
      </c>
      <c r="T60" t="s">
        <v>376</v>
      </c>
      <c r="U60">
        <v>1</v>
      </c>
      <c r="V60" t="s">
        <v>376</v>
      </c>
      <c r="W60">
        <v>1</v>
      </c>
      <c r="X60" t="s">
        <v>376</v>
      </c>
      <c r="Y60">
        <v>1</v>
      </c>
      <c r="Z60" t="s">
        <v>376</v>
      </c>
      <c r="AA60">
        <v>1</v>
      </c>
      <c r="AB60">
        <v>1</v>
      </c>
      <c r="AC60">
        <v>2</v>
      </c>
      <c r="AD60" t="s">
        <v>376</v>
      </c>
      <c r="AE60" t="s">
        <v>376</v>
      </c>
      <c r="AF60" t="s">
        <v>376</v>
      </c>
      <c r="AG60" t="s">
        <v>376</v>
      </c>
      <c r="AH60" t="s">
        <v>376</v>
      </c>
      <c r="AI60" t="s">
        <v>376</v>
      </c>
      <c r="AJ60" t="s">
        <v>376</v>
      </c>
      <c r="AK60" t="s">
        <v>376</v>
      </c>
      <c r="AL60">
        <v>2</v>
      </c>
    </row>
    <row r="61" spans="6:38" x14ac:dyDescent="0.25">
      <c r="F61">
        <v>45</v>
      </c>
      <c r="G61" s="104">
        <v>68</v>
      </c>
      <c r="H61">
        <v>5</v>
      </c>
      <c r="I61">
        <v>43</v>
      </c>
      <c r="J61">
        <v>4</v>
      </c>
      <c r="K61">
        <v>44</v>
      </c>
      <c r="L61" t="s">
        <v>376</v>
      </c>
      <c r="M61">
        <v>1</v>
      </c>
      <c r="N61" t="s">
        <v>376</v>
      </c>
      <c r="O61">
        <v>1</v>
      </c>
      <c r="P61" t="s">
        <v>376</v>
      </c>
      <c r="Q61">
        <v>1</v>
      </c>
      <c r="R61" t="s">
        <v>376</v>
      </c>
      <c r="S61">
        <v>1</v>
      </c>
      <c r="T61" t="s">
        <v>376</v>
      </c>
      <c r="U61">
        <v>1</v>
      </c>
      <c r="V61" t="s">
        <v>376</v>
      </c>
      <c r="W61">
        <v>1</v>
      </c>
      <c r="X61" t="s">
        <v>376</v>
      </c>
      <c r="Y61">
        <v>1</v>
      </c>
      <c r="Z61" t="s">
        <v>376</v>
      </c>
      <c r="AA61">
        <v>1</v>
      </c>
      <c r="AB61">
        <v>3</v>
      </c>
      <c r="AC61">
        <v>4</v>
      </c>
      <c r="AD61" t="s">
        <v>376</v>
      </c>
      <c r="AE61" t="s">
        <v>376</v>
      </c>
      <c r="AF61" t="s">
        <v>376</v>
      </c>
      <c r="AG61" t="s">
        <v>376</v>
      </c>
      <c r="AH61" t="s">
        <v>376</v>
      </c>
      <c r="AI61" t="s">
        <v>376</v>
      </c>
      <c r="AJ61" t="s">
        <v>376</v>
      </c>
      <c r="AK61" t="s">
        <v>376</v>
      </c>
      <c r="AL61">
        <v>2</v>
      </c>
    </row>
    <row r="62" spans="6:38" x14ac:dyDescent="0.25">
      <c r="G62" s="104"/>
      <c r="H62" t="s">
        <v>377</v>
      </c>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892</v>
      </c>
    </row>
    <row r="4" spans="2:26" x14ac:dyDescent="0.25">
      <c r="B4" s="5" t="str">
        <f>IF('DATA Input'!E5="","",'DATA Input'!E5)</f>
        <v>INDOIV</v>
      </c>
      <c r="C4" s="1">
        <f>IF(B4="","",1)</f>
        <v>1</v>
      </c>
      <c r="H4" t="s">
        <v>893</v>
      </c>
    </row>
    <row r="5" spans="2:26" x14ac:dyDescent="0.25">
      <c r="B5" s="5" t="str">
        <f>IF('DATA Input'!G5="","",'DATA Input'!G5)</f>
        <v>IBUIV</v>
      </c>
      <c r="C5" s="1">
        <f>IF(B5="","",C4+1)</f>
        <v>2</v>
      </c>
      <c r="H5" t="s">
        <v>894</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887</v>
      </c>
    </row>
    <row r="8" spans="2:26" x14ac:dyDescent="0.25">
      <c r="B8" s="5" t="str">
        <f>IF('DATA Input'!M$5="","",'DATA Input'!M$5)</f>
        <v>IBUIVHIGHDOSE</v>
      </c>
      <c r="C8" s="1">
        <f t="shared" si="0"/>
        <v>5</v>
      </c>
      <c r="H8" t="s">
        <v>888</v>
      </c>
    </row>
    <row r="9" spans="2:26" x14ac:dyDescent="0.25">
      <c r="B9" s="5" t="str">
        <f>IF('DATA Input'!O$5="","",'DATA Input'!O$5)</f>
        <v>IBUPOHIGHDOSE</v>
      </c>
      <c r="C9" s="1">
        <f t="shared" si="0"/>
        <v>6</v>
      </c>
      <c r="H9" t="s">
        <v>889</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862</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opLeftCell="A16" workbookViewId="0">
      <selection activeCell="O8" sqref="O8"/>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45</v>
      </c>
    </row>
    <row r="9" spans="4:5" x14ac:dyDescent="0.25">
      <c r="D9" s="179" t="s">
        <v>288</v>
      </c>
      <c r="E9" s="182">
        <f>max_total</f>
        <v>3371</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289</v>
      </c>
    </row>
    <row r="11" spans="4:5" x14ac:dyDescent="0.25">
      <c r="D11" s="179" t="s">
        <v>290</v>
      </c>
      <c r="E11" s="181">
        <f>COMBIN(E7,2)</f>
        <v>45</v>
      </c>
    </row>
    <row r="12" spans="4:5" x14ac:dyDescent="0.25">
      <c r="D12" s="179" t="s">
        <v>291</v>
      </c>
      <c r="E12" s="181">
        <f>Unique_connections(list)</f>
        <v>16</v>
      </c>
    </row>
    <row r="13" spans="4:5" x14ac:dyDescent="0.25">
      <c r="D13" s="179" t="s">
        <v>292</v>
      </c>
      <c r="E13" s="181">
        <f ca="1">COUNTIF(OFFSET('WINBUGS data'!G17:G66,0,MATCH("na[]",'WINBUGS data'!H16:BE16,0)),"2")</f>
        <v>45</v>
      </c>
    </row>
    <row r="14" spans="4:5" x14ac:dyDescent="0.25">
      <c r="D14" s="179" t="s">
        <v>293</v>
      </c>
      <c r="E14" s="181">
        <f ca="1">COUNTIF(OFFSET('WINBUGS data'!G17:G66,0,MATCH("na[]",'WINBUGS data'!H16:BE16,0)),"&gt;2")</f>
        <v>0</v>
      </c>
    </row>
    <row r="15" spans="4:5" x14ac:dyDescent="0.25">
      <c r="D15" s="179" t="s">
        <v>296</v>
      </c>
      <c r="E15" s="181">
        <f>No_zero('DATA Input'!E7:AH56)</f>
        <v>34</v>
      </c>
    </row>
    <row r="16" spans="4:5" x14ac:dyDescent="0.25">
      <c r="D16" s="179" t="s">
        <v>294</v>
      </c>
      <c r="E16" s="181">
        <f>num_studies-E15</f>
        <v>11</v>
      </c>
    </row>
    <row r="17" spans="4:11" ht="15.75" thickBot="1" x14ac:dyDescent="0.3">
      <c r="D17" s="180" t="s">
        <v>295</v>
      </c>
      <c r="E17" s="183">
        <f>All_zero('DATA Input'!E7:AH56)</f>
        <v>3</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26</v>
      </c>
      <c r="F24" s="209">
        <f>SUM('DATA Input'!$E$7:$E$56)</f>
        <v>86</v>
      </c>
      <c r="G24" s="209">
        <f>SUM('DATA Input'!$F$7:$F$56)</f>
        <v>931</v>
      </c>
      <c r="H24" s="210">
        <f>F24/G24</f>
        <v>9.2373791621911922E-2</v>
      </c>
      <c r="I24" s="210">
        <f>MinRate(1,'DATA Input'!$E$7:$AH$56)</f>
        <v>1.4492753893136978E-2</v>
      </c>
      <c r="J24" s="211">
        <f>MaxRate(1,'DATA Input'!$E$7:$AH$56)</f>
        <v>0.66666668653488159</v>
      </c>
    </row>
    <row r="25" spans="4:11" x14ac:dyDescent="0.25">
      <c r="D25" s="179" t="str">
        <f>IF('DATA Input'!$G$5="","",'DATA Input'!$G$5)</f>
        <v>IBUIV</v>
      </c>
      <c r="E25" s="185">
        <f>COUNTIF('DATA Input'!$H$7:$H$56,"&lt;&gt;")</f>
        <v>18</v>
      </c>
      <c r="F25" s="184">
        <f>SUM('DATA Input'!$G$7:$G$56)</f>
        <v>64</v>
      </c>
      <c r="G25" s="185">
        <f>SUM('DATA Input'!$H$7:$H$56)</f>
        <v>778</v>
      </c>
      <c r="H25" s="188">
        <f t="shared" ref="H25:H38" si="0">F25/G25</f>
        <v>8.2262210796915161E-2</v>
      </c>
      <c r="I25" s="188">
        <f>MinRate(2,'DATA Input'!$E$7:$AH$56)</f>
        <v>2.1276595070958138E-2</v>
      </c>
      <c r="J25" s="190">
        <f>MaxRate(2,'DATA Input'!$E$7:$AH$56)</f>
        <v>0.28125</v>
      </c>
    </row>
    <row r="26" spans="4:11" x14ac:dyDescent="0.25">
      <c r="D26" s="179" t="str">
        <f>IF('DATA Input'!$I$5="","",'DATA Input'!$I$5)</f>
        <v>IBUPO</v>
      </c>
      <c r="E26" s="185">
        <f>COUNTIF('DATA Input'!$J$7:$J$56,"&lt;&gt;")</f>
        <v>17</v>
      </c>
      <c r="F26" s="184">
        <f>SUM('DATA Input'!$I$7:$I$56)</f>
        <v>36</v>
      </c>
      <c r="G26" s="185">
        <f>SUM('DATA Input'!$J$7:$J$56)</f>
        <v>537</v>
      </c>
      <c r="H26" s="188">
        <f t="shared" si="0"/>
        <v>6.7039106145251395E-2</v>
      </c>
      <c r="I26" s="188">
        <f>MinRate(3,'DATA Input'!$E$7:$AH$56)</f>
        <v>2.500000037252903E-2</v>
      </c>
      <c r="J26" s="190">
        <f>MaxRate(3,'DATA Input'!$E$7:$AH$56)</f>
        <v>0.40000000596046448</v>
      </c>
    </row>
    <row r="27" spans="4:11" x14ac:dyDescent="0.25">
      <c r="D27" s="179" t="str">
        <f>IF('DATA Input'!$K$5="","",'DATA Input'!$K$5)</f>
        <v>PARAPO</v>
      </c>
      <c r="E27" s="184">
        <f>COUNTIF('DATA Input'!$L$7:$L$56,"&lt;&gt;")</f>
        <v>4</v>
      </c>
      <c r="F27" s="184">
        <f>SUM('DATA Input'!$K$7:$K$56)</f>
        <v>12</v>
      </c>
      <c r="G27" s="184">
        <f>SUM('DATA Input'!$L$7:$L$56)</f>
        <v>202</v>
      </c>
      <c r="H27" s="188">
        <f t="shared" si="0"/>
        <v>5.9405940594059403E-2</v>
      </c>
      <c r="I27" s="188">
        <f>MinRate(4,'DATA Input'!$E$7:$AH$56)</f>
        <v>3.7500001490116119E-2</v>
      </c>
      <c r="J27" s="190">
        <f>MaxRate(4,'DATA Input'!$E$7:$AH$56)</f>
        <v>9.0909093618392944E-2</v>
      </c>
    </row>
    <row r="28" spans="4:11" x14ac:dyDescent="0.25">
      <c r="D28" s="179" t="str">
        <f>IF('DATA Input'!$M$5="","",'DATA Input'!$M$5)</f>
        <v>IBUIVHIGHDOSE</v>
      </c>
      <c r="E28" s="184">
        <f>COUNTIF('DATA Input'!$N$7:$N$56,"&lt;&gt;")</f>
        <v>1</v>
      </c>
      <c r="F28" s="184">
        <f>SUM('DATA Input'!$M$7:$M$56)</f>
        <v>4</v>
      </c>
      <c r="G28" s="184">
        <f>SUM('DATA Input'!$N$7:$N$56)</f>
        <v>35</v>
      </c>
      <c r="H28" s="188">
        <f t="shared" si="0"/>
        <v>0.11428571428571428</v>
      </c>
      <c r="I28" s="188">
        <f>MinRate(5,'DATA Input'!$E$7:$AH$56)</f>
        <v>0.11428571492433548</v>
      </c>
      <c r="J28" s="190">
        <f>MaxRate(5,'DATA Input'!$E$7:$AH$56)</f>
        <v>0.11428571492433548</v>
      </c>
    </row>
    <row r="29" spans="4:11" x14ac:dyDescent="0.25">
      <c r="D29" s="179" t="str">
        <f>IF('DATA Input'!$O$5="","",'DATA Input'!$O$5)</f>
        <v>IBUPOHIGHDOSE</v>
      </c>
      <c r="E29" s="184">
        <f>COUNTIF('DATA Input'!$P$7:$P$56,"&lt;&gt;")</f>
        <v>1</v>
      </c>
      <c r="F29" s="184">
        <f>SUM('DATA Input'!$O$7:$O$56)</f>
        <v>4</v>
      </c>
      <c r="G29" s="184">
        <f>SUM('DATA Input'!$P$7:$P$56)</f>
        <v>30</v>
      </c>
      <c r="H29" s="188">
        <f t="shared" si="0"/>
        <v>0.13333333333333333</v>
      </c>
      <c r="I29" s="188">
        <f>MinRate(6,'DATA Input'!$E$7:$AH$56)</f>
        <v>0.13333334028720856</v>
      </c>
      <c r="J29" s="190">
        <f>MaxRate(6,'DATA Input'!$E$7:$AH$56)</f>
        <v>0.13333334028720856</v>
      </c>
    </row>
    <row r="30" spans="4:11" x14ac:dyDescent="0.25">
      <c r="D30" s="179" t="str">
        <f>IF('DATA Input'!$Q$5="","",'DATA Input'!$Q$5)</f>
        <v>IBUIVCONT</v>
      </c>
      <c r="E30" s="184">
        <f>COUNTIF('DATA Input'!$R$7:$R$56,"&lt;&gt;")</f>
        <v>1</v>
      </c>
      <c r="F30" s="184">
        <f>SUM('DATA Input'!$Q$7:$Q$56)</f>
        <v>3</v>
      </c>
      <c r="G30" s="184">
        <f>SUM('DATA Input'!$R$7:$R$56)</f>
        <v>55</v>
      </c>
      <c r="H30" s="188">
        <f t="shared" si="0"/>
        <v>5.4545454545454543E-2</v>
      </c>
      <c r="I30" s="188">
        <f>MinRate(7,'DATA Input'!$E$7:$AH$56)</f>
        <v>5.4545454680919647E-2</v>
      </c>
      <c r="J30" s="190">
        <f>MaxRate(7,'DATA Input'!$E$7:$AH$56)</f>
        <v>5.4545454680919647E-2</v>
      </c>
    </row>
    <row r="31" spans="4:11" x14ac:dyDescent="0.25">
      <c r="D31" s="179" t="str">
        <f>IF('DATA Input'!$S$5="","",'DATA Input'!$S$5)</f>
        <v>INDOIVCONT</v>
      </c>
      <c r="E31" s="184">
        <f>COUNTIF('DATA Input'!$T$7:$T$56,"&lt;&gt;")</f>
        <v>2</v>
      </c>
      <c r="F31" s="184">
        <f>SUM('DATA Input'!$S$7:$S$56)</f>
        <v>7</v>
      </c>
      <c r="G31" s="184">
        <f>SUM('DATA Input'!$T$7:$T$56)</f>
        <v>49</v>
      </c>
      <c r="H31" s="188">
        <f t="shared" si="0"/>
        <v>0.14285714285714285</v>
      </c>
      <c r="I31" s="188">
        <f>MinRate(8,'DATA Input'!$E$7:$AH$56)</f>
        <v>0.22580644488334656</v>
      </c>
      <c r="J31" s="190">
        <f>MaxRate(8,'DATA Input'!$E$7:$AH$56)</f>
        <v>0.22580644488334656</v>
      </c>
    </row>
    <row r="32" spans="4:11" x14ac:dyDescent="0.25">
      <c r="D32" s="179" t="str">
        <f>IF('DATA Input'!$U$5="","",'DATA Input'!$U$5)</f>
        <v>INDOTHERS</v>
      </c>
      <c r="E32" s="184">
        <f>COUNTIF('DATA Input'!$V$7:$V$56,"&lt;&gt;")</f>
        <v>10</v>
      </c>
      <c r="F32" s="184">
        <f>SUM('DATA Input'!$U$7:$U$56)</f>
        <v>49</v>
      </c>
      <c r="G32" s="184">
        <f>SUM('DATA Input'!$V$7:$V$56)</f>
        <v>387</v>
      </c>
      <c r="H32" s="188">
        <f t="shared" si="0"/>
        <v>0.12661498708010335</v>
      </c>
      <c r="I32" s="188">
        <f>MinRate(9,'DATA Input'!$E$7:$AH$56)</f>
        <v>1.587301678955555E-2</v>
      </c>
      <c r="J32" s="190">
        <f>MaxRate(9,'DATA Input'!$E$7:$AH$56)</f>
        <v>0.53333336114883423</v>
      </c>
    </row>
    <row r="33" spans="4:10" ht="15.75" thickBot="1" x14ac:dyDescent="0.3">
      <c r="D33" s="179" t="str">
        <f>IF('DATA Input'!$W$5="","",'DATA Input'!$W$5)</f>
        <v>PLAC_NORX</v>
      </c>
      <c r="E33" s="184">
        <f>COUNTIF('DATA Input'!$X$7:$X$56,"&lt;&gt;")</f>
        <v>10</v>
      </c>
      <c r="F33" s="184">
        <f>SUM('DATA Input'!$W$7:$W$56)</f>
        <v>24</v>
      </c>
      <c r="G33" s="184">
        <f>SUM('DATA Input'!$X$7:$X$56)</f>
        <v>367</v>
      </c>
      <c r="H33" s="188">
        <f t="shared" si="0"/>
        <v>6.5395095367847406E-2</v>
      </c>
      <c r="I33" s="188">
        <f>MinRate(10,'DATA Input'!$E$7:$AH$56)</f>
        <v>3.0303031206130981E-2</v>
      </c>
      <c r="J33" s="190">
        <f>MaxRate(10,'DATA Input'!$E$7:$AH$56)</f>
        <v>0.15625</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378</v>
      </c>
      <c r="E43" s="195">
        <v>4</v>
      </c>
      <c r="F43" s="196">
        <v>103</v>
      </c>
      <c r="G43" s="197">
        <v>22</v>
      </c>
    </row>
    <row r="44" spans="4:10" x14ac:dyDescent="0.25">
      <c r="D44" s="179" t="s">
        <v>379</v>
      </c>
      <c r="E44" s="184">
        <v>2</v>
      </c>
      <c r="F44" s="185">
        <v>241</v>
      </c>
      <c r="G44" s="182">
        <v>25</v>
      </c>
    </row>
    <row r="45" spans="4:10" x14ac:dyDescent="0.25">
      <c r="D45" s="179" t="s">
        <v>381</v>
      </c>
      <c r="E45" s="184">
        <v>1</v>
      </c>
      <c r="F45" s="185">
        <v>77</v>
      </c>
      <c r="G45" s="182">
        <v>6</v>
      </c>
    </row>
    <row r="46" spans="4:10" x14ac:dyDescent="0.25">
      <c r="D46" s="179" t="s">
        <v>383</v>
      </c>
      <c r="E46" s="184">
        <v>3</v>
      </c>
      <c r="F46" s="185">
        <v>327</v>
      </c>
      <c r="G46" s="182">
        <v>19</v>
      </c>
    </row>
    <row r="47" spans="4:10" x14ac:dyDescent="0.25">
      <c r="D47" s="179" t="s">
        <v>384</v>
      </c>
      <c r="E47" s="184">
        <v>3</v>
      </c>
      <c r="F47" s="185">
        <v>236</v>
      </c>
      <c r="G47" s="182">
        <v>17</v>
      </c>
    </row>
    <row r="48" spans="4:10" x14ac:dyDescent="0.25">
      <c r="D48" s="179" t="s">
        <v>382</v>
      </c>
      <c r="E48" s="184">
        <v>3</v>
      </c>
      <c r="F48" s="185">
        <v>192</v>
      </c>
      <c r="G48" s="182">
        <v>11</v>
      </c>
    </row>
    <row r="49" spans="4:7" x14ac:dyDescent="0.25">
      <c r="D49" s="179" t="s">
        <v>385</v>
      </c>
      <c r="E49" s="184">
        <v>1</v>
      </c>
      <c r="F49" s="185">
        <v>32</v>
      </c>
      <c r="G49" s="182">
        <v>1</v>
      </c>
    </row>
    <row r="50" spans="4:7" x14ac:dyDescent="0.25">
      <c r="D50" s="178" t="s">
        <v>386</v>
      </c>
      <c r="E50" s="184">
        <v>4</v>
      </c>
      <c r="F50" s="185">
        <v>256</v>
      </c>
      <c r="G50" s="182">
        <v>14</v>
      </c>
    </row>
    <row r="51" spans="4:7" x14ac:dyDescent="0.25">
      <c r="D51" s="217" t="s">
        <v>387</v>
      </c>
      <c r="E51" s="198">
        <v>1</v>
      </c>
      <c r="F51" s="200">
        <v>63</v>
      </c>
      <c r="G51" s="201">
        <v>16</v>
      </c>
    </row>
    <row r="52" spans="4:7" x14ac:dyDescent="0.25">
      <c r="D52" s="217" t="s">
        <v>388</v>
      </c>
      <c r="E52" s="198">
        <v>1</v>
      </c>
      <c r="F52" s="200">
        <v>70</v>
      </c>
      <c r="G52" s="201">
        <v>7</v>
      </c>
    </row>
    <row r="53" spans="4:7" x14ac:dyDescent="0.25">
      <c r="D53" s="217" t="s">
        <v>389</v>
      </c>
      <c r="E53" s="198">
        <v>3</v>
      </c>
      <c r="F53" s="200">
        <v>139</v>
      </c>
      <c r="G53" s="201">
        <v>10</v>
      </c>
    </row>
    <row r="54" spans="4:7" x14ac:dyDescent="0.25">
      <c r="D54" s="217" t="s">
        <v>380</v>
      </c>
      <c r="E54" s="198">
        <v>6</v>
      </c>
      <c r="F54" s="200">
        <v>596</v>
      </c>
      <c r="G54" s="201">
        <v>70</v>
      </c>
    </row>
    <row r="55" spans="4:7" x14ac:dyDescent="0.25">
      <c r="D55" s="217" t="s">
        <v>390</v>
      </c>
      <c r="E55" s="198">
        <v>10</v>
      </c>
      <c r="F55" s="200">
        <v>821</v>
      </c>
      <c r="G55" s="201">
        <v>51</v>
      </c>
    </row>
    <row r="56" spans="4:7" x14ac:dyDescent="0.25">
      <c r="D56" s="217" t="s">
        <v>391</v>
      </c>
      <c r="E56" s="198">
        <v>1</v>
      </c>
      <c r="F56" s="200">
        <v>111</v>
      </c>
      <c r="G56" s="201">
        <v>10</v>
      </c>
    </row>
    <row r="57" spans="4:7" x14ac:dyDescent="0.25">
      <c r="D57" s="217" t="s">
        <v>393</v>
      </c>
      <c r="E57" s="198">
        <v>1</v>
      </c>
      <c r="F57" s="200">
        <v>47</v>
      </c>
      <c r="G57" s="201">
        <v>1</v>
      </c>
    </row>
    <row r="58" spans="4:7" ht="15.75" thickBot="1" x14ac:dyDescent="0.3">
      <c r="D58" s="217" t="s">
        <v>392</v>
      </c>
      <c r="E58" s="198">
        <v>1</v>
      </c>
      <c r="F58" s="200">
        <v>60</v>
      </c>
      <c r="G58" s="201">
        <v>9</v>
      </c>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topLeftCell="O1" zoomScale="53" zoomScaleNormal="53" workbookViewId="0">
      <selection activeCell="T25" sqref="T25"/>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3" t="s">
        <v>13</v>
      </c>
      <c r="C23" s="255"/>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E3" sqref="E3"/>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226</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workbookViewId="0">
      <selection activeCell="C11" sqref="C11"/>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357</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896</v>
      </c>
      <c r="G6" s="223" t="s">
        <v>356</v>
      </c>
      <c r="H6" s="70"/>
      <c r="I6" s="70"/>
      <c r="J6" s="70"/>
      <c r="K6" s="70"/>
      <c r="L6" s="70"/>
      <c r="M6" s="70"/>
      <c r="N6" s="70"/>
      <c r="O6" s="70"/>
      <c r="P6" s="70"/>
      <c r="Q6" s="70"/>
      <c r="R6" s="70"/>
      <c r="S6" s="70"/>
      <c r="Y6" t="s">
        <v>891</v>
      </c>
    </row>
    <row r="7" spans="2:26" ht="39.950000000000003" customHeight="1" thickBot="1" x14ac:dyDescent="0.3">
      <c r="E7" s="69"/>
      <c r="F7" s="225" t="s">
        <v>897</v>
      </c>
      <c r="G7" s="224" t="s">
        <v>905</v>
      </c>
      <c r="H7" s="223" t="s">
        <v>353</v>
      </c>
      <c r="I7" s="70"/>
      <c r="J7" s="70"/>
      <c r="K7" s="70"/>
      <c r="L7" s="70"/>
      <c r="M7" s="70"/>
      <c r="N7" s="70"/>
      <c r="O7" s="70"/>
      <c r="P7" s="70"/>
      <c r="Q7" s="70"/>
      <c r="R7" s="70"/>
      <c r="S7" s="70"/>
    </row>
    <row r="8" spans="2:26" ht="39.950000000000003" customHeight="1" thickBot="1" x14ac:dyDescent="0.3">
      <c r="E8" s="69"/>
      <c r="F8" s="225" t="s">
        <v>898</v>
      </c>
      <c r="G8" s="221" t="s">
        <v>906</v>
      </c>
      <c r="H8" s="224" t="s">
        <v>913</v>
      </c>
      <c r="I8" s="223" t="s">
        <v>358</v>
      </c>
      <c r="J8" s="70"/>
      <c r="K8" s="70"/>
      <c r="L8" s="70"/>
      <c r="M8" s="70"/>
      <c r="N8" s="70"/>
      <c r="O8" s="70"/>
      <c r="P8" s="70"/>
      <c r="Q8" s="70"/>
      <c r="R8" s="70"/>
      <c r="S8" s="70"/>
    </row>
    <row r="9" spans="2:26" ht="39.950000000000003" customHeight="1" thickBot="1" x14ac:dyDescent="0.3">
      <c r="E9" s="69"/>
      <c r="F9" s="225" t="s">
        <v>899</v>
      </c>
      <c r="G9" s="221" t="s">
        <v>907</v>
      </c>
      <c r="H9" s="221" t="s">
        <v>914</v>
      </c>
      <c r="I9" s="224" t="s">
        <v>920</v>
      </c>
      <c r="J9" s="223" t="s">
        <v>354</v>
      </c>
      <c r="K9" s="70"/>
      <c r="L9" s="70"/>
      <c r="M9" s="70"/>
      <c r="N9" s="70"/>
      <c r="O9" s="70"/>
      <c r="P9" s="70"/>
      <c r="Q9" s="70"/>
      <c r="R9" s="70"/>
      <c r="S9" s="70"/>
    </row>
    <row r="10" spans="2:26" ht="39.950000000000003" customHeight="1" thickBot="1" x14ac:dyDescent="0.3">
      <c r="E10" s="69"/>
      <c r="F10" s="225" t="s">
        <v>900</v>
      </c>
      <c r="G10" s="221" t="s">
        <v>908</v>
      </c>
      <c r="H10" s="221" t="s">
        <v>915</v>
      </c>
      <c r="I10" s="221" t="s">
        <v>921</v>
      </c>
      <c r="J10" s="224" t="s">
        <v>926</v>
      </c>
      <c r="K10" s="223" t="s">
        <v>360</v>
      </c>
      <c r="L10" s="70"/>
      <c r="M10" s="70"/>
      <c r="N10" s="70"/>
      <c r="O10" s="70"/>
      <c r="P10" s="70"/>
      <c r="Q10" s="70"/>
      <c r="R10" s="70"/>
      <c r="S10" s="70"/>
    </row>
    <row r="11" spans="2:26" ht="39.950000000000003" customHeight="1" thickBot="1" x14ac:dyDescent="0.3">
      <c r="E11" s="69"/>
      <c r="F11" s="225" t="s">
        <v>901</v>
      </c>
      <c r="G11" s="221" t="s">
        <v>909</v>
      </c>
      <c r="H11" s="221" t="s">
        <v>916</v>
      </c>
      <c r="I11" s="221" t="s">
        <v>922</v>
      </c>
      <c r="J11" s="221" t="s">
        <v>927</v>
      </c>
      <c r="K11" s="224" t="s">
        <v>931</v>
      </c>
      <c r="L11" s="223" t="s">
        <v>352</v>
      </c>
      <c r="M11" s="70"/>
      <c r="N11" s="70"/>
      <c r="O11" s="70"/>
      <c r="P11" s="70"/>
      <c r="Q11" s="70"/>
      <c r="R11" s="70"/>
      <c r="S11" s="70"/>
    </row>
    <row r="12" spans="2:26" ht="39.950000000000003" customHeight="1" thickBot="1" x14ac:dyDescent="0.3">
      <c r="E12" s="69"/>
      <c r="F12" s="225" t="s">
        <v>902</v>
      </c>
      <c r="G12" s="221" t="s">
        <v>910</v>
      </c>
      <c r="H12" s="221" t="s">
        <v>917</v>
      </c>
      <c r="I12" s="221" t="s">
        <v>923</v>
      </c>
      <c r="J12" s="221" t="s">
        <v>928</v>
      </c>
      <c r="K12" s="221" t="s">
        <v>932</v>
      </c>
      <c r="L12" s="224" t="s">
        <v>935</v>
      </c>
      <c r="M12" s="223" t="s">
        <v>355</v>
      </c>
      <c r="N12" s="70"/>
      <c r="O12" s="70"/>
      <c r="P12" s="70"/>
      <c r="Q12" s="70"/>
      <c r="R12" s="70"/>
      <c r="S12" s="70"/>
    </row>
    <row r="13" spans="2:26" ht="39.950000000000003" customHeight="1" thickBot="1" x14ac:dyDescent="0.3">
      <c r="E13" s="69"/>
      <c r="F13" s="225" t="s">
        <v>903</v>
      </c>
      <c r="G13" s="221" t="s">
        <v>911</v>
      </c>
      <c r="H13" s="221" t="s">
        <v>918</v>
      </c>
      <c r="I13" s="221" t="s">
        <v>924</v>
      </c>
      <c r="J13" s="221" t="s">
        <v>929</v>
      </c>
      <c r="K13" s="221" t="s">
        <v>933</v>
      </c>
      <c r="L13" s="221" t="s">
        <v>936</v>
      </c>
      <c r="M13" s="224" t="s">
        <v>938</v>
      </c>
      <c r="N13" s="223" t="s">
        <v>351</v>
      </c>
      <c r="O13" s="70"/>
      <c r="P13" s="70"/>
      <c r="Q13" s="70"/>
      <c r="R13" s="70"/>
      <c r="S13" s="70"/>
    </row>
    <row r="14" spans="2:26" ht="39.950000000000003" customHeight="1" thickBot="1" x14ac:dyDescent="0.3">
      <c r="E14" s="69"/>
      <c r="F14" s="226" t="s">
        <v>904</v>
      </c>
      <c r="G14" s="222" t="s">
        <v>912</v>
      </c>
      <c r="H14" s="222" t="s">
        <v>919</v>
      </c>
      <c r="I14" s="222" t="s">
        <v>925</v>
      </c>
      <c r="J14" s="222" t="s">
        <v>930</v>
      </c>
      <c r="K14" s="222" t="s">
        <v>934</v>
      </c>
      <c r="L14" s="222" t="s">
        <v>937</v>
      </c>
      <c r="M14" s="222" t="s">
        <v>939</v>
      </c>
      <c r="N14" s="228" t="s">
        <v>940</v>
      </c>
      <c r="O14" s="223" t="s">
        <v>359</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tabSelected="1" workbookViewId="0">
      <selection activeCell="V19" sqref="V19"/>
    </sheetView>
  </sheetViews>
  <sheetFormatPr defaultRowHeight="15" x14ac:dyDescent="0.25"/>
  <cols>
    <col min="2" max="2" width="11.85546875" customWidth="1"/>
    <col min="3" max="3" width="33" customWidth="1"/>
    <col min="13" max="27" width="9.140625" customWidth="1"/>
  </cols>
  <sheetData>
    <row r="2" spans="2:30" hidden="1" x14ac:dyDescent="0.25">
      <c r="B2" t="s">
        <v>890</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357</v>
      </c>
      <c r="D15" s="107">
        <v>0.8095</v>
      </c>
    </row>
    <row r="16" spans="2:30" x14ac:dyDescent="0.25">
      <c r="C16" s="108" t="s">
        <v>356</v>
      </c>
      <c r="D16" s="109">
        <v>0.73839999999999995</v>
      </c>
    </row>
    <row r="17" spans="2:5" x14ac:dyDescent="0.25">
      <c r="C17" s="108" t="s">
        <v>353</v>
      </c>
      <c r="D17" s="109">
        <v>0.70150000000000001</v>
      </c>
    </row>
    <row r="18" spans="2:5" x14ac:dyDescent="0.25">
      <c r="C18" s="108" t="s">
        <v>358</v>
      </c>
      <c r="D18" s="109">
        <v>0.64610000000000001</v>
      </c>
    </row>
    <row r="19" spans="2:5" x14ac:dyDescent="0.25">
      <c r="C19" s="108" t="s">
        <v>354</v>
      </c>
      <c r="D19" s="109">
        <v>0.61980000000000002</v>
      </c>
    </row>
    <row r="20" spans="2:5" x14ac:dyDescent="0.25">
      <c r="C20" s="108" t="s">
        <v>360</v>
      </c>
      <c r="D20" s="109">
        <v>0.496</v>
      </c>
    </row>
    <row r="21" spans="2:5" x14ac:dyDescent="0.25">
      <c r="C21" s="108" t="s">
        <v>352</v>
      </c>
      <c r="D21" s="109">
        <v>0.41970000000000002</v>
      </c>
    </row>
    <row r="22" spans="2:5" x14ac:dyDescent="0.25">
      <c r="C22" s="108" t="s">
        <v>355</v>
      </c>
      <c r="D22" s="109">
        <v>0.30209999999999998</v>
      </c>
    </row>
    <row r="23" spans="2:5" x14ac:dyDescent="0.25">
      <c r="C23" s="108" t="s">
        <v>351</v>
      </c>
      <c r="D23" s="109">
        <v>0.20860000000000001</v>
      </c>
    </row>
    <row r="24" spans="2:5" x14ac:dyDescent="0.25">
      <c r="C24" s="108" t="s">
        <v>359</v>
      </c>
      <c r="D24" s="109">
        <v>5.8250000000000003E-2</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1</v>
      </c>
      <c r="Z5" t="str">
        <f>R5</f>
        <v>Study Name</v>
      </c>
      <c r="AB5" s="262"/>
      <c r="AC5" s="262"/>
      <c r="AD5" s="262"/>
      <c r="AE5" s="262"/>
      <c r="AH5" s="19"/>
      <c r="AI5" s="19"/>
    </row>
    <row r="6" spans="1:35" x14ac:dyDescent="0.25">
      <c r="A6">
        <v>0</v>
      </c>
      <c r="B6">
        <v>0</v>
      </c>
      <c r="D6" s="26"/>
      <c r="E6" s="31"/>
      <c r="F6" s="31"/>
      <c r="G6" s="31"/>
      <c r="H6" s="1" t="str">
        <f>IF(D6="","",G6-E6)</f>
        <v/>
      </c>
      <c r="I6" s="26" t="s">
        <v>491</v>
      </c>
      <c r="J6" s="31">
        <v>0.60899999999999999</v>
      </c>
      <c r="K6" s="31" t="s">
        <v>491</v>
      </c>
      <c r="L6" s="31">
        <v>0.58530000000000004</v>
      </c>
      <c r="M6" s="1">
        <f>IF(I6="","",L6-J6)</f>
        <v>-2.3699999999999943E-2</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492</v>
      </c>
      <c r="J7" s="31">
        <v>0.85980000000000001</v>
      </c>
      <c r="K7" s="31" t="s">
        <v>492</v>
      </c>
      <c r="L7" s="31">
        <v>0.78649999999999998</v>
      </c>
      <c r="M7" s="1">
        <f t="shared" ref="M7:M70" si="5">IF(I7="","",L7-J7)</f>
        <v>-7.3300000000000032E-2</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493</v>
      </c>
      <c r="J8" s="31">
        <v>0.95830000000000004</v>
      </c>
      <c r="K8" s="31" t="s">
        <v>493</v>
      </c>
      <c r="L8" s="31">
        <v>0.76490000000000002</v>
      </c>
      <c r="M8" s="1">
        <f t="shared" si="5"/>
        <v>-0.19340000000000002</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494</v>
      </c>
      <c r="J9" s="31">
        <v>1.1180000000000001</v>
      </c>
      <c r="K9" s="31" t="s">
        <v>494</v>
      </c>
      <c r="L9" s="31">
        <v>0.80730000000000002</v>
      </c>
      <c r="M9" s="1">
        <f t="shared" si="5"/>
        <v>-0.31070000000000009</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495</v>
      </c>
      <c r="J10" s="31">
        <v>1.0429999999999999</v>
      </c>
      <c r="K10" s="31" t="s">
        <v>495</v>
      </c>
      <c r="L10" s="31">
        <v>0.81110000000000004</v>
      </c>
      <c r="M10" s="1">
        <f t="shared" si="5"/>
        <v>-0.23189999999999988</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496</v>
      </c>
      <c r="J11" s="31">
        <v>1.113</v>
      </c>
      <c r="K11" s="31" t="s">
        <v>496</v>
      </c>
      <c r="L11" s="31">
        <v>0.5948</v>
      </c>
      <c r="M11" s="1">
        <f t="shared" si="5"/>
        <v>-0.51819999999999999</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497</v>
      </c>
      <c r="J12" s="31">
        <v>0.64590000000000003</v>
      </c>
      <c r="K12" s="31" t="s">
        <v>497</v>
      </c>
      <c r="L12" s="31">
        <v>0.61499999999999999</v>
      </c>
      <c r="M12" s="1">
        <f t="shared" si="5"/>
        <v>-3.0900000000000039E-2</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498</v>
      </c>
      <c r="J13" s="31">
        <v>0.85560000000000003</v>
      </c>
      <c r="K13" s="31" t="s">
        <v>498</v>
      </c>
      <c r="L13" s="31">
        <v>0.82499999999999996</v>
      </c>
      <c r="M13" s="1">
        <f t="shared" si="5"/>
        <v>-3.0600000000000072E-2</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499</v>
      </c>
      <c r="J14" s="31">
        <v>0.85529999999999995</v>
      </c>
      <c r="K14" s="31" t="s">
        <v>499</v>
      </c>
      <c r="L14" s="31">
        <v>0.69120000000000004</v>
      </c>
      <c r="M14" s="1">
        <f t="shared" si="5"/>
        <v>-0.16409999999999991</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500</v>
      </c>
      <c r="J15" s="31">
        <v>0.6532</v>
      </c>
      <c r="K15" s="31" t="s">
        <v>500</v>
      </c>
      <c r="L15" s="31">
        <v>0.52969999999999995</v>
      </c>
      <c r="M15" s="1">
        <f t="shared" si="5"/>
        <v>-0.12350000000000005</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501</v>
      </c>
      <c r="J16" s="31">
        <v>0.84970000000000001</v>
      </c>
      <c r="K16" s="31" t="s">
        <v>501</v>
      </c>
      <c r="L16" s="31">
        <v>0.69099999999999995</v>
      </c>
      <c r="M16" s="1">
        <f t="shared" si="5"/>
        <v>-0.15870000000000006</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502</v>
      </c>
      <c r="J17" s="31">
        <v>0.65090000000000003</v>
      </c>
      <c r="K17" s="31" t="s">
        <v>502</v>
      </c>
      <c r="L17" s="31">
        <v>0.53490000000000004</v>
      </c>
      <c r="M17" s="1">
        <f t="shared" si="5"/>
        <v>-0.11599999999999999</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503</v>
      </c>
      <c r="J18" s="31">
        <v>0.87519999999999998</v>
      </c>
      <c r="K18" s="31" t="s">
        <v>503</v>
      </c>
      <c r="L18" s="31">
        <v>0.64739999999999998</v>
      </c>
      <c r="M18" s="1">
        <f t="shared" si="5"/>
        <v>-0.2278</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504</v>
      </c>
      <c r="J19" s="31">
        <v>0.68859999999999999</v>
      </c>
      <c r="K19" s="31" t="s">
        <v>504</v>
      </c>
      <c r="L19" s="31">
        <v>0.60709999999999997</v>
      </c>
      <c r="M19" s="1">
        <f t="shared" si="5"/>
        <v>-8.1500000000000017E-2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505</v>
      </c>
      <c r="J20" s="31">
        <v>0.79490000000000005</v>
      </c>
      <c r="K20" s="31" t="s">
        <v>505</v>
      </c>
      <c r="L20" s="31">
        <v>0.92100000000000004</v>
      </c>
      <c r="M20" s="1">
        <f t="shared" si="5"/>
        <v>0.12609999999999999</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506</v>
      </c>
      <c r="J21" s="31">
        <v>1.0229999999999999</v>
      </c>
      <c r="K21" s="31" t="s">
        <v>506</v>
      </c>
      <c r="L21" s="31">
        <v>1.2130000000000001</v>
      </c>
      <c r="M21" s="1">
        <f t="shared" si="5"/>
        <v>0.19000000000000017</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507</v>
      </c>
      <c r="J22" s="31">
        <v>0.82</v>
      </c>
      <c r="K22" s="31" t="s">
        <v>507</v>
      </c>
      <c r="L22" s="31">
        <v>0.6532</v>
      </c>
      <c r="M22" s="1">
        <f t="shared" si="5"/>
        <v>-0.16679999999999995</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508</v>
      </c>
      <c r="J23" s="31">
        <v>0.84409999999999996</v>
      </c>
      <c r="K23" s="31" t="s">
        <v>508</v>
      </c>
      <c r="L23" s="31">
        <v>0.68140000000000001</v>
      </c>
      <c r="M23" s="1">
        <f t="shared" si="5"/>
        <v>-0.16269999999999996</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509</v>
      </c>
      <c r="J24" s="31">
        <v>1.167</v>
      </c>
      <c r="K24" s="31" t="s">
        <v>509</v>
      </c>
      <c r="L24" s="31">
        <v>1.4059999999999999</v>
      </c>
      <c r="M24" s="1">
        <f t="shared" si="5"/>
        <v>0.23899999999999988</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510</v>
      </c>
      <c r="J25" s="31">
        <v>2.4379999999999999E-2</v>
      </c>
      <c r="K25" s="31" t="s">
        <v>510</v>
      </c>
      <c r="L25" s="31">
        <v>0.75270000000000004</v>
      </c>
      <c r="M25" s="1">
        <f t="shared" si="5"/>
        <v>0.72832000000000008</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511</v>
      </c>
      <c r="J26" s="39">
        <v>2.3290000000000002</v>
      </c>
      <c r="K26" s="39" t="s">
        <v>511</v>
      </c>
      <c r="L26" s="39">
        <v>2.5529999999999999</v>
      </c>
      <c r="M26" s="52">
        <f t="shared" si="5"/>
        <v>0.22399999999999975</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512</v>
      </c>
      <c r="J27" s="39">
        <v>2.4159999999999999</v>
      </c>
      <c r="K27" s="39" t="s">
        <v>512</v>
      </c>
      <c r="L27" s="39">
        <v>2.5840000000000001</v>
      </c>
      <c r="M27" s="52">
        <f t="shared" si="5"/>
        <v>0.16800000000000015</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513</v>
      </c>
      <c r="J28" s="39">
        <v>1.002</v>
      </c>
      <c r="K28" s="39" t="s">
        <v>513</v>
      </c>
      <c r="L28" s="39">
        <v>1</v>
      </c>
      <c r="M28" s="52">
        <f t="shared" si="5"/>
        <v>-2.0000000000000018E-3</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514</v>
      </c>
      <c r="J29" s="39">
        <v>1.0169999999999999</v>
      </c>
      <c r="K29" s="39" t="s">
        <v>514</v>
      </c>
      <c r="L29" s="39">
        <v>1.0680000000000001</v>
      </c>
      <c r="M29" s="52">
        <f t="shared" si="5"/>
        <v>5.1000000000000156E-2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515</v>
      </c>
      <c r="J30" s="39">
        <v>1.1020000000000001</v>
      </c>
      <c r="K30" s="39" t="s">
        <v>515</v>
      </c>
      <c r="L30" s="39">
        <v>1.042</v>
      </c>
      <c r="M30" s="52">
        <f t="shared" si="5"/>
        <v>-6.0000000000000053E-2</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516</v>
      </c>
      <c r="J31" s="39">
        <v>1.048</v>
      </c>
      <c r="K31" s="39" t="s">
        <v>516</v>
      </c>
      <c r="L31" s="39">
        <v>1.0189999999999999</v>
      </c>
      <c r="M31" s="52">
        <f t="shared" si="5"/>
        <v>-2.9000000000000137E-2</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517</v>
      </c>
      <c r="J32" s="39">
        <v>1.1479999999999999</v>
      </c>
      <c r="K32" s="39" t="s">
        <v>517</v>
      </c>
      <c r="L32" s="39">
        <v>1.4239999999999999</v>
      </c>
      <c r="M32" s="52">
        <f t="shared" si="5"/>
        <v>0.27600000000000002</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518</v>
      </c>
      <c r="J33" s="39">
        <v>1.2230000000000001</v>
      </c>
      <c r="K33" s="39" t="s">
        <v>518</v>
      </c>
      <c r="L33" s="39">
        <v>1.256</v>
      </c>
      <c r="M33" s="52">
        <f t="shared" si="5"/>
        <v>3.2999999999999918E-2</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519</v>
      </c>
      <c r="J34" s="39">
        <v>1.206</v>
      </c>
      <c r="K34" s="39" t="s">
        <v>519</v>
      </c>
      <c r="L34" s="39">
        <v>1.4430000000000001</v>
      </c>
      <c r="M34" s="52">
        <f t="shared" si="5"/>
        <v>0.2370000000000001</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520</v>
      </c>
      <c r="J35" s="39">
        <v>1.0289999999999999</v>
      </c>
      <c r="K35" s="39" t="s">
        <v>520</v>
      </c>
      <c r="L35" s="39">
        <v>1.2010000000000001</v>
      </c>
      <c r="M35" s="52">
        <f t="shared" si="5"/>
        <v>0.17200000000000015</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521</v>
      </c>
      <c r="J36" s="39">
        <v>0.7147</v>
      </c>
      <c r="K36" s="39" t="s">
        <v>521</v>
      </c>
      <c r="L36" s="39">
        <v>0.64770000000000005</v>
      </c>
      <c r="M36" s="52">
        <f t="shared" si="5"/>
        <v>-6.6999999999999948E-2</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522</v>
      </c>
      <c r="J37" s="39">
        <v>0.77590000000000003</v>
      </c>
      <c r="K37" s="39" t="s">
        <v>522</v>
      </c>
      <c r="L37" s="39">
        <v>0.7238</v>
      </c>
      <c r="M37" s="52">
        <f t="shared" si="5"/>
        <v>-5.2100000000000035E-2</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523</v>
      </c>
      <c r="J38" s="39">
        <v>0.61060000000000003</v>
      </c>
      <c r="K38" s="39" t="s">
        <v>523</v>
      </c>
      <c r="L38" s="39">
        <v>0.59419999999999995</v>
      </c>
      <c r="M38" s="52">
        <f t="shared" si="5"/>
        <v>-1.6400000000000081E-2</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524</v>
      </c>
      <c r="J39" s="39">
        <v>0.63380000000000003</v>
      </c>
      <c r="K39" s="39" t="s">
        <v>524</v>
      </c>
      <c r="L39" s="39">
        <v>0.62390000000000001</v>
      </c>
      <c r="M39" s="52">
        <f t="shared" si="5"/>
        <v>-9.9000000000000199E-3</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525</v>
      </c>
      <c r="J40" s="39">
        <v>1.0549999999999999</v>
      </c>
      <c r="K40" s="39" t="s">
        <v>525</v>
      </c>
      <c r="L40" s="39">
        <v>1.0089999999999999</v>
      </c>
      <c r="M40" s="52">
        <f t="shared" si="5"/>
        <v>-4.6000000000000041E-2</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526</v>
      </c>
      <c r="J41" s="39">
        <v>1.0820000000000001</v>
      </c>
      <c r="K41" s="39" t="s">
        <v>526</v>
      </c>
      <c r="L41" s="39">
        <v>1.0609999999999999</v>
      </c>
      <c r="M41" s="52">
        <f t="shared" si="5"/>
        <v>-2.100000000000013E-2</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527</v>
      </c>
      <c r="J42" s="39">
        <v>1.25</v>
      </c>
      <c r="K42" s="39" t="s">
        <v>527</v>
      </c>
      <c r="L42" s="39">
        <v>1.139</v>
      </c>
      <c r="M42" s="52">
        <f t="shared" si="5"/>
        <v>-0.11099999999999999</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528</v>
      </c>
      <c r="J43" s="39">
        <v>1.4179999999999999</v>
      </c>
      <c r="K43" s="39" t="s">
        <v>528</v>
      </c>
      <c r="L43" s="39">
        <v>1.3220000000000001</v>
      </c>
      <c r="M43" s="52">
        <f t="shared" si="5"/>
        <v>-9.5999999999999863E-2</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529</v>
      </c>
      <c r="J44" s="39">
        <v>1.161</v>
      </c>
      <c r="K44" s="39" t="s">
        <v>529</v>
      </c>
      <c r="L44" s="39">
        <v>1.2749999999999999</v>
      </c>
      <c r="M44" s="52">
        <f t="shared" si="5"/>
        <v>0.11399999999999988</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530</v>
      </c>
      <c r="J45" s="39">
        <v>1.9210000000000001E-2</v>
      </c>
      <c r="K45" s="39" t="s">
        <v>530</v>
      </c>
      <c r="L45" s="39">
        <v>0.57050000000000001</v>
      </c>
      <c r="M45" s="52">
        <f t="shared" si="5"/>
        <v>0.55129000000000006</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531</v>
      </c>
      <c r="J46" s="39">
        <v>0.64810000000000001</v>
      </c>
      <c r="K46" s="39" t="s">
        <v>531</v>
      </c>
      <c r="L46" s="39">
        <v>0.61770000000000003</v>
      </c>
      <c r="M46" s="52">
        <f t="shared" si="5"/>
        <v>-3.0399999999999983E-2</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532</v>
      </c>
      <c r="J47" s="39">
        <v>0.84819999999999995</v>
      </c>
      <c r="K47" s="39" t="s">
        <v>532</v>
      </c>
      <c r="L47" s="39">
        <v>0.82420000000000004</v>
      </c>
      <c r="M47" s="52">
        <f t="shared" si="5"/>
        <v>-2.399999999999991E-2</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533</v>
      </c>
      <c r="J48" s="39">
        <v>1.9570000000000001</v>
      </c>
      <c r="K48" s="39" t="s">
        <v>533</v>
      </c>
      <c r="L48" s="39">
        <v>1.6719999999999999</v>
      </c>
      <c r="M48" s="52">
        <f t="shared" si="5"/>
        <v>-0.28500000000000014</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534</v>
      </c>
      <c r="J49" s="39">
        <v>2.4569999999999999</v>
      </c>
      <c r="K49" s="39" t="s">
        <v>534</v>
      </c>
      <c r="L49" s="39">
        <v>2.2450000000000001</v>
      </c>
      <c r="M49" s="52">
        <f t="shared" si="5"/>
        <v>-0.21199999999999974</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535</v>
      </c>
      <c r="J50" s="39">
        <v>0.59519999999999995</v>
      </c>
      <c r="K50" s="39" t="s">
        <v>535</v>
      </c>
      <c r="L50" s="39">
        <v>0.5948</v>
      </c>
      <c r="M50" s="52">
        <f t="shared" si="5"/>
        <v>-3.9999999999995595E-4</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536</v>
      </c>
      <c r="J51" s="39">
        <v>0.61899999999999999</v>
      </c>
      <c r="K51" s="39" t="s">
        <v>536</v>
      </c>
      <c r="L51" s="39">
        <v>0.62129999999999996</v>
      </c>
      <c r="M51" s="52">
        <f t="shared" si="5"/>
        <v>2.2999999999999687E-3</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537</v>
      </c>
      <c r="J52" s="39">
        <v>2.036</v>
      </c>
      <c r="K52" s="39" t="s">
        <v>537</v>
      </c>
      <c r="L52" s="39">
        <v>2.282</v>
      </c>
      <c r="M52" s="52">
        <f t="shared" si="5"/>
        <v>0.246</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538</v>
      </c>
      <c r="J53" s="39">
        <v>1.6850000000000001</v>
      </c>
      <c r="K53" s="39" t="s">
        <v>538</v>
      </c>
      <c r="L53" s="39">
        <v>1.8919999999999999</v>
      </c>
      <c r="M53" s="52">
        <f t="shared" si="5"/>
        <v>0.20699999999999985</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539</v>
      </c>
      <c r="J54" s="39">
        <v>1.504</v>
      </c>
      <c r="K54" s="39" t="s">
        <v>539</v>
      </c>
      <c r="L54" s="39">
        <v>1.4630000000000001</v>
      </c>
      <c r="M54" s="52">
        <f t="shared" si="5"/>
        <v>-4.0999999999999925E-2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540</v>
      </c>
      <c r="J55" s="39">
        <v>0.94469999999999998</v>
      </c>
      <c r="K55" s="39" t="s">
        <v>540</v>
      </c>
      <c r="L55" s="39">
        <v>0.91439999999999999</v>
      </c>
      <c r="M55" s="52">
        <f t="shared" si="5"/>
        <v>-3.0299999999999994E-2</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541</v>
      </c>
      <c r="J56" s="39">
        <v>0.57909999999999995</v>
      </c>
      <c r="K56" s="39" t="s">
        <v>541</v>
      </c>
      <c r="L56" s="39">
        <v>0.57340000000000002</v>
      </c>
      <c r="M56" s="52">
        <f t="shared" si="5"/>
        <v>-5.6999999999999273E-3</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542</v>
      </c>
      <c r="J57" s="39">
        <v>0.65549999999999997</v>
      </c>
      <c r="K57" s="39" t="s">
        <v>542</v>
      </c>
      <c r="L57" s="39">
        <v>0.64859999999999995</v>
      </c>
      <c r="M57" s="52">
        <f t="shared" si="5"/>
        <v>-6.9000000000000172E-3</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543</v>
      </c>
      <c r="J58" s="39">
        <v>1.153</v>
      </c>
      <c r="K58" s="39" t="s">
        <v>543</v>
      </c>
      <c r="L58" s="39">
        <v>0.87490000000000001</v>
      </c>
      <c r="M58" s="52">
        <f t="shared" si="5"/>
        <v>-0.27810000000000001</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544</v>
      </c>
      <c r="J59" s="39">
        <v>0.75729999999999997</v>
      </c>
      <c r="K59" s="39" t="s">
        <v>544</v>
      </c>
      <c r="L59" s="39">
        <v>0.70669999999999999</v>
      </c>
      <c r="M59" s="52">
        <f t="shared" si="5"/>
        <v>-5.0599999999999978E-2</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545</v>
      </c>
      <c r="J60" s="39">
        <v>1.026</v>
      </c>
      <c r="K60" s="39" t="s">
        <v>545</v>
      </c>
      <c r="L60" s="39">
        <v>1.0369999999999999</v>
      </c>
      <c r="M60" s="52">
        <f t="shared" si="5"/>
        <v>1.0999999999999899E-2</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546</v>
      </c>
      <c r="J61" s="39">
        <v>1.018</v>
      </c>
      <c r="K61" s="39" t="s">
        <v>546</v>
      </c>
      <c r="L61" s="39">
        <v>1.0589999999999999</v>
      </c>
      <c r="M61" s="52">
        <f t="shared" si="5"/>
        <v>4.0999999999999925E-2</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t="s">
        <v>547</v>
      </c>
      <c r="J62" s="39">
        <v>0.59799999999999998</v>
      </c>
      <c r="K62" s="39" t="s">
        <v>547</v>
      </c>
      <c r="L62" s="39">
        <v>0.54820000000000002</v>
      </c>
      <c r="M62" s="52">
        <f t="shared" si="5"/>
        <v>-4.9799999999999955E-2</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t="s">
        <v>548</v>
      </c>
      <c r="J63" s="39">
        <v>0.80049999999999999</v>
      </c>
      <c r="K63" s="39" t="s">
        <v>548</v>
      </c>
      <c r="L63" s="39">
        <v>0.74319999999999997</v>
      </c>
      <c r="M63" s="52">
        <f t="shared" si="5"/>
        <v>-5.7300000000000018E-2</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t="s">
        <v>549</v>
      </c>
      <c r="J64" s="39">
        <v>0.69510000000000005</v>
      </c>
      <c r="K64" s="39" t="s">
        <v>549</v>
      </c>
      <c r="L64" s="39">
        <v>0.82620000000000005</v>
      </c>
      <c r="M64" s="52">
        <f t="shared" si="5"/>
        <v>0.13109999999999999</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t="s">
        <v>550</v>
      </c>
      <c r="J65" s="39">
        <v>1.38</v>
      </c>
      <c r="K65" s="39" t="s">
        <v>550</v>
      </c>
      <c r="L65" s="39">
        <v>1.4139999999999999</v>
      </c>
      <c r="M65" s="52">
        <f t="shared" si="5"/>
        <v>3.400000000000003E-2</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t="s">
        <v>551</v>
      </c>
      <c r="J66" s="39">
        <v>1.087</v>
      </c>
      <c r="K66" s="39" t="s">
        <v>551</v>
      </c>
      <c r="L66" s="39">
        <v>1.165</v>
      </c>
      <c r="M66" s="52">
        <f t="shared" si="5"/>
        <v>7.8000000000000069E-2</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t="s">
        <v>552</v>
      </c>
      <c r="J67" s="39">
        <v>0.77439999999999998</v>
      </c>
      <c r="K67" s="39" t="s">
        <v>552</v>
      </c>
      <c r="L67" s="39">
        <v>0.87109999999999999</v>
      </c>
      <c r="M67" s="52">
        <f t="shared" si="5"/>
        <v>9.6700000000000008E-2</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t="s">
        <v>553</v>
      </c>
      <c r="J68" s="39">
        <v>0.77249999999999996</v>
      </c>
      <c r="K68" s="39" t="s">
        <v>553</v>
      </c>
      <c r="L68" s="39">
        <v>0.82479999999999998</v>
      </c>
      <c r="M68" s="52">
        <f t="shared" si="5"/>
        <v>5.2300000000000013E-2</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t="s">
        <v>554</v>
      </c>
      <c r="J69" s="39">
        <v>0.69440000000000002</v>
      </c>
      <c r="K69" s="39" t="s">
        <v>554</v>
      </c>
      <c r="L69" s="39">
        <v>0.72899999999999998</v>
      </c>
      <c r="M69" s="52">
        <f t="shared" si="5"/>
        <v>3.4599999999999964E-2</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t="s">
        <v>555</v>
      </c>
      <c r="J70" s="39">
        <v>0.72150000000000003</v>
      </c>
      <c r="K70" s="39" t="s">
        <v>555</v>
      </c>
      <c r="L70" s="39">
        <v>0.70540000000000003</v>
      </c>
      <c r="M70" s="52">
        <f t="shared" si="5"/>
        <v>-1.6100000000000003E-2</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t="s">
        <v>556</v>
      </c>
      <c r="J71" s="39">
        <v>0.7117</v>
      </c>
      <c r="K71" s="39" t="s">
        <v>556</v>
      </c>
      <c r="L71" s="39">
        <v>0.69630000000000003</v>
      </c>
      <c r="M71" s="52">
        <f t="shared" ref="M71:M105" si="12">IF(I71="","",L71-J71)</f>
        <v>-1.5399999999999969E-2</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t="s">
        <v>557</v>
      </c>
      <c r="J72" s="39">
        <v>0.7077</v>
      </c>
      <c r="K72" s="39" t="s">
        <v>557</v>
      </c>
      <c r="L72" s="39">
        <v>0.6694</v>
      </c>
      <c r="M72" s="52">
        <f t="shared" si="12"/>
        <v>-3.8300000000000001E-2</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t="s">
        <v>558</v>
      </c>
      <c r="J73" s="39">
        <v>0.53520000000000001</v>
      </c>
      <c r="K73" s="39" t="s">
        <v>558</v>
      </c>
      <c r="L73" s="39">
        <v>0.50290000000000001</v>
      </c>
      <c r="M73" s="52">
        <f t="shared" si="12"/>
        <v>-3.2299999999999995E-2</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t="s">
        <v>559</v>
      </c>
      <c r="J74" s="39">
        <v>0.87219999999999998</v>
      </c>
      <c r="K74" s="39" t="s">
        <v>559</v>
      </c>
      <c r="L74" s="39">
        <v>0.80820000000000003</v>
      </c>
      <c r="M74" s="52">
        <f t="shared" si="12"/>
        <v>-6.3999999999999946E-2</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t="s">
        <v>560</v>
      </c>
      <c r="J75" s="39">
        <v>0.54979999999999996</v>
      </c>
      <c r="K75" s="39" t="s">
        <v>560</v>
      </c>
      <c r="L75" s="39">
        <v>0.48280000000000001</v>
      </c>
      <c r="M75" s="52">
        <f t="shared" si="12"/>
        <v>-6.6999999999999948E-2</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t="s">
        <v>561</v>
      </c>
      <c r="J76" s="39">
        <v>1.5349999999999999</v>
      </c>
      <c r="K76" s="39" t="s">
        <v>561</v>
      </c>
      <c r="L76" s="39">
        <v>1.3620000000000001</v>
      </c>
      <c r="M76" s="52">
        <f t="shared" si="12"/>
        <v>-0.17299999999999982</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t="s">
        <v>562</v>
      </c>
      <c r="J77" s="39">
        <v>1.544</v>
      </c>
      <c r="K77" s="39" t="s">
        <v>562</v>
      </c>
      <c r="L77" s="39">
        <v>1.377</v>
      </c>
      <c r="M77" s="52">
        <f t="shared" si="12"/>
        <v>-0.16700000000000004</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t="s">
        <v>563</v>
      </c>
      <c r="J78" s="39">
        <v>0.97370000000000001</v>
      </c>
      <c r="K78" s="39" t="s">
        <v>563</v>
      </c>
      <c r="L78" s="39">
        <v>0.87539999999999996</v>
      </c>
      <c r="M78" s="52">
        <f t="shared" si="12"/>
        <v>-9.8300000000000054E-2</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t="s">
        <v>564</v>
      </c>
      <c r="J79" s="39">
        <v>0.74060000000000004</v>
      </c>
      <c r="K79" s="39" t="s">
        <v>564</v>
      </c>
      <c r="L79" s="39">
        <v>0.64170000000000005</v>
      </c>
      <c r="M79" s="52">
        <f t="shared" si="12"/>
        <v>-9.8899999999999988E-2</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t="s">
        <v>565</v>
      </c>
      <c r="J80" s="39">
        <v>1.0529999999999999</v>
      </c>
      <c r="K80" s="39" t="s">
        <v>565</v>
      </c>
      <c r="L80" s="39">
        <v>0.4829</v>
      </c>
      <c r="M80" s="52">
        <f t="shared" si="12"/>
        <v>-0.57009999999999994</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t="s">
        <v>566</v>
      </c>
      <c r="J81" s="39">
        <v>0.93400000000000005</v>
      </c>
      <c r="K81" s="39" t="s">
        <v>566</v>
      </c>
      <c r="L81" s="39">
        <v>0.78769999999999996</v>
      </c>
      <c r="M81" s="52">
        <f t="shared" si="12"/>
        <v>-0.1463000000000001</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t="s">
        <v>567</v>
      </c>
      <c r="J82" s="39">
        <v>0.82169999999999999</v>
      </c>
      <c r="K82" s="39" t="s">
        <v>567</v>
      </c>
      <c r="L82" s="39">
        <v>0.69120000000000004</v>
      </c>
      <c r="M82" s="52">
        <f t="shared" si="12"/>
        <v>-0.13049999999999995</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t="s">
        <v>568</v>
      </c>
      <c r="J83" s="39">
        <v>0.67210000000000003</v>
      </c>
      <c r="K83" s="39" t="s">
        <v>568</v>
      </c>
      <c r="L83" s="39">
        <v>0.55089999999999995</v>
      </c>
      <c r="M83" s="52">
        <f t="shared" si="12"/>
        <v>-0.12120000000000009</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t="s">
        <v>569</v>
      </c>
      <c r="J84" s="39">
        <v>0.91800000000000004</v>
      </c>
      <c r="K84" s="39" t="s">
        <v>569</v>
      </c>
      <c r="L84" s="39">
        <v>0.61860000000000004</v>
      </c>
      <c r="M84" s="52">
        <f t="shared" si="12"/>
        <v>-0.2994</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t="s">
        <v>570</v>
      </c>
      <c r="J85" s="39">
        <v>0.91979999999999995</v>
      </c>
      <c r="K85" s="39" t="s">
        <v>570</v>
      </c>
      <c r="L85" s="39">
        <v>0.7984</v>
      </c>
      <c r="M85" s="52">
        <f t="shared" si="12"/>
        <v>-0.12139999999999995</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t="s">
        <v>571</v>
      </c>
      <c r="J86" s="39">
        <v>1.4179999999999999</v>
      </c>
      <c r="K86" s="39" t="s">
        <v>571</v>
      </c>
      <c r="L86" s="39">
        <v>1.3819999999999999</v>
      </c>
      <c r="M86" s="52">
        <f t="shared" si="12"/>
        <v>-3.6000000000000032E-2</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t="s">
        <v>572</v>
      </c>
      <c r="J87" s="39">
        <v>0.83099999999999996</v>
      </c>
      <c r="K87" s="39" t="s">
        <v>572</v>
      </c>
      <c r="L87" s="39">
        <v>0.80110000000000003</v>
      </c>
      <c r="M87" s="52">
        <f t="shared" si="12"/>
        <v>-2.9899999999999927E-2</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t="s">
        <v>573</v>
      </c>
      <c r="J88" s="39">
        <v>0.72640000000000005</v>
      </c>
      <c r="K88" s="39" t="s">
        <v>573</v>
      </c>
      <c r="L88" s="39">
        <v>0.74309999999999998</v>
      </c>
      <c r="M88" s="52">
        <f t="shared" si="12"/>
        <v>1.6699999999999937E-2</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t="s">
        <v>574</v>
      </c>
      <c r="J89" s="39">
        <v>0.79410000000000003</v>
      </c>
      <c r="K89" s="39" t="s">
        <v>574</v>
      </c>
      <c r="L89" s="39">
        <v>0.82730000000000004</v>
      </c>
      <c r="M89" s="52">
        <f t="shared" si="12"/>
        <v>3.3200000000000007E-2</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t="s">
        <v>575</v>
      </c>
      <c r="J90" s="39">
        <v>0.74529999999999996</v>
      </c>
      <c r="K90" s="39" t="s">
        <v>575</v>
      </c>
      <c r="L90" s="39">
        <v>0.71850000000000003</v>
      </c>
      <c r="M90" s="52">
        <f t="shared" si="12"/>
        <v>-2.6799999999999935E-2</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t="s">
        <v>576</v>
      </c>
      <c r="J91" s="39">
        <v>1.018</v>
      </c>
      <c r="K91" s="39" t="s">
        <v>576</v>
      </c>
      <c r="L91" s="39">
        <v>0.8831</v>
      </c>
      <c r="M91" s="52">
        <f t="shared" si="12"/>
        <v>-0.13490000000000002</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t="s">
        <v>577</v>
      </c>
      <c r="J92" s="39">
        <v>0.7944</v>
      </c>
      <c r="K92" s="39" t="s">
        <v>577</v>
      </c>
      <c r="L92" s="39">
        <v>0.8458</v>
      </c>
      <c r="M92" s="52">
        <f t="shared" si="12"/>
        <v>5.1400000000000001E-2</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t="s">
        <v>578</v>
      </c>
      <c r="J93" s="39">
        <v>1.028</v>
      </c>
      <c r="K93" s="39" t="s">
        <v>578</v>
      </c>
      <c r="L93" s="39">
        <v>1.101</v>
      </c>
      <c r="M93" s="52">
        <f t="shared" si="12"/>
        <v>7.2999999999999954E-2</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t="s">
        <v>579</v>
      </c>
      <c r="J94" s="39">
        <v>0.97240000000000004</v>
      </c>
      <c r="K94" s="39" t="s">
        <v>579</v>
      </c>
      <c r="L94" s="39">
        <v>0.9456</v>
      </c>
      <c r="M94" s="52">
        <f t="shared" si="12"/>
        <v>-2.6800000000000046E-2</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t="s">
        <v>580</v>
      </c>
      <c r="J95" s="39">
        <v>0.79990000000000006</v>
      </c>
      <c r="K95" s="39" t="s">
        <v>580</v>
      </c>
      <c r="L95" s="39">
        <v>0.77110000000000001</v>
      </c>
      <c r="M95" s="52">
        <f t="shared" si="12"/>
        <v>-2.8800000000000048E-2</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topLeftCell="A3" workbookViewId="0">
      <selection activeCell="J5" sqref="J5:J49"/>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OR[1,2]</v>
      </c>
      <c r="E5" s="122" t="str">
        <f>IF('Fixed Effects'!O5="","",'Fixed Effects'!O5)</f>
        <v>IBUIV versus INDOIV</v>
      </c>
      <c r="F5" s="123">
        <f>IF('Fixed Effects'!Q5="","",'Fixed Effects'!Q5)</f>
        <v>0.68489999999999995</v>
      </c>
      <c r="G5" s="124" t="e">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#N/A</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0.67390000000000005</v>
      </c>
      <c r="L5" s="124">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0.725278180847441</v>
      </c>
    </row>
    <row r="6" spans="4:22" x14ac:dyDescent="0.25">
      <c r="D6" s="125" t="str">
        <f>IF('Fixed Effects'!N6="","",'Fixed Effects'!N6)</f>
        <v>OR[1,3]</v>
      </c>
      <c r="E6" s="126" t="str">
        <f>IF('Fixed Effects'!O6="","",'Fixed Effects'!O6)</f>
        <v>IBUPO versus INDOIV</v>
      </c>
      <c r="F6" s="127">
        <f>IF('Fixed Effects'!Q6="","",'Fixed Effects'!Q6)</f>
        <v>0.4123</v>
      </c>
      <c r="G6" s="128" t="e">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#N/A</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0.40960000000000002</v>
      </c>
      <c r="L6" s="128">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0.37553635308022137</v>
      </c>
    </row>
    <row r="7" spans="4:22" x14ac:dyDescent="0.25">
      <c r="D7" s="125" t="str">
        <f>IF('Fixed Effects'!N7="","",'Fixed Effects'!N7)</f>
        <v>OR[1,4]</v>
      </c>
      <c r="E7" s="126" t="str">
        <f>IF('Fixed Effects'!O7="","",'Fixed Effects'!O7)</f>
        <v>PARAPO versus INDOIV</v>
      </c>
      <c r="F7" s="127">
        <f>IF('Fixed Effects'!Q7="","",'Fixed Effects'!Q7)</f>
        <v>0.45989999999999998</v>
      </c>
      <c r="G7" s="128" t="e">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#N/A</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0.45979999999999999</v>
      </c>
      <c r="L7" s="128">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0.42720127790071544</v>
      </c>
    </row>
    <row r="8" spans="4:22" x14ac:dyDescent="0.25">
      <c r="D8" s="125" t="str">
        <f>IF('Fixed Effects'!N8="","",'Fixed Effects'!N8)</f>
        <v>OR[1,5]</v>
      </c>
      <c r="E8" s="126" t="str">
        <f>IF('Fixed Effects'!O8="","",'Fixed Effects'!O8)</f>
        <v>IBUIVHIGHDOSE versus INDOIV</v>
      </c>
      <c r="F8" s="127">
        <f>IF('Fixed Effects'!Q8="","",'Fixed Effects'!Q8)</f>
        <v>0.97650000000000003</v>
      </c>
      <c r="G8" s="128" t="e">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#N/A</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0.97130000000000005</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N/A</v>
      </c>
    </row>
    <row r="9" spans="4:22" x14ac:dyDescent="0.25">
      <c r="D9" s="125" t="str">
        <f>IF('Fixed Effects'!N9="","",'Fixed Effects'!N9)</f>
        <v>OR[1,6]</v>
      </c>
      <c r="E9" s="126" t="str">
        <f>IF('Fixed Effects'!O9="","",'Fixed Effects'!O9)</f>
        <v>IBUPOHIGHDOSE versus INDOIV</v>
      </c>
      <c r="F9" s="127">
        <f>IF('Fixed Effects'!Q9="","",'Fixed Effects'!Q9)</f>
        <v>0.30620000000000003</v>
      </c>
      <c r="G9" s="128" t="e">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#N/A</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0.30249999999999999</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N/A</v>
      </c>
    </row>
    <row r="10" spans="4:22" x14ac:dyDescent="0.25">
      <c r="D10" s="125" t="str">
        <f>IF('Fixed Effects'!N10="","",'Fixed Effects'!N10)</f>
        <v>OR[1,7]</v>
      </c>
      <c r="E10" s="126" t="str">
        <f>IF('Fixed Effects'!O10="","",'Fixed Effects'!O10)</f>
        <v>IBUIVCONT versus INDOIV</v>
      </c>
      <c r="F10" s="127">
        <f>IF('Fixed Effects'!Q10="","",'Fixed Effects'!Q10)</f>
        <v>0.25800000000000001</v>
      </c>
      <c r="G10" s="128" t="e">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#N/A</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0.25090000000000001</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N/A</v>
      </c>
      <c r="M10" s="104"/>
    </row>
    <row r="11" spans="4:22" x14ac:dyDescent="0.25">
      <c r="D11" s="125" t="str">
        <f>IF('Fixed Effects'!N11="","",'Fixed Effects'!N11)</f>
        <v>OR[1,8]</v>
      </c>
      <c r="E11" s="126" t="str">
        <f>IF('Fixed Effects'!O11="","",'Fixed Effects'!O11)</f>
        <v>INDOIVCONT versus INDOIV</v>
      </c>
      <c r="F11" s="127">
        <f>IF('Fixed Effects'!Q11="","",'Fixed Effects'!Q11)</f>
        <v>0.44059999999999999</v>
      </c>
      <c r="G11" s="128" t="e">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#N/A</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0.41739999999999999</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N/A</v>
      </c>
      <c r="M11" s="104"/>
    </row>
    <row r="12" spans="4:22" x14ac:dyDescent="0.25">
      <c r="D12" s="125" t="str">
        <f>IF('Fixed Effects'!N12="","",'Fixed Effects'!N12)</f>
        <v>OR[1,9]</v>
      </c>
      <c r="E12" s="126" t="str">
        <f>IF('Fixed Effects'!O12="","",'Fixed Effects'!O12)</f>
        <v>INDOTHERS versus INDOIV</v>
      </c>
      <c r="F12" s="127">
        <f>IF('Fixed Effects'!Q12="","",'Fixed Effects'!Q12)</f>
        <v>1.5249999999999999</v>
      </c>
      <c r="G12" s="128" t="e">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#N/A</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1.542</v>
      </c>
      <c r="L12" s="128">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1.395984638025632</v>
      </c>
    </row>
    <row r="13" spans="4:22" x14ac:dyDescent="0.25">
      <c r="D13" s="125" t="str">
        <f>IF('Fixed Effects'!N13="","",'Fixed Effects'!N13)</f>
        <v>OR[1,10]</v>
      </c>
      <c r="E13" s="126" t="str">
        <f>IF('Fixed Effects'!O13="","",'Fixed Effects'!O13)</f>
        <v>PLAC_NORX versus INDOIV</v>
      </c>
      <c r="F13" s="127">
        <f>IF('Fixed Effects'!Q13="","",'Fixed Effects'!Q13)</f>
        <v>0.6109</v>
      </c>
      <c r="G13" s="128" t="e">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#N/A</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0.60040000000000004</v>
      </c>
      <c r="L13" s="128">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0.70822035346779999</v>
      </c>
    </row>
    <row r="14" spans="4:22" x14ac:dyDescent="0.25">
      <c r="D14" s="125" t="str">
        <f>IF('Fixed Effects'!N14="","",'Fixed Effects'!N14)</f>
        <v>OR[2,3]</v>
      </c>
      <c r="E14" s="126" t="str">
        <f>IF('Fixed Effects'!O14="","",'Fixed Effects'!O14)</f>
        <v>IBUPO versus IBUIV</v>
      </c>
      <c r="F14" s="127">
        <f>IF('Fixed Effects'!Q14="","",'Fixed Effects'!Q14)</f>
        <v>0.60160000000000002</v>
      </c>
      <c r="G14" s="128" t="e">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#N/A</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0.61070000000000002</v>
      </c>
      <c r="L14" s="128">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0.84746986320492268</v>
      </c>
    </row>
    <row r="15" spans="4:22" x14ac:dyDescent="0.25">
      <c r="D15" s="125" t="str">
        <f>IF('Fixed Effects'!N15="","",'Fixed Effects'!N15)</f>
        <v>OR[2,4]</v>
      </c>
      <c r="E15" s="126" t="str">
        <f>IF('Fixed Effects'!O15="","",'Fixed Effects'!O15)</f>
        <v>PARAPO versus IBUIV</v>
      </c>
      <c r="F15" s="127">
        <f>IF('Fixed Effects'!Q15="","",'Fixed Effects'!Q15)</f>
        <v>0.67069999999999996</v>
      </c>
      <c r="G15" s="128" t="e">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#N/A</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0.67620000000000002</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N/A</v>
      </c>
    </row>
    <row r="16" spans="4:22" x14ac:dyDescent="0.25">
      <c r="D16" s="125" t="str">
        <f>IF('Fixed Effects'!N16="","",'Fixed Effects'!N16)</f>
        <v>OR[2,5]</v>
      </c>
      <c r="E16" s="126" t="str">
        <f>IF('Fixed Effects'!O16="","",'Fixed Effects'!O16)</f>
        <v>IBUIVHIGHDOSE versus IBUIV</v>
      </c>
      <c r="F16" s="127">
        <f>IF('Fixed Effects'!Q16="","",'Fixed Effects'!Q16)</f>
        <v>1.421</v>
      </c>
      <c r="G16" s="128" t="e">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#N/A</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1.46</v>
      </c>
      <c r="L16" s="128">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1.4677050641094236</v>
      </c>
    </row>
    <row r="17" spans="4:12" x14ac:dyDescent="0.25">
      <c r="D17" s="125" t="str">
        <f>IF('Fixed Effects'!N17="","",'Fixed Effects'!N17)</f>
        <v>OR[2,6]</v>
      </c>
      <c r="E17" s="126" t="str">
        <f>IF('Fixed Effects'!O17="","",'Fixed Effects'!O17)</f>
        <v>IBUPOHIGHDOSE versus IBUIV</v>
      </c>
      <c r="F17" s="127">
        <f>IF('Fixed Effects'!Q17="","",'Fixed Effects'!Q17)</f>
        <v>0.44819999999999999</v>
      </c>
      <c r="G17" s="128" t="e">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#N/A</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0.44629999999999997</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N/A</v>
      </c>
    </row>
    <row r="18" spans="4:12" x14ac:dyDescent="0.25">
      <c r="D18" s="125" t="str">
        <f>IF('Fixed Effects'!N18="","",'Fixed Effects'!N18)</f>
        <v>OR[2,7]</v>
      </c>
      <c r="E18" s="126" t="str">
        <f>IF('Fixed Effects'!O18="","",'Fixed Effects'!O18)</f>
        <v>IBUIVCONT versus IBUIV</v>
      </c>
      <c r="F18" s="127">
        <f>IF('Fixed Effects'!Q18="","",'Fixed Effects'!Q18)</f>
        <v>0.37740000000000001</v>
      </c>
      <c r="G18" s="128" t="e">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#N/A</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0.37369999999999998</v>
      </c>
      <c r="L18" s="128">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0.36421897957152333</v>
      </c>
    </row>
    <row r="19" spans="4:12" x14ac:dyDescent="0.25">
      <c r="D19" s="125" t="str">
        <f>IF('Fixed Effects'!N19="","",'Fixed Effects'!N19)</f>
        <v>OR[2,8]</v>
      </c>
      <c r="E19" s="126" t="str">
        <f>IF('Fixed Effects'!O19="","",'Fixed Effects'!O19)</f>
        <v>INDOIVCONT versus IBUIV</v>
      </c>
      <c r="F19" s="127">
        <f>IF('Fixed Effects'!Q19="","",'Fixed Effects'!Q19)</f>
        <v>0.64219999999999999</v>
      </c>
      <c r="G19" s="128" t="e">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#N/A</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0.63009999999999999</v>
      </c>
      <c r="L19" s="128">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0.71255370089663173</v>
      </c>
    </row>
    <row r="20" spans="4:12" x14ac:dyDescent="0.25">
      <c r="D20" s="125" t="str">
        <f>IF('Fixed Effects'!N20="","",'Fixed Effects'!N20)</f>
        <v>OR[2,9]</v>
      </c>
      <c r="E20" s="126" t="str">
        <f>IF('Fixed Effects'!O20="","",'Fixed Effects'!O20)</f>
        <v>INDOTHERS versus IBUIV</v>
      </c>
      <c r="F20" s="127">
        <f>IF('Fixed Effects'!Q20="","",'Fixed Effects'!Q20)</f>
        <v>2.2269999999999999</v>
      </c>
      <c r="G20" s="128" t="e">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#N/A</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2.2949999999999999</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N/A</v>
      </c>
    </row>
    <row r="21" spans="4:12" x14ac:dyDescent="0.25">
      <c r="D21" s="125" t="str">
        <f>IF('Fixed Effects'!N21="","",'Fixed Effects'!N21)</f>
        <v>OR[2,10]</v>
      </c>
      <c r="E21" s="126" t="str">
        <f>IF('Fixed Effects'!O21="","",'Fixed Effects'!O21)</f>
        <v>PLAC_NORX versus IBUIV</v>
      </c>
      <c r="F21" s="127">
        <f>IF('Fixed Effects'!Q21="","",'Fixed Effects'!Q21)</f>
        <v>0.89229999999999998</v>
      </c>
      <c r="G21" s="128" t="e">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#N/A</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0.87949999999999995</v>
      </c>
      <c r="L21" s="128">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0.73227437940593476</v>
      </c>
    </row>
    <row r="22" spans="4:12" x14ac:dyDescent="0.25">
      <c r="D22" s="125" t="str">
        <f>IF('Fixed Effects'!N22="","",'Fixed Effects'!N22)</f>
        <v>OR[3,4]</v>
      </c>
      <c r="E22" s="126" t="str">
        <f>IF('Fixed Effects'!O22="","",'Fixed Effects'!O22)</f>
        <v>PARAPO versus IBUPO</v>
      </c>
      <c r="F22" s="127">
        <f>IF('Fixed Effects'!Q22="","",'Fixed Effects'!Q22)</f>
        <v>1.117</v>
      </c>
      <c r="G22" s="128" t="e">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#N/A</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1.1180000000000001</v>
      </c>
      <c r="L22" s="128">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1.1005719508581671</v>
      </c>
    </row>
    <row r="23" spans="4:12" x14ac:dyDescent="0.25">
      <c r="D23" s="125" t="str">
        <f>IF('Fixed Effects'!N23="","",'Fixed Effects'!N23)</f>
        <v>OR[3,5]</v>
      </c>
      <c r="E23" s="126" t="str">
        <f>IF('Fixed Effects'!O23="","",'Fixed Effects'!O23)</f>
        <v>IBUIVHIGHDOSE versus IBUPO</v>
      </c>
      <c r="F23" s="127">
        <f>IF('Fixed Effects'!Q23="","",'Fixed Effects'!Q23)</f>
        <v>2.3759999999999999</v>
      </c>
      <c r="G23" s="128" t="e">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#N/A</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2.3879999999999999</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N/A</v>
      </c>
    </row>
    <row r="24" spans="4:12" x14ac:dyDescent="0.25">
      <c r="D24" s="125" t="str">
        <f>IF('Fixed Effects'!N24="","",'Fixed Effects'!N24)</f>
        <v>OR[3,6]</v>
      </c>
      <c r="E24" s="126" t="str">
        <f>IF('Fixed Effects'!O24="","",'Fixed Effects'!O24)</f>
        <v>IBUPOHIGHDOSE versus IBUPO</v>
      </c>
      <c r="F24" s="127">
        <f>IF('Fixed Effects'!Q24="","",'Fixed Effects'!Q24)</f>
        <v>0.74960000000000004</v>
      </c>
      <c r="G24" s="128" t="e">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#N/A</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0.75090000000000001</v>
      </c>
      <c r="L24" s="128">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0.74744093018774305</v>
      </c>
    </row>
    <row r="25" spans="4:12" x14ac:dyDescent="0.25">
      <c r="D25" s="125" t="str">
        <f>IF('Fixed Effects'!N25="","",'Fixed Effects'!N25)</f>
        <v>OR[3,7]</v>
      </c>
      <c r="E25" s="126" t="str">
        <f>IF('Fixed Effects'!O25="","",'Fixed Effects'!O25)</f>
        <v>IBUIVCONT versus IBUPO</v>
      </c>
      <c r="F25" s="127">
        <f>IF('Fixed Effects'!Q25="","",'Fixed Effects'!Q25)</f>
        <v>0.62529999999999997</v>
      </c>
      <c r="G25" s="128" t="e">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#N/A</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0.61560000000000004</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N/A</v>
      </c>
    </row>
    <row r="26" spans="4:12" x14ac:dyDescent="0.25">
      <c r="D26" s="125" t="str">
        <f>IF('Fixed Effects'!N26="","",'Fixed Effects'!N26)</f>
        <v>OR[3,8]</v>
      </c>
      <c r="E26" s="126" t="str">
        <f>IF('Fixed Effects'!O26="","",'Fixed Effects'!O26)</f>
        <v>INDOIVCONT versus IBUPO</v>
      </c>
      <c r="F26" s="127">
        <f>IF('Fixed Effects'!Q26="","",'Fixed Effects'!Q26)</f>
        <v>1.0680000000000001</v>
      </c>
      <c r="G26" s="128" t="e">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#N/A</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1.022</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N/A</v>
      </c>
    </row>
    <row r="27" spans="4:12" x14ac:dyDescent="0.25">
      <c r="D27" s="125" t="str">
        <f>IF('Fixed Effects'!N27="","",'Fixed Effects'!N27)</f>
        <v>OR[3,9]</v>
      </c>
      <c r="E27" s="126" t="str">
        <f>IF('Fixed Effects'!O27="","",'Fixed Effects'!O27)</f>
        <v>INDOTHERS versus IBUPO</v>
      </c>
      <c r="F27" s="127">
        <f>IF('Fixed Effects'!Q27="","",'Fixed Effects'!Q27)</f>
        <v>3.7040000000000002</v>
      </c>
      <c r="G27" s="128" t="e">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#N/A</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3.7650000000000001</v>
      </c>
      <c r="L27" s="128">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5.551121614260933</v>
      </c>
    </row>
    <row r="28" spans="4:12" x14ac:dyDescent="0.25">
      <c r="D28" s="125" t="str">
        <f>IF('Fixed Effects'!N28="","",'Fixed Effects'!N28)</f>
        <v>OR[3,10]</v>
      </c>
      <c r="E28" s="126" t="str">
        <f>IF('Fixed Effects'!O28="","",'Fixed Effects'!O28)</f>
        <v>PLAC_NORX versus IBUPO</v>
      </c>
      <c r="F28" s="127">
        <f>IF('Fixed Effects'!Q28="","",'Fixed Effects'!Q28)</f>
        <v>1.4830000000000001</v>
      </c>
      <c r="G28" s="128" t="e">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#N/A</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1.458</v>
      </c>
      <c r="L28" s="128">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1.9885386057786896</v>
      </c>
    </row>
    <row r="29" spans="4:12" x14ac:dyDescent="0.25">
      <c r="D29" s="125" t="str">
        <f>IF('Fixed Effects'!N29="","",'Fixed Effects'!N29)</f>
        <v>OR[4,5]</v>
      </c>
      <c r="E29" s="126" t="str">
        <f>IF('Fixed Effects'!O29="","",'Fixed Effects'!O29)</f>
        <v>IBUIVHIGHDOSE versus PARAPO</v>
      </c>
      <c r="F29" s="127">
        <f>IF('Fixed Effects'!Q29="","",'Fixed Effects'!Q29)</f>
        <v>2.1309999999999998</v>
      </c>
      <c r="G29" s="128" t="e">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#N/A</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2.161</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N/A</v>
      </c>
    </row>
    <row r="30" spans="4:12" x14ac:dyDescent="0.25">
      <c r="D30" s="125" t="str">
        <f>IF('Fixed Effects'!N30="","",'Fixed Effects'!N30)</f>
        <v>OR[4,6]</v>
      </c>
      <c r="E30" s="126" t="str">
        <f>IF('Fixed Effects'!O30="","",'Fixed Effects'!O30)</f>
        <v>IBUPOHIGHDOSE versus PARAPO</v>
      </c>
      <c r="F30" s="127">
        <f>IF('Fixed Effects'!Q30="","",'Fixed Effects'!Q30)</f>
        <v>0.67190000000000005</v>
      </c>
      <c r="G30" s="128" t="e">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#N/A</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0.66190000000000004</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N/A</v>
      </c>
    </row>
    <row r="31" spans="4:12" x14ac:dyDescent="0.25">
      <c r="D31" s="125" t="str">
        <f>IF('Fixed Effects'!N31="","",'Fixed Effects'!N31)</f>
        <v>OR[4,7]</v>
      </c>
      <c r="E31" s="126" t="str">
        <f>IF('Fixed Effects'!O31="","",'Fixed Effects'!O31)</f>
        <v>IBUIVCONT versus PARAPO</v>
      </c>
      <c r="F31" s="127">
        <f>IF('Fixed Effects'!Q31="","",'Fixed Effects'!Q31)</f>
        <v>0.55600000000000005</v>
      </c>
      <c r="G31" s="128" t="e">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#N/A</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0.56330000000000002</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N/A</v>
      </c>
    </row>
    <row r="32" spans="4:12" x14ac:dyDescent="0.25">
      <c r="D32" s="125" t="str">
        <f>IF('Fixed Effects'!N32="","",'Fixed Effects'!N32)</f>
        <v>OR[4,8]</v>
      </c>
      <c r="E32" s="126" t="str">
        <f>IF('Fixed Effects'!O32="","",'Fixed Effects'!O32)</f>
        <v>INDOIVCONT versus PARAPO</v>
      </c>
      <c r="F32" s="127">
        <f>IF('Fixed Effects'!Q32="","",'Fixed Effects'!Q32)</f>
        <v>0.95789999999999997</v>
      </c>
      <c r="G32" s="128" t="e">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#N/A</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0.92830000000000001</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N/A</v>
      </c>
    </row>
    <row r="33" spans="4:12" x14ac:dyDescent="0.25">
      <c r="D33" s="125" t="str">
        <f>IF('Fixed Effects'!N33="","",'Fixed Effects'!N33)</f>
        <v>OR[4,9]</v>
      </c>
      <c r="E33" s="126" t="str">
        <f>IF('Fixed Effects'!O33="","",'Fixed Effects'!O33)</f>
        <v>INDOTHERS versus PARAPO</v>
      </c>
      <c r="F33" s="127">
        <f>IF('Fixed Effects'!Q33="","",'Fixed Effects'!Q33)</f>
        <v>3.3290000000000002</v>
      </c>
      <c r="G33" s="128" t="e">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#N/A</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3.3559999999999999</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N/A</v>
      </c>
    </row>
    <row r="34" spans="4:12" x14ac:dyDescent="0.25">
      <c r="D34" s="125" t="str">
        <f>IF('Fixed Effects'!N34="","",'Fixed Effects'!N34)</f>
        <v>OR[4,10]</v>
      </c>
      <c r="E34" s="126" t="str">
        <f>IF('Fixed Effects'!O34="","",'Fixed Effects'!O34)</f>
        <v>PLAC_NORX versus PARAPO</v>
      </c>
      <c r="F34" s="127">
        <f>IF('Fixed Effects'!Q34="","",'Fixed Effects'!Q34)</f>
        <v>1.3320000000000001</v>
      </c>
      <c r="G34" s="128" t="e">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#N/A</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1.3089999999999999</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N/A</v>
      </c>
    </row>
    <row r="35" spans="4:12" x14ac:dyDescent="0.25">
      <c r="D35" s="125" t="str">
        <f>IF('Fixed Effects'!N35="","",'Fixed Effects'!N35)</f>
        <v>OR[5,6]</v>
      </c>
      <c r="E35" s="126" t="str">
        <f>IF('Fixed Effects'!O35="","",'Fixed Effects'!O35)</f>
        <v>IBUPOHIGHDOSE versus IBUIVHIGHDOSE</v>
      </c>
      <c r="F35" s="127">
        <f>IF('Fixed Effects'!Q35="","",'Fixed Effects'!Q35)</f>
        <v>0.31209999999999999</v>
      </c>
      <c r="G35" s="128" t="e">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#N/A</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0.30769999999999997</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N/A</v>
      </c>
    </row>
    <row r="36" spans="4:12" x14ac:dyDescent="0.25">
      <c r="D36" s="125" t="str">
        <f>IF('Fixed Effects'!N36="","",'Fixed Effects'!N36)</f>
        <v>OR[5,7]</v>
      </c>
      <c r="E36" s="126" t="str">
        <f>IF('Fixed Effects'!O36="","",'Fixed Effects'!O36)</f>
        <v>IBUIVCONT versus IBUIVHIGHDOSE</v>
      </c>
      <c r="F36" s="127">
        <f>IF('Fixed Effects'!Q36="","",'Fixed Effects'!Q36)</f>
        <v>0.25900000000000001</v>
      </c>
      <c r="G36" s="128" t="e">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#N/A</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0.25629999999999997</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N/A</v>
      </c>
    </row>
    <row r="37" spans="4:12" x14ac:dyDescent="0.25">
      <c r="D37" s="125" t="str">
        <f>IF('Fixed Effects'!N37="","",'Fixed Effects'!N37)</f>
        <v>OR[5,8]</v>
      </c>
      <c r="E37" s="126" t="str">
        <f>IF('Fixed Effects'!O37="","",'Fixed Effects'!O37)</f>
        <v>INDOIVCONT versus IBUIVHIGHDOSE</v>
      </c>
      <c r="F37" s="127">
        <f>IF('Fixed Effects'!Q37="","",'Fixed Effects'!Q37)</f>
        <v>0.44840000000000002</v>
      </c>
      <c r="G37" s="128" t="e">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#N/A</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0.42880000000000001</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N/A</v>
      </c>
    </row>
    <row r="38" spans="4:12" x14ac:dyDescent="0.25">
      <c r="D38" s="125" t="str">
        <f>IF('Fixed Effects'!N38="","",'Fixed Effects'!N38)</f>
        <v>OR[5,9]</v>
      </c>
      <c r="E38" s="126" t="str">
        <f>IF('Fixed Effects'!O38="","",'Fixed Effects'!O38)</f>
        <v>INDOTHERS versus IBUIVHIGHDOSE</v>
      </c>
      <c r="F38" s="127">
        <f>IF('Fixed Effects'!Q38="","",'Fixed Effects'!Q38)</f>
        <v>1.5649999999999999</v>
      </c>
      <c r="G38" s="128" t="e">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#N/A</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1.5880000000000001</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N/A</v>
      </c>
    </row>
    <row r="39" spans="4:12" x14ac:dyDescent="0.25">
      <c r="D39" s="125" t="str">
        <f>IF('Fixed Effects'!N39="","",'Fixed Effects'!N39)</f>
        <v>OR[5,10]</v>
      </c>
      <c r="E39" s="126" t="str">
        <f>IF('Fixed Effects'!O39="","",'Fixed Effects'!O39)</f>
        <v>PLAC_NORX versus IBUIVHIGHDOSE</v>
      </c>
      <c r="F39" s="127">
        <f>IF('Fixed Effects'!Q39="","",'Fixed Effects'!Q39)</f>
        <v>0.62619999999999998</v>
      </c>
      <c r="G39" s="128" t="e">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#N/A</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0.61499999999999999</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N/A</v>
      </c>
    </row>
    <row r="40" spans="4:12" x14ac:dyDescent="0.25">
      <c r="D40" s="125" t="str">
        <f>IF('Fixed Effects'!N40="","",'Fixed Effects'!N40)</f>
        <v>OR[6,7]</v>
      </c>
      <c r="E40" s="126" t="str">
        <f>IF('Fixed Effects'!O40="","",'Fixed Effects'!O40)</f>
        <v>IBUIVCONT versus IBUPOHIGHDOSE</v>
      </c>
      <c r="F40" s="127">
        <f>IF('Fixed Effects'!Q40="","",'Fixed Effects'!Q40)</f>
        <v>0.82589999999999997</v>
      </c>
      <c r="G40" s="128" t="e">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#N/A</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0.82909999999999995</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N/A</v>
      </c>
    </row>
    <row r="41" spans="4:12" x14ac:dyDescent="0.25">
      <c r="D41" s="125" t="str">
        <f>IF('Fixed Effects'!N41="","",'Fixed Effects'!N41)</f>
        <v>OR[6,8]</v>
      </c>
      <c r="E41" s="126" t="str">
        <f>IF('Fixed Effects'!O41="","",'Fixed Effects'!O41)</f>
        <v>INDOIVCONT versus IBUPOHIGHDOSE</v>
      </c>
      <c r="F41" s="127">
        <f>IF('Fixed Effects'!Q41="","",'Fixed Effects'!Q41)</f>
        <v>1.4339999999999999</v>
      </c>
      <c r="G41" s="128" t="e">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#N/A</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1.3640000000000001</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N/A</v>
      </c>
    </row>
    <row r="42" spans="4:12" x14ac:dyDescent="0.25">
      <c r="D42" s="125" t="str">
        <f>IF('Fixed Effects'!N42="","",'Fixed Effects'!N42)</f>
        <v>OR[6,9]</v>
      </c>
      <c r="E42" s="126" t="str">
        <f>IF('Fixed Effects'!O42="","",'Fixed Effects'!O42)</f>
        <v>INDOTHERS versus IBUPOHIGHDOSE</v>
      </c>
      <c r="F42" s="127">
        <f>IF('Fixed Effects'!Q42="","",'Fixed Effects'!Q42)</f>
        <v>4.9850000000000003</v>
      </c>
      <c r="G42" s="128" t="e">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#N/A</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5.0609999999999999</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N/A</v>
      </c>
    </row>
    <row r="43" spans="4:12" x14ac:dyDescent="0.25">
      <c r="D43" s="125" t="str">
        <f>IF('Fixed Effects'!N43="","",'Fixed Effects'!N43)</f>
        <v>OR[6,10]</v>
      </c>
      <c r="E43" s="126" t="str">
        <f>IF('Fixed Effects'!O43="","",'Fixed Effects'!O43)</f>
        <v>PLAC_NORX versus IBUPOHIGHDOSE</v>
      </c>
      <c r="F43" s="127">
        <f>IF('Fixed Effects'!Q43="","",'Fixed Effects'!Q43)</f>
        <v>1.994</v>
      </c>
      <c r="G43" s="128" t="e">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#N/A</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1.9319999999999999</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N/A</v>
      </c>
    </row>
    <row r="44" spans="4:12" x14ac:dyDescent="0.25">
      <c r="D44" s="125" t="str">
        <f>IF('Fixed Effects'!N44="","",'Fixed Effects'!N44)</f>
        <v>OR[7,8]</v>
      </c>
      <c r="E44" s="126" t="str">
        <f>IF('Fixed Effects'!O44="","",'Fixed Effects'!O44)</f>
        <v>INDOIVCONT versus IBUIVCONT</v>
      </c>
      <c r="F44" s="127">
        <f>IF('Fixed Effects'!Q44="","",'Fixed Effects'!Q44)</f>
        <v>1.7250000000000001</v>
      </c>
      <c r="G44" s="128" t="e">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#N/A</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1.673</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N/A</v>
      </c>
    </row>
    <row r="45" spans="4:12" x14ac:dyDescent="0.25">
      <c r="D45" s="125" t="str">
        <f>IF('Fixed Effects'!N45="","",'Fixed Effects'!N45)</f>
        <v>OR[7,9]</v>
      </c>
      <c r="E45" s="126" t="str">
        <f>IF('Fixed Effects'!O45="","",'Fixed Effects'!O45)</f>
        <v>INDOTHERS versus IBUIVCONT</v>
      </c>
      <c r="F45" s="127">
        <f>IF('Fixed Effects'!Q45="","",'Fixed Effects'!Q45)</f>
        <v>5.9459999999999997</v>
      </c>
      <c r="G45" s="128" t="e">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#N/A</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6.1749999999999998</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N/A</v>
      </c>
    </row>
    <row r="46" spans="4:12" x14ac:dyDescent="0.25">
      <c r="D46" s="125" t="str">
        <f>IF('Fixed Effects'!N46="","",'Fixed Effects'!N46)</f>
        <v>OR[7,10]</v>
      </c>
      <c r="E46" s="126" t="str">
        <f>IF('Fixed Effects'!O46="","",'Fixed Effects'!O46)</f>
        <v>PLAC_NORX versus IBUIVCONT</v>
      </c>
      <c r="F46" s="127">
        <f>IF('Fixed Effects'!Q46="","",'Fixed Effects'!Q46)</f>
        <v>2.3769999999999998</v>
      </c>
      <c r="G46" s="128" t="e">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#N/A</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2.3580000000000001</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N/A</v>
      </c>
    </row>
    <row r="47" spans="4:12" x14ac:dyDescent="0.25">
      <c r="D47" s="125" t="str">
        <f>IF('Fixed Effects'!N47="","",'Fixed Effects'!N47)</f>
        <v>OR[8,9]</v>
      </c>
      <c r="E47" s="126" t="str">
        <f>IF('Fixed Effects'!O47="","",'Fixed Effects'!O47)</f>
        <v>INDOTHERS versus INDOIVCONT</v>
      </c>
      <c r="F47" s="127">
        <f>IF('Fixed Effects'!Q47="","",'Fixed Effects'!Q47)</f>
        <v>3.476</v>
      </c>
      <c r="G47" s="128" t="e">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#N/A</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3.6819999999999999</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N/A</v>
      </c>
    </row>
    <row r="48" spans="4:12" x14ac:dyDescent="0.25">
      <c r="D48" s="125" t="str">
        <f>IF('Fixed Effects'!N48="","",'Fixed Effects'!N48)</f>
        <v>OR[8,10]</v>
      </c>
      <c r="E48" s="126" t="str">
        <f>IF('Fixed Effects'!O48="","",'Fixed Effects'!O48)</f>
        <v>PLAC_NORX versus INDOIVCONT</v>
      </c>
      <c r="F48" s="127">
        <f>IF('Fixed Effects'!Q48="","",'Fixed Effects'!Q48)</f>
        <v>1.387</v>
      </c>
      <c r="G48" s="128" t="e">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#N/A</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1.4279999999999999</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N/A</v>
      </c>
    </row>
    <row r="49" spans="4:12" x14ac:dyDescent="0.25">
      <c r="D49" s="125" t="str">
        <f>IF('Fixed Effects'!N49="","",'Fixed Effects'!N49)</f>
        <v>OR[9,10]</v>
      </c>
      <c r="E49" s="126" t="str">
        <f>IF('Fixed Effects'!O49="","",'Fixed Effects'!O49)</f>
        <v>PLAC_NORX versus INDOTHERS</v>
      </c>
      <c r="F49" s="127">
        <f>IF('Fixed Effects'!Q49="","",'Fixed Effects'!Q49)</f>
        <v>0.40060000000000001</v>
      </c>
      <c r="G49" s="128" t="e">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#N/A</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0.38800000000000001</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N/A</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A1:J359"/>
  <sheetViews>
    <sheetView showGridLines="0" topLeftCell="A79" workbookViewId="0">
      <selection activeCell="B34" sqref="B34:D43"/>
    </sheetView>
  </sheetViews>
  <sheetFormatPr defaultRowHeight="15" x14ac:dyDescent="0.25"/>
  <sheetData>
    <row r="1" spans="1:1" hidden="1" x14ac:dyDescent="0.25">
      <c r="A1" t="s">
        <v>394</v>
      </c>
    </row>
    <row r="2" spans="1:1" hidden="1" x14ac:dyDescent="0.25">
      <c r="A2" t="s">
        <v>400</v>
      </c>
    </row>
    <row r="3" spans="1:1" hidden="1" x14ac:dyDescent="0.25">
      <c r="A3" t="s">
        <v>401</v>
      </c>
    </row>
    <row r="4" spans="1:1" hidden="1" x14ac:dyDescent="0.25">
      <c r="A4" t="s">
        <v>402</v>
      </c>
    </row>
    <row r="5" spans="1:1" hidden="1" x14ac:dyDescent="0.25">
      <c r="A5" t="s">
        <v>403</v>
      </c>
    </row>
    <row r="6" spans="1:1" hidden="1" x14ac:dyDescent="0.25">
      <c r="A6" t="s">
        <v>404</v>
      </c>
    </row>
    <row r="7" spans="1:1" hidden="1" x14ac:dyDescent="0.25">
      <c r="A7" t="s">
        <v>403</v>
      </c>
    </row>
    <row r="8" spans="1:1" hidden="1" x14ac:dyDescent="0.25">
      <c r="A8" t="s">
        <v>21</v>
      </c>
    </row>
    <row r="9" spans="1:1" hidden="1" x14ac:dyDescent="0.25">
      <c r="A9" t="s">
        <v>405</v>
      </c>
    </row>
    <row r="10" spans="1:1" hidden="1" x14ac:dyDescent="0.25">
      <c r="A10" t="s">
        <v>406</v>
      </c>
    </row>
    <row r="11" spans="1:1" hidden="1" x14ac:dyDescent="0.25">
      <c r="A11" t="s">
        <v>407</v>
      </c>
    </row>
    <row r="12" spans="1:1" hidden="1" x14ac:dyDescent="0.25">
      <c r="A12" t="s">
        <v>408</v>
      </c>
    </row>
    <row r="13" spans="1:1" hidden="1" x14ac:dyDescent="0.25">
      <c r="A13" t="s">
        <v>407</v>
      </c>
    </row>
    <row r="14" spans="1:1" hidden="1" x14ac:dyDescent="0.25">
      <c r="A14" t="s">
        <v>409</v>
      </c>
    </row>
    <row r="15" spans="1:1" hidden="1" x14ac:dyDescent="0.25">
      <c r="A15" t="s">
        <v>410</v>
      </c>
    </row>
    <row r="16" spans="1:1" hidden="1" x14ac:dyDescent="0.25">
      <c r="A16" t="s">
        <v>23</v>
      </c>
    </row>
    <row r="17" spans="1:10" hidden="1" x14ac:dyDescent="0.25">
      <c r="A17" t="s">
        <v>397</v>
      </c>
    </row>
    <row r="18" spans="1:10" hidden="1" x14ac:dyDescent="0.25">
      <c r="A18" t="s">
        <v>398</v>
      </c>
    </row>
    <row r="19" spans="1:10" hidden="1" x14ac:dyDescent="0.25">
      <c r="A19" t="s">
        <v>411</v>
      </c>
    </row>
    <row r="20" spans="1:10" hidden="1" x14ac:dyDescent="0.25">
      <c r="A20" t="s">
        <v>412</v>
      </c>
    </row>
    <row r="21" spans="1:10" hidden="1" x14ac:dyDescent="0.25">
      <c r="A21" t="s">
        <v>413</v>
      </c>
    </row>
    <row r="22" spans="1:10" hidden="1" x14ac:dyDescent="0.25">
      <c r="A22" t="s">
        <v>414</v>
      </c>
    </row>
    <row r="23" spans="1:10" hidden="1" x14ac:dyDescent="0.25">
      <c r="A23" t="s">
        <v>415</v>
      </c>
    </row>
    <row r="24" spans="1:10" hidden="1" x14ac:dyDescent="0.25">
      <c r="A24" t="s">
        <v>416</v>
      </c>
    </row>
    <row r="25" spans="1:10" hidden="1" x14ac:dyDescent="0.25">
      <c r="A25" t="s">
        <v>199</v>
      </c>
    </row>
    <row r="26" spans="1:10" hidden="1" x14ac:dyDescent="0.25">
      <c r="A26" t="s">
        <v>417</v>
      </c>
    </row>
    <row r="27" spans="1:10" hidden="1" x14ac:dyDescent="0.25">
      <c r="A27" t="s">
        <v>197</v>
      </c>
    </row>
    <row r="28" spans="1:10" hidden="1" x14ac:dyDescent="0.25">
      <c r="A28" t="s">
        <v>398</v>
      </c>
    </row>
    <row r="29" spans="1:10" hidden="1" x14ac:dyDescent="0.25">
      <c r="A29" t="s">
        <v>399</v>
      </c>
    </row>
    <row r="31" spans="1:10" x14ac:dyDescent="0.25">
      <c r="A31" t="s">
        <v>418</v>
      </c>
    </row>
    <row r="32" spans="1:10" x14ac:dyDescent="0.25">
      <c r="B32" t="s">
        <v>419</v>
      </c>
      <c r="C32" t="s">
        <v>420</v>
      </c>
      <c r="D32" t="s">
        <v>421</v>
      </c>
      <c r="E32" t="s">
        <v>422</v>
      </c>
      <c r="F32" s="12">
        <v>2.5000000000000001E-2</v>
      </c>
      <c r="G32" t="s">
        <v>423</v>
      </c>
      <c r="H32" s="12">
        <v>0.97499999999999998</v>
      </c>
      <c r="I32" t="s">
        <v>424</v>
      </c>
      <c r="J32" t="s">
        <v>425</v>
      </c>
    </row>
    <row r="33" spans="2:10" x14ac:dyDescent="0.25">
      <c r="B33" t="s">
        <v>426</v>
      </c>
      <c r="C33">
        <v>0.70660000000000001</v>
      </c>
      <c r="D33">
        <v>0.18060000000000001</v>
      </c>
      <c r="E33">
        <v>1.176E-3</v>
      </c>
      <c r="F33">
        <v>0.41720000000000002</v>
      </c>
      <c r="G33">
        <v>0.68489999999999995</v>
      </c>
      <c r="H33">
        <v>1.1200000000000001</v>
      </c>
      <c r="I33">
        <v>40001</v>
      </c>
      <c r="J33">
        <v>120000</v>
      </c>
    </row>
    <row r="34" spans="2:10" x14ac:dyDescent="0.25">
      <c r="B34" t="s">
        <v>427</v>
      </c>
      <c r="C34">
        <v>0.43209999999999998</v>
      </c>
      <c r="D34">
        <v>0.14069999999999999</v>
      </c>
      <c r="E34" s="13">
        <v>9.7659999999999999E-4</v>
      </c>
      <c r="F34">
        <v>0.21679999999999999</v>
      </c>
      <c r="G34">
        <v>0.4123</v>
      </c>
      <c r="H34">
        <v>0.76129999999999998</v>
      </c>
      <c r="I34">
        <v>40001</v>
      </c>
      <c r="J34">
        <v>120000</v>
      </c>
    </row>
    <row r="35" spans="2:10" x14ac:dyDescent="0.25">
      <c r="B35" t="s">
        <v>428</v>
      </c>
      <c r="C35">
        <v>0.51890000000000003</v>
      </c>
      <c r="D35">
        <v>0.27439999999999998</v>
      </c>
      <c r="E35">
        <v>1.7279999999999999E-3</v>
      </c>
      <c r="F35">
        <v>0.1706</v>
      </c>
      <c r="G35">
        <v>0.45989999999999998</v>
      </c>
      <c r="H35">
        <v>1.21</v>
      </c>
      <c r="I35">
        <v>40001</v>
      </c>
      <c r="J35">
        <v>120000</v>
      </c>
    </row>
    <row r="36" spans="2:10" x14ac:dyDescent="0.25">
      <c r="B36" t="s">
        <v>429</v>
      </c>
      <c r="C36">
        <v>1.5089999999999999</v>
      </c>
      <c r="D36">
        <v>1.9550000000000001</v>
      </c>
      <c r="E36">
        <v>1.1650000000000001E-2</v>
      </c>
      <c r="F36">
        <v>0.17649999999999999</v>
      </c>
      <c r="G36">
        <v>0.97650000000000003</v>
      </c>
      <c r="H36">
        <v>6.0359999999999996</v>
      </c>
      <c r="I36">
        <v>40001</v>
      </c>
      <c r="J36">
        <v>120000</v>
      </c>
    </row>
    <row r="37" spans="2:10" x14ac:dyDescent="0.25">
      <c r="B37" t="s">
        <v>430</v>
      </c>
      <c r="C37">
        <v>0.43049999999999999</v>
      </c>
      <c r="D37">
        <v>0.438</v>
      </c>
      <c r="E37">
        <v>2.464E-3</v>
      </c>
      <c r="F37">
        <v>5.9639999999999999E-2</v>
      </c>
      <c r="G37">
        <v>0.30620000000000003</v>
      </c>
      <c r="H37">
        <v>1.55</v>
      </c>
      <c r="I37">
        <v>40001</v>
      </c>
      <c r="J37">
        <v>120000</v>
      </c>
    </row>
    <row r="38" spans="2:10" x14ac:dyDescent="0.25">
      <c r="B38" t="s">
        <v>431</v>
      </c>
      <c r="C38">
        <v>0.33989999999999998</v>
      </c>
      <c r="D38">
        <v>0.29930000000000001</v>
      </c>
      <c r="E38">
        <v>1.4909999999999999E-3</v>
      </c>
      <c r="F38">
        <v>4.6940000000000003E-2</v>
      </c>
      <c r="G38">
        <v>0.25800000000000001</v>
      </c>
      <c r="H38">
        <v>1.1220000000000001</v>
      </c>
      <c r="I38">
        <v>40001</v>
      </c>
      <c r="J38">
        <v>120000</v>
      </c>
    </row>
    <row r="39" spans="2:10" x14ac:dyDescent="0.25">
      <c r="B39" t="s">
        <v>432</v>
      </c>
      <c r="C39">
        <v>0.53100000000000003</v>
      </c>
      <c r="D39">
        <v>0.36199999999999999</v>
      </c>
      <c r="E39">
        <v>1.923E-3</v>
      </c>
      <c r="F39">
        <v>0.1255</v>
      </c>
      <c r="G39">
        <v>0.44059999999999999</v>
      </c>
      <c r="H39">
        <v>1.468</v>
      </c>
      <c r="I39">
        <v>40001</v>
      </c>
      <c r="J39">
        <v>120000</v>
      </c>
    </row>
    <row r="40" spans="2:10" x14ac:dyDescent="0.25">
      <c r="B40" t="s">
        <v>433</v>
      </c>
      <c r="C40">
        <v>1.58</v>
      </c>
      <c r="D40">
        <v>0.41899999999999998</v>
      </c>
      <c r="E40">
        <v>2.3600000000000001E-3</v>
      </c>
      <c r="F40">
        <v>0.92589999999999995</v>
      </c>
      <c r="G40">
        <v>1.5249999999999999</v>
      </c>
      <c r="H40">
        <v>2.5449999999999999</v>
      </c>
      <c r="I40">
        <v>40001</v>
      </c>
      <c r="J40">
        <v>120000</v>
      </c>
    </row>
    <row r="41" spans="2:10" x14ac:dyDescent="0.25">
      <c r="B41" t="s">
        <v>434</v>
      </c>
      <c r="C41">
        <v>0.64729999999999999</v>
      </c>
      <c r="D41">
        <v>0.22850000000000001</v>
      </c>
      <c r="E41">
        <v>1.371E-3</v>
      </c>
      <c r="F41">
        <v>0.31059999999999999</v>
      </c>
      <c r="G41">
        <v>0.6109</v>
      </c>
      <c r="H41">
        <v>1.1930000000000001</v>
      </c>
      <c r="I41">
        <v>40001</v>
      </c>
      <c r="J41">
        <v>120000</v>
      </c>
    </row>
    <row r="42" spans="2:10" x14ac:dyDescent="0.25">
      <c r="B42" t="s">
        <v>435</v>
      </c>
      <c r="C42">
        <v>0.63370000000000004</v>
      </c>
      <c r="D42">
        <v>0.21490000000000001</v>
      </c>
      <c r="E42">
        <v>1.2279999999999999E-3</v>
      </c>
      <c r="F42">
        <v>0.31030000000000002</v>
      </c>
      <c r="G42">
        <v>0.60160000000000002</v>
      </c>
      <c r="H42">
        <v>1.1399999999999999</v>
      </c>
      <c r="I42">
        <v>40001</v>
      </c>
      <c r="J42">
        <v>120000</v>
      </c>
    </row>
    <row r="43" spans="2:10" x14ac:dyDescent="0.25">
      <c r="B43" t="s">
        <v>436</v>
      </c>
      <c r="C43">
        <v>0.76549999999999996</v>
      </c>
      <c r="D43">
        <v>0.42309999999999998</v>
      </c>
      <c r="E43">
        <v>2.4299999999999999E-3</v>
      </c>
      <c r="F43">
        <v>0.24079999999999999</v>
      </c>
      <c r="G43">
        <v>0.67069999999999996</v>
      </c>
      <c r="H43">
        <v>1.8420000000000001</v>
      </c>
      <c r="I43">
        <v>40001</v>
      </c>
      <c r="J43">
        <v>120000</v>
      </c>
    </row>
    <row r="44" spans="2:10" x14ac:dyDescent="0.25">
      <c r="B44" t="s">
        <v>437</v>
      </c>
      <c r="C44">
        <v>2.1389999999999998</v>
      </c>
      <c r="D44">
        <v>2.67</v>
      </c>
      <c r="E44">
        <v>1.554E-2</v>
      </c>
      <c r="F44">
        <v>0.27379999999999999</v>
      </c>
      <c r="G44">
        <v>1.421</v>
      </c>
      <c r="H44">
        <v>8.2669999999999995</v>
      </c>
      <c r="I44">
        <v>40001</v>
      </c>
      <c r="J44">
        <v>120000</v>
      </c>
    </row>
    <row r="45" spans="2:10" x14ac:dyDescent="0.25">
      <c r="B45" t="s">
        <v>438</v>
      </c>
      <c r="C45">
        <v>0.63139999999999996</v>
      </c>
      <c r="D45">
        <v>0.6623</v>
      </c>
      <c r="E45">
        <v>3.5100000000000001E-3</v>
      </c>
      <c r="F45">
        <v>8.5540000000000005E-2</v>
      </c>
      <c r="G45">
        <v>0.44819999999999999</v>
      </c>
      <c r="H45">
        <v>2.2639999999999998</v>
      </c>
      <c r="I45">
        <v>40001</v>
      </c>
      <c r="J45">
        <v>120000</v>
      </c>
    </row>
    <row r="46" spans="2:10" x14ac:dyDescent="0.25">
      <c r="B46" t="s">
        <v>439</v>
      </c>
      <c r="C46">
        <v>0.48060000000000003</v>
      </c>
      <c r="D46">
        <v>0.39100000000000001</v>
      </c>
      <c r="E46">
        <v>1.753E-3</v>
      </c>
      <c r="F46">
        <v>7.3190000000000005E-2</v>
      </c>
      <c r="G46">
        <v>0.37740000000000001</v>
      </c>
      <c r="H46">
        <v>1.4990000000000001</v>
      </c>
      <c r="I46">
        <v>40001</v>
      </c>
      <c r="J46">
        <v>120000</v>
      </c>
    </row>
    <row r="47" spans="2:10" x14ac:dyDescent="0.25">
      <c r="B47" t="s">
        <v>440</v>
      </c>
      <c r="C47">
        <v>0.75509999999999999</v>
      </c>
      <c r="D47">
        <v>0.47299999999999998</v>
      </c>
      <c r="E47">
        <v>2.222E-3</v>
      </c>
      <c r="F47">
        <v>0.20080000000000001</v>
      </c>
      <c r="G47">
        <v>0.64219999999999999</v>
      </c>
      <c r="H47">
        <v>1.9690000000000001</v>
      </c>
      <c r="I47">
        <v>40001</v>
      </c>
      <c r="J47">
        <v>120000</v>
      </c>
    </row>
    <row r="48" spans="2:10" x14ac:dyDescent="0.25">
      <c r="B48" t="s">
        <v>441</v>
      </c>
      <c r="C48">
        <v>2.3730000000000002</v>
      </c>
      <c r="D48">
        <v>0.86180000000000001</v>
      </c>
      <c r="E48">
        <v>5.0679999999999996E-3</v>
      </c>
      <c r="F48">
        <v>1.125</v>
      </c>
      <c r="G48">
        <v>2.2269999999999999</v>
      </c>
      <c r="H48">
        <v>4.431</v>
      </c>
      <c r="I48">
        <v>40001</v>
      </c>
      <c r="J48">
        <v>120000</v>
      </c>
    </row>
    <row r="49" spans="2:10" x14ac:dyDescent="0.25">
      <c r="B49" t="s">
        <v>442</v>
      </c>
      <c r="C49">
        <v>0.94010000000000005</v>
      </c>
      <c r="D49">
        <v>0.31469999999999998</v>
      </c>
      <c r="E49">
        <v>1.508E-3</v>
      </c>
      <c r="F49">
        <v>0.47010000000000002</v>
      </c>
      <c r="G49">
        <v>0.89229999999999998</v>
      </c>
      <c r="H49">
        <v>1.6879999999999999</v>
      </c>
      <c r="I49">
        <v>40001</v>
      </c>
      <c r="J49">
        <v>120000</v>
      </c>
    </row>
    <row r="50" spans="2:10" x14ac:dyDescent="0.25">
      <c r="B50" t="s">
        <v>443</v>
      </c>
      <c r="C50">
        <v>1.228</v>
      </c>
      <c r="D50">
        <v>0.56440000000000001</v>
      </c>
      <c r="E50">
        <v>2.7920000000000002E-3</v>
      </c>
      <c r="F50">
        <v>0.47199999999999998</v>
      </c>
      <c r="G50">
        <v>1.117</v>
      </c>
      <c r="H50">
        <v>2.6269999999999998</v>
      </c>
      <c r="I50">
        <v>40001</v>
      </c>
      <c r="J50">
        <v>120000</v>
      </c>
    </row>
    <row r="51" spans="2:10" x14ac:dyDescent="0.25">
      <c r="B51" t="s">
        <v>444</v>
      </c>
      <c r="C51">
        <v>3.7719999999999998</v>
      </c>
      <c r="D51">
        <v>5.1139999999999999</v>
      </c>
      <c r="E51">
        <v>2.9319999999999999E-2</v>
      </c>
      <c r="F51">
        <v>0.40620000000000001</v>
      </c>
      <c r="G51">
        <v>2.3759999999999999</v>
      </c>
      <c r="H51">
        <v>15.56</v>
      </c>
      <c r="I51">
        <v>40001</v>
      </c>
      <c r="J51">
        <v>120000</v>
      </c>
    </row>
    <row r="52" spans="2:10" x14ac:dyDescent="0.25">
      <c r="B52" t="s">
        <v>445</v>
      </c>
      <c r="C52">
        <v>0.99619999999999997</v>
      </c>
      <c r="D52">
        <v>0.90880000000000005</v>
      </c>
      <c r="E52">
        <v>4.5739999999999999E-3</v>
      </c>
      <c r="F52">
        <v>0.1638</v>
      </c>
      <c r="G52">
        <v>0.74960000000000004</v>
      </c>
      <c r="H52">
        <v>3.3090000000000002</v>
      </c>
      <c r="I52">
        <v>40001</v>
      </c>
      <c r="J52">
        <v>120000</v>
      </c>
    </row>
    <row r="53" spans="2:10" x14ac:dyDescent="0.25">
      <c r="B53" t="s">
        <v>446</v>
      </c>
      <c r="C53">
        <v>0.84760000000000002</v>
      </c>
      <c r="D53">
        <v>0.79310000000000003</v>
      </c>
      <c r="E53">
        <v>3.686E-3</v>
      </c>
      <c r="F53">
        <v>0.10979999999999999</v>
      </c>
      <c r="G53">
        <v>0.62529999999999997</v>
      </c>
      <c r="H53">
        <v>2.9169999999999998</v>
      </c>
      <c r="I53">
        <v>40001</v>
      </c>
      <c r="J53">
        <v>120000</v>
      </c>
    </row>
    <row r="54" spans="2:10" x14ac:dyDescent="0.25">
      <c r="B54" t="s">
        <v>447</v>
      </c>
      <c r="C54">
        <v>1.327</v>
      </c>
      <c r="D54">
        <v>0.9788</v>
      </c>
      <c r="E54">
        <v>5.0629999999999998E-3</v>
      </c>
      <c r="F54">
        <v>0.28599999999999998</v>
      </c>
      <c r="G54">
        <v>1.0680000000000001</v>
      </c>
      <c r="H54">
        <v>3.859</v>
      </c>
      <c r="I54">
        <v>40001</v>
      </c>
      <c r="J54">
        <v>120000</v>
      </c>
    </row>
    <row r="55" spans="2:10" x14ac:dyDescent="0.25">
      <c r="B55" t="s">
        <v>448</v>
      </c>
      <c r="C55">
        <v>4</v>
      </c>
      <c r="D55">
        <v>1.597</v>
      </c>
      <c r="E55">
        <v>1.0120000000000001E-2</v>
      </c>
      <c r="F55">
        <v>1.7849999999999999</v>
      </c>
      <c r="G55">
        <v>3.7040000000000002</v>
      </c>
      <c r="H55">
        <v>7.915</v>
      </c>
      <c r="I55">
        <v>40001</v>
      </c>
      <c r="J55">
        <v>120000</v>
      </c>
    </row>
    <row r="56" spans="2:10" x14ac:dyDescent="0.25">
      <c r="B56" t="s">
        <v>449</v>
      </c>
      <c r="C56">
        <v>1.6</v>
      </c>
      <c r="D56">
        <v>0.6431</v>
      </c>
      <c r="E56">
        <v>3.5270000000000002E-3</v>
      </c>
      <c r="F56">
        <v>0.70379999999999998</v>
      </c>
      <c r="G56">
        <v>1.4830000000000001</v>
      </c>
      <c r="H56">
        <v>3.1789999999999998</v>
      </c>
      <c r="I56">
        <v>40001</v>
      </c>
      <c r="J56">
        <v>120000</v>
      </c>
    </row>
    <row r="57" spans="2:10" x14ac:dyDescent="0.25">
      <c r="B57" t="s">
        <v>450</v>
      </c>
      <c r="C57">
        <v>3.657</v>
      </c>
      <c r="D57">
        <v>5.5279999999999996</v>
      </c>
      <c r="E57">
        <v>3.066E-2</v>
      </c>
      <c r="F57">
        <v>0.30940000000000001</v>
      </c>
      <c r="G57">
        <v>2.1309999999999998</v>
      </c>
      <c r="H57">
        <v>16.32</v>
      </c>
      <c r="I57">
        <v>40001</v>
      </c>
      <c r="J57">
        <v>120000</v>
      </c>
    </row>
    <row r="58" spans="2:10" x14ac:dyDescent="0.25">
      <c r="B58" t="s">
        <v>451</v>
      </c>
      <c r="C58">
        <v>0.98029999999999995</v>
      </c>
      <c r="D58">
        <v>1.071</v>
      </c>
      <c r="E58">
        <v>5.1840000000000002E-3</v>
      </c>
      <c r="F58">
        <v>0.1171</v>
      </c>
      <c r="G58">
        <v>0.67190000000000005</v>
      </c>
      <c r="H58">
        <v>3.734</v>
      </c>
      <c r="I58">
        <v>40001</v>
      </c>
      <c r="J58">
        <v>120000</v>
      </c>
    </row>
    <row r="59" spans="2:10" x14ac:dyDescent="0.25">
      <c r="B59" t="s">
        <v>452</v>
      </c>
      <c r="C59">
        <v>0.82430000000000003</v>
      </c>
      <c r="D59">
        <v>0.91390000000000005</v>
      </c>
      <c r="E59">
        <v>4.3280000000000002E-3</v>
      </c>
      <c r="F59">
        <v>8.4010000000000001E-2</v>
      </c>
      <c r="G59">
        <v>0.55600000000000005</v>
      </c>
      <c r="H59">
        <v>3.169</v>
      </c>
      <c r="I59">
        <v>40001</v>
      </c>
      <c r="J59">
        <v>120000</v>
      </c>
    </row>
    <row r="60" spans="2:10" x14ac:dyDescent="0.25">
      <c r="B60" t="s">
        <v>453</v>
      </c>
      <c r="C60">
        <v>1.286</v>
      </c>
      <c r="D60">
        <v>1.155</v>
      </c>
      <c r="E60">
        <v>5.8669999999999998E-3</v>
      </c>
      <c r="F60">
        <v>0.20810000000000001</v>
      </c>
      <c r="G60">
        <v>0.95789999999999997</v>
      </c>
      <c r="H60">
        <v>4.3150000000000004</v>
      </c>
      <c r="I60">
        <v>40001</v>
      </c>
      <c r="J60">
        <v>120000</v>
      </c>
    </row>
    <row r="61" spans="2:10" x14ac:dyDescent="0.25">
      <c r="B61" t="s">
        <v>454</v>
      </c>
      <c r="C61">
        <v>3.871</v>
      </c>
      <c r="D61">
        <v>2.306</v>
      </c>
      <c r="E61">
        <v>1.324E-2</v>
      </c>
      <c r="F61">
        <v>1.151</v>
      </c>
      <c r="G61">
        <v>3.3290000000000002</v>
      </c>
      <c r="H61">
        <v>9.7780000000000005</v>
      </c>
      <c r="I61">
        <v>40001</v>
      </c>
      <c r="J61">
        <v>120000</v>
      </c>
    </row>
    <row r="62" spans="2:10" x14ac:dyDescent="0.25">
      <c r="B62" t="s">
        <v>455</v>
      </c>
      <c r="C62">
        <v>1.5569999999999999</v>
      </c>
      <c r="D62">
        <v>0.94920000000000004</v>
      </c>
      <c r="E62">
        <v>5.2220000000000001E-3</v>
      </c>
      <c r="F62">
        <v>0.44919999999999999</v>
      </c>
      <c r="G62">
        <v>1.3320000000000001</v>
      </c>
      <c r="H62">
        <v>3.9649999999999999</v>
      </c>
      <c r="I62">
        <v>40001</v>
      </c>
      <c r="J62">
        <v>120000</v>
      </c>
    </row>
    <row r="63" spans="2:10" x14ac:dyDescent="0.25">
      <c r="B63" t="s">
        <v>456</v>
      </c>
      <c r="C63">
        <v>0.63129999999999997</v>
      </c>
      <c r="D63">
        <v>1.165</v>
      </c>
      <c r="E63">
        <v>5.1970000000000002E-3</v>
      </c>
      <c r="F63">
        <v>2.8479999999999998E-2</v>
      </c>
      <c r="G63">
        <v>0.31209999999999999</v>
      </c>
      <c r="H63">
        <v>3.177</v>
      </c>
      <c r="I63">
        <v>40001</v>
      </c>
      <c r="J63">
        <v>120000</v>
      </c>
    </row>
    <row r="64" spans="2:10" x14ac:dyDescent="0.25">
      <c r="B64" t="s">
        <v>457</v>
      </c>
      <c r="C64">
        <v>0.4803</v>
      </c>
      <c r="D64">
        <v>0.76600000000000001</v>
      </c>
      <c r="E64">
        <v>3.225E-3</v>
      </c>
      <c r="F64">
        <v>2.435E-2</v>
      </c>
      <c r="G64">
        <v>0.25900000000000001</v>
      </c>
      <c r="H64">
        <v>2.2839999999999998</v>
      </c>
      <c r="I64">
        <v>40001</v>
      </c>
      <c r="J64">
        <v>120000</v>
      </c>
    </row>
    <row r="65" spans="2:10" x14ac:dyDescent="0.25">
      <c r="B65" t="s">
        <v>458</v>
      </c>
      <c r="C65">
        <v>0.75460000000000005</v>
      </c>
      <c r="D65">
        <v>1.075</v>
      </c>
      <c r="E65">
        <v>4.6160000000000003E-3</v>
      </c>
      <c r="F65">
        <v>5.4640000000000001E-2</v>
      </c>
      <c r="G65">
        <v>0.44840000000000002</v>
      </c>
      <c r="H65">
        <v>3.2879999999999998</v>
      </c>
      <c r="I65">
        <v>40001</v>
      </c>
      <c r="J65">
        <v>120000</v>
      </c>
    </row>
    <row r="66" spans="2:10" x14ac:dyDescent="0.25">
      <c r="B66" t="s">
        <v>459</v>
      </c>
      <c r="C66">
        <v>2.363</v>
      </c>
      <c r="D66">
        <v>2.835</v>
      </c>
      <c r="E66">
        <v>1.302E-2</v>
      </c>
      <c r="F66">
        <v>0.2384</v>
      </c>
      <c r="G66">
        <v>1.5649999999999999</v>
      </c>
      <c r="H66">
        <v>9.3160000000000007</v>
      </c>
      <c r="I66">
        <v>40001</v>
      </c>
      <c r="J66">
        <v>120000</v>
      </c>
    </row>
    <row r="67" spans="2:10" x14ac:dyDescent="0.25">
      <c r="B67" t="s">
        <v>460</v>
      </c>
      <c r="C67">
        <v>0.93820000000000003</v>
      </c>
      <c r="D67">
        <v>1.1120000000000001</v>
      </c>
      <c r="E67">
        <v>4.9579999999999997E-3</v>
      </c>
      <c r="F67">
        <v>9.5560000000000006E-2</v>
      </c>
      <c r="G67">
        <v>0.62619999999999998</v>
      </c>
      <c r="H67">
        <v>3.661</v>
      </c>
      <c r="I67">
        <v>40001</v>
      </c>
      <c r="J67">
        <v>120000</v>
      </c>
    </row>
    <row r="68" spans="2:10" x14ac:dyDescent="0.25">
      <c r="B68" t="s">
        <v>461</v>
      </c>
      <c r="C68">
        <v>1.536</v>
      </c>
      <c r="D68">
        <v>2.4329999999999998</v>
      </c>
      <c r="E68">
        <v>1.069E-2</v>
      </c>
      <c r="F68">
        <v>8.5449999999999998E-2</v>
      </c>
      <c r="G68">
        <v>0.82589999999999997</v>
      </c>
      <c r="H68">
        <v>7.319</v>
      </c>
      <c r="I68">
        <v>40001</v>
      </c>
      <c r="J68">
        <v>120000</v>
      </c>
    </row>
    <row r="69" spans="2:10" x14ac:dyDescent="0.25">
      <c r="B69" t="s">
        <v>462</v>
      </c>
      <c r="C69">
        <v>2.4039999999999999</v>
      </c>
      <c r="D69">
        <v>3.3450000000000002</v>
      </c>
      <c r="E69">
        <v>1.5559999999999999E-2</v>
      </c>
      <c r="F69">
        <v>0.19400000000000001</v>
      </c>
      <c r="G69">
        <v>1.4339999999999999</v>
      </c>
      <c r="H69">
        <v>10.45</v>
      </c>
      <c r="I69">
        <v>40001</v>
      </c>
      <c r="J69">
        <v>120000</v>
      </c>
    </row>
    <row r="70" spans="2:10" x14ac:dyDescent="0.25">
      <c r="B70" t="s">
        <v>463</v>
      </c>
      <c r="C70">
        <v>7.2389999999999999</v>
      </c>
      <c r="D70">
        <v>7.8840000000000003</v>
      </c>
      <c r="E70">
        <v>3.6760000000000001E-2</v>
      </c>
      <c r="F70">
        <v>0.94410000000000005</v>
      </c>
      <c r="G70">
        <v>4.9850000000000003</v>
      </c>
      <c r="H70">
        <v>27.12</v>
      </c>
      <c r="I70">
        <v>40001</v>
      </c>
      <c r="J70">
        <v>120000</v>
      </c>
    </row>
    <row r="71" spans="2:10" x14ac:dyDescent="0.25">
      <c r="B71" t="s">
        <v>464</v>
      </c>
      <c r="C71">
        <v>2.8919999999999999</v>
      </c>
      <c r="D71">
        <v>3.157</v>
      </c>
      <c r="E71">
        <v>1.4239999999999999E-2</v>
      </c>
      <c r="F71">
        <v>0.37890000000000001</v>
      </c>
      <c r="G71">
        <v>1.994</v>
      </c>
      <c r="H71">
        <v>10.76</v>
      </c>
      <c r="I71">
        <v>40001</v>
      </c>
      <c r="J71">
        <v>120000</v>
      </c>
    </row>
    <row r="72" spans="2:10" x14ac:dyDescent="0.25">
      <c r="B72" t="s">
        <v>465</v>
      </c>
      <c r="C72">
        <v>2.8530000000000002</v>
      </c>
      <c r="D72">
        <v>4.3760000000000003</v>
      </c>
      <c r="E72">
        <v>1.553E-2</v>
      </c>
      <c r="F72">
        <v>0.27810000000000001</v>
      </c>
      <c r="G72">
        <v>1.7250000000000001</v>
      </c>
      <c r="H72">
        <v>12.17</v>
      </c>
      <c r="I72">
        <v>40001</v>
      </c>
      <c r="J72">
        <v>120000</v>
      </c>
    </row>
    <row r="73" spans="2:10" x14ac:dyDescent="0.25">
      <c r="B73" t="s">
        <v>466</v>
      </c>
      <c r="C73">
        <v>8.9550000000000001</v>
      </c>
      <c r="D73">
        <v>11.41</v>
      </c>
      <c r="E73">
        <v>4.335E-2</v>
      </c>
      <c r="F73">
        <v>1.262</v>
      </c>
      <c r="G73">
        <v>5.9459999999999997</v>
      </c>
      <c r="H73">
        <v>34.93</v>
      </c>
      <c r="I73">
        <v>40001</v>
      </c>
      <c r="J73">
        <v>120000</v>
      </c>
    </row>
    <row r="74" spans="2:10" x14ac:dyDescent="0.25">
      <c r="B74" t="s">
        <v>467</v>
      </c>
      <c r="C74">
        <v>3.548</v>
      </c>
      <c r="D74">
        <v>4.38</v>
      </c>
      <c r="E74">
        <v>1.6230000000000001E-2</v>
      </c>
      <c r="F74">
        <v>0.51249999999999996</v>
      </c>
      <c r="G74">
        <v>2.3769999999999998</v>
      </c>
      <c r="H74">
        <v>13.64</v>
      </c>
      <c r="I74">
        <v>40001</v>
      </c>
      <c r="J74">
        <v>120000</v>
      </c>
    </row>
    <row r="75" spans="2:10" x14ac:dyDescent="0.25">
      <c r="B75" t="s">
        <v>468</v>
      </c>
      <c r="C75">
        <v>4.391</v>
      </c>
      <c r="D75">
        <v>3.44</v>
      </c>
      <c r="E75">
        <v>1.6809999999999999E-2</v>
      </c>
      <c r="F75">
        <v>0.94699999999999995</v>
      </c>
      <c r="G75">
        <v>3.476</v>
      </c>
      <c r="H75">
        <v>13.29</v>
      </c>
      <c r="I75">
        <v>40001</v>
      </c>
      <c r="J75">
        <v>120000</v>
      </c>
    </row>
    <row r="76" spans="2:10" x14ac:dyDescent="0.25">
      <c r="B76" t="s">
        <v>469</v>
      </c>
      <c r="C76">
        <v>1.744</v>
      </c>
      <c r="D76">
        <v>1.3420000000000001</v>
      </c>
      <c r="E76">
        <v>5.9610000000000002E-3</v>
      </c>
      <c r="F76">
        <v>0.38379999999999997</v>
      </c>
      <c r="G76">
        <v>1.387</v>
      </c>
      <c r="H76">
        <v>5.2160000000000002</v>
      </c>
      <c r="I76">
        <v>40001</v>
      </c>
      <c r="J76">
        <v>120000</v>
      </c>
    </row>
    <row r="77" spans="2:10" x14ac:dyDescent="0.25">
      <c r="B77" t="s">
        <v>470</v>
      </c>
      <c r="C77">
        <v>0.43580000000000002</v>
      </c>
      <c r="D77">
        <v>0.1888</v>
      </c>
      <c r="E77">
        <v>1.0349999999999999E-3</v>
      </c>
      <c r="F77">
        <v>0.1757</v>
      </c>
      <c r="G77">
        <v>0.40060000000000001</v>
      </c>
      <c r="H77">
        <v>0.90300000000000002</v>
      </c>
      <c r="I77">
        <v>40001</v>
      </c>
      <c r="J77">
        <v>120000</v>
      </c>
    </row>
    <row r="78" spans="2:10" x14ac:dyDescent="0.25">
      <c r="B78" t="s">
        <v>471</v>
      </c>
      <c r="C78">
        <v>0.2046</v>
      </c>
      <c r="D78">
        <v>0.1032</v>
      </c>
      <c r="E78" s="13">
        <v>5.9000000000000003E-4</v>
      </c>
      <c r="F78">
        <v>0.1111</v>
      </c>
      <c r="G78">
        <v>0.22220000000000001</v>
      </c>
      <c r="H78">
        <v>0.44440000000000002</v>
      </c>
      <c r="I78">
        <v>40001</v>
      </c>
      <c r="J78">
        <v>120000</v>
      </c>
    </row>
    <row r="79" spans="2:10" x14ac:dyDescent="0.25">
      <c r="B79" t="s">
        <v>472</v>
      </c>
      <c r="C79">
        <v>0.41110000000000002</v>
      </c>
      <c r="D79">
        <v>0.13420000000000001</v>
      </c>
      <c r="E79" s="13">
        <v>5.8620000000000005E-4</v>
      </c>
      <c r="F79">
        <v>0.22220000000000001</v>
      </c>
      <c r="G79">
        <v>0.44440000000000002</v>
      </c>
      <c r="H79">
        <v>0.66669999999999996</v>
      </c>
      <c r="I79">
        <v>40001</v>
      </c>
      <c r="J79">
        <v>120000</v>
      </c>
    </row>
    <row r="80" spans="2:10" x14ac:dyDescent="0.25">
      <c r="B80" t="s">
        <v>473</v>
      </c>
      <c r="C80">
        <v>0.70989999999999998</v>
      </c>
      <c r="D80">
        <v>0.14480000000000001</v>
      </c>
      <c r="E80" s="13">
        <v>6.2890000000000005E-4</v>
      </c>
      <c r="F80">
        <v>0.44440000000000002</v>
      </c>
      <c r="G80">
        <v>0.66669999999999996</v>
      </c>
      <c r="H80">
        <v>1</v>
      </c>
      <c r="I80">
        <v>40001</v>
      </c>
      <c r="J80">
        <v>120000</v>
      </c>
    </row>
    <row r="81" spans="2:10" x14ac:dyDescent="0.25">
      <c r="B81" t="s">
        <v>474</v>
      </c>
      <c r="C81">
        <v>0.62690000000000001</v>
      </c>
      <c r="D81">
        <v>0.2319</v>
      </c>
      <c r="E81">
        <v>1.242E-3</v>
      </c>
      <c r="F81">
        <v>0.1111</v>
      </c>
      <c r="G81">
        <v>0.66669999999999996</v>
      </c>
      <c r="H81">
        <v>1</v>
      </c>
      <c r="I81">
        <v>40001</v>
      </c>
      <c r="J81">
        <v>120000</v>
      </c>
    </row>
    <row r="82" spans="2:10" x14ac:dyDescent="0.25">
      <c r="B82" t="s">
        <v>475</v>
      </c>
      <c r="C82">
        <v>0.30070000000000002</v>
      </c>
      <c r="D82">
        <v>0.30719999999999997</v>
      </c>
      <c r="E82">
        <v>1.603E-3</v>
      </c>
      <c r="F82">
        <v>0</v>
      </c>
      <c r="G82">
        <v>0.22220000000000001</v>
      </c>
      <c r="H82">
        <v>1</v>
      </c>
      <c r="I82">
        <v>40001</v>
      </c>
      <c r="J82">
        <v>120000</v>
      </c>
    </row>
    <row r="83" spans="2:10" x14ac:dyDescent="0.25">
      <c r="B83" t="s">
        <v>476</v>
      </c>
      <c r="C83">
        <v>0.75149999999999995</v>
      </c>
      <c r="D83">
        <v>0.27529999999999999</v>
      </c>
      <c r="E83">
        <v>1.402E-3</v>
      </c>
      <c r="F83">
        <v>0.1111</v>
      </c>
      <c r="G83">
        <v>0.88890000000000002</v>
      </c>
      <c r="H83">
        <v>1</v>
      </c>
      <c r="I83">
        <v>40001</v>
      </c>
      <c r="J83">
        <v>120000</v>
      </c>
    </row>
    <row r="84" spans="2:10" x14ac:dyDescent="0.25">
      <c r="B84" t="s">
        <v>477</v>
      </c>
      <c r="C84">
        <v>0.81889999999999996</v>
      </c>
      <c r="D84">
        <v>0.2319</v>
      </c>
      <c r="E84">
        <v>1.052E-3</v>
      </c>
      <c r="F84">
        <v>0.22220000000000001</v>
      </c>
      <c r="G84">
        <v>0.88890000000000002</v>
      </c>
      <c r="H84">
        <v>1</v>
      </c>
      <c r="I84">
        <v>40001</v>
      </c>
      <c r="J84">
        <v>120000</v>
      </c>
    </row>
    <row r="85" spans="2:10" x14ac:dyDescent="0.25">
      <c r="B85" t="s">
        <v>478</v>
      </c>
      <c r="C85">
        <v>0.63990000000000002</v>
      </c>
      <c r="D85">
        <v>0.26419999999999999</v>
      </c>
      <c r="E85">
        <v>1.2669999999999999E-3</v>
      </c>
      <c r="F85">
        <v>0.1111</v>
      </c>
      <c r="G85">
        <v>0.66669999999999996</v>
      </c>
      <c r="H85">
        <v>1</v>
      </c>
      <c r="I85">
        <v>40001</v>
      </c>
      <c r="J85">
        <v>120000</v>
      </c>
    </row>
    <row r="86" spans="2:10" x14ac:dyDescent="0.25">
      <c r="B86" t="s">
        <v>479</v>
      </c>
      <c r="C86">
        <v>5.2339999999999998E-2</v>
      </c>
      <c r="D86">
        <v>7.8649999999999998E-2</v>
      </c>
      <c r="E86" s="13">
        <v>3.9229999999999999E-4</v>
      </c>
      <c r="F86">
        <v>0</v>
      </c>
      <c r="G86">
        <v>0</v>
      </c>
      <c r="H86">
        <v>0.22220000000000001</v>
      </c>
      <c r="I86">
        <v>40001</v>
      </c>
      <c r="J86">
        <v>120000</v>
      </c>
    </row>
    <row r="87" spans="2:10" x14ac:dyDescent="0.25">
      <c r="B87" t="s">
        <v>480</v>
      </c>
      <c r="C87">
        <v>0.48430000000000001</v>
      </c>
      <c r="D87">
        <v>0.18690000000000001</v>
      </c>
      <c r="E87" s="13">
        <v>8.832E-4</v>
      </c>
      <c r="F87">
        <v>0.1111</v>
      </c>
      <c r="G87">
        <v>0.44440000000000002</v>
      </c>
      <c r="H87">
        <v>0.88890000000000002</v>
      </c>
      <c r="I87">
        <v>40001</v>
      </c>
      <c r="J87">
        <v>120000</v>
      </c>
    </row>
    <row r="88" spans="2:10" x14ac:dyDescent="0.25">
      <c r="B88" t="s">
        <v>481</v>
      </c>
      <c r="C88" s="13">
        <v>8.3329999999999997E-6</v>
      </c>
      <c r="D88">
        <v>2.8869999999999998E-3</v>
      </c>
      <c r="E88" s="13">
        <v>8.3469999999999999E-6</v>
      </c>
      <c r="F88">
        <v>0</v>
      </c>
      <c r="G88">
        <v>0</v>
      </c>
      <c r="H88">
        <v>0</v>
      </c>
      <c r="I88">
        <v>40001</v>
      </c>
      <c r="J88">
        <v>120000</v>
      </c>
    </row>
    <row r="89" spans="2:10" x14ac:dyDescent="0.25">
      <c r="B89" t="s">
        <v>482</v>
      </c>
      <c r="C89" s="13">
        <v>1.083E-4</v>
      </c>
      <c r="D89">
        <v>1.0410000000000001E-2</v>
      </c>
      <c r="E89" s="13">
        <v>2.9790000000000001E-5</v>
      </c>
      <c r="F89">
        <v>0</v>
      </c>
      <c r="G89">
        <v>0</v>
      </c>
      <c r="H89">
        <v>0</v>
      </c>
      <c r="I89">
        <v>40001</v>
      </c>
      <c r="J89">
        <v>120000</v>
      </c>
    </row>
    <row r="90" spans="2:10" x14ac:dyDescent="0.25">
      <c r="B90" t="s">
        <v>483</v>
      </c>
      <c r="C90">
        <v>3.3669999999999999E-2</v>
      </c>
      <c r="D90">
        <v>0.1804</v>
      </c>
      <c r="E90" s="13">
        <v>5.9210000000000003E-4</v>
      </c>
      <c r="F90">
        <v>0</v>
      </c>
      <c r="G90">
        <v>0</v>
      </c>
      <c r="H90">
        <v>1</v>
      </c>
      <c r="I90">
        <v>40001</v>
      </c>
      <c r="J90">
        <v>120000</v>
      </c>
    </row>
    <row r="91" spans="2:10" x14ac:dyDescent="0.25">
      <c r="B91" t="s">
        <v>484</v>
      </c>
      <c r="C91">
        <v>6.4879999999999993E-2</v>
      </c>
      <c r="D91">
        <v>0.24629999999999999</v>
      </c>
      <c r="E91" s="13">
        <v>9.0399999999999996E-4</v>
      </c>
      <c r="F91">
        <v>0</v>
      </c>
      <c r="G91">
        <v>0</v>
      </c>
      <c r="H91">
        <v>1</v>
      </c>
      <c r="I91">
        <v>40001</v>
      </c>
      <c r="J91">
        <v>120000</v>
      </c>
    </row>
    <row r="92" spans="2:10" x14ac:dyDescent="0.25">
      <c r="B92" t="s">
        <v>485</v>
      </c>
      <c r="C92">
        <v>3.4169999999999999E-2</v>
      </c>
      <c r="D92">
        <v>0.1817</v>
      </c>
      <c r="E92" s="13">
        <v>6.1640000000000002E-4</v>
      </c>
      <c r="F92">
        <v>0</v>
      </c>
      <c r="G92">
        <v>0</v>
      </c>
      <c r="H92">
        <v>1</v>
      </c>
      <c r="I92">
        <v>40001</v>
      </c>
      <c r="J92">
        <v>120000</v>
      </c>
    </row>
    <row r="93" spans="2:10" x14ac:dyDescent="0.25">
      <c r="B93" t="s">
        <v>486</v>
      </c>
      <c r="C93">
        <v>0.31990000000000002</v>
      </c>
      <c r="D93">
        <v>0.46639999999999998</v>
      </c>
      <c r="E93">
        <v>1.9889999999999999E-3</v>
      </c>
      <c r="F93">
        <v>0</v>
      </c>
      <c r="G93">
        <v>0</v>
      </c>
      <c r="H93">
        <v>1</v>
      </c>
      <c r="I93">
        <v>40001</v>
      </c>
      <c r="J93">
        <v>120000</v>
      </c>
    </row>
    <row r="94" spans="2:10" x14ac:dyDescent="0.25">
      <c r="B94" t="s">
        <v>487</v>
      </c>
      <c r="C94">
        <v>0.42559999999999998</v>
      </c>
      <c r="D94">
        <v>0.49440000000000001</v>
      </c>
      <c r="E94">
        <v>2.0079999999999998E-3</v>
      </c>
      <c r="F94">
        <v>0</v>
      </c>
      <c r="G94">
        <v>0</v>
      </c>
      <c r="H94">
        <v>1</v>
      </c>
      <c r="I94">
        <v>40001</v>
      </c>
      <c r="J94">
        <v>120000</v>
      </c>
    </row>
    <row r="95" spans="2:10" x14ac:dyDescent="0.25">
      <c r="B95" t="s">
        <v>488</v>
      </c>
      <c r="C95">
        <v>0.11559999999999999</v>
      </c>
      <c r="D95">
        <v>0.31969999999999998</v>
      </c>
      <c r="E95">
        <v>1.1980000000000001E-3</v>
      </c>
      <c r="F95">
        <v>0</v>
      </c>
      <c r="G95">
        <v>0</v>
      </c>
      <c r="H95">
        <v>1</v>
      </c>
      <c r="I95">
        <v>40001</v>
      </c>
      <c r="J95">
        <v>120000</v>
      </c>
    </row>
    <row r="96" spans="2:10" x14ac:dyDescent="0.25">
      <c r="B96" t="s">
        <v>489</v>
      </c>
      <c r="C96">
        <v>0</v>
      </c>
      <c r="D96">
        <v>0</v>
      </c>
      <c r="E96" s="13">
        <v>1.6670000000000001E-13</v>
      </c>
      <c r="F96">
        <v>0</v>
      </c>
      <c r="G96">
        <v>0</v>
      </c>
      <c r="H96">
        <v>0</v>
      </c>
      <c r="I96">
        <v>40001</v>
      </c>
      <c r="J96">
        <v>120000</v>
      </c>
    </row>
    <row r="97" spans="2:10" x14ac:dyDescent="0.25">
      <c r="B97" t="s">
        <v>490</v>
      </c>
      <c r="C97">
        <v>6.0749999999999997E-3</v>
      </c>
      <c r="D97">
        <v>7.7710000000000001E-2</v>
      </c>
      <c r="E97" s="13">
        <v>2.4230000000000001E-4</v>
      </c>
      <c r="F97">
        <v>0</v>
      </c>
      <c r="G97">
        <v>0</v>
      </c>
      <c r="H97">
        <v>0</v>
      </c>
      <c r="I97">
        <v>40001</v>
      </c>
      <c r="J97">
        <v>120000</v>
      </c>
    </row>
    <row r="98" spans="2:10" x14ac:dyDescent="0.25">
      <c r="B98" t="s">
        <v>491</v>
      </c>
      <c r="C98">
        <v>0.5806</v>
      </c>
      <c r="D98">
        <v>0.81330000000000002</v>
      </c>
      <c r="E98">
        <v>2.552E-3</v>
      </c>
      <c r="F98" s="13">
        <v>5.8690000000000001E-4</v>
      </c>
      <c r="G98">
        <v>0.26860000000000001</v>
      </c>
      <c r="H98">
        <v>2.88</v>
      </c>
      <c r="I98">
        <v>40001</v>
      </c>
      <c r="J98">
        <v>120000</v>
      </c>
    </row>
    <row r="99" spans="2:10" x14ac:dyDescent="0.25">
      <c r="B99" t="s">
        <v>492</v>
      </c>
      <c r="C99">
        <v>0.77959999999999996</v>
      </c>
      <c r="D99">
        <v>1.0189999999999999</v>
      </c>
      <c r="E99">
        <v>3.078E-3</v>
      </c>
      <c r="F99" s="13">
        <v>9.278E-4</v>
      </c>
      <c r="G99">
        <v>0.39290000000000003</v>
      </c>
      <c r="H99">
        <v>3.6240000000000001</v>
      </c>
      <c r="I99">
        <v>40001</v>
      </c>
      <c r="J99">
        <v>120000</v>
      </c>
    </row>
    <row r="100" spans="2:10" x14ac:dyDescent="0.25">
      <c r="B100" t="s">
        <v>493</v>
      </c>
      <c r="C100">
        <v>0.71489999999999998</v>
      </c>
      <c r="D100">
        <v>1.014</v>
      </c>
      <c r="E100">
        <v>3.1979999999999999E-3</v>
      </c>
      <c r="F100" s="13">
        <v>7.1080000000000004E-4</v>
      </c>
      <c r="G100">
        <v>0.32550000000000001</v>
      </c>
      <c r="H100">
        <v>3.5950000000000002</v>
      </c>
      <c r="I100">
        <v>40001</v>
      </c>
      <c r="J100">
        <v>120000</v>
      </c>
    </row>
    <row r="101" spans="2:10" x14ac:dyDescent="0.25">
      <c r="B101" t="s">
        <v>494</v>
      </c>
      <c r="C101">
        <v>0.75660000000000005</v>
      </c>
      <c r="D101">
        <v>1.056</v>
      </c>
      <c r="E101">
        <v>3.1640000000000001E-3</v>
      </c>
      <c r="F101" s="13">
        <v>7.6550000000000001E-4</v>
      </c>
      <c r="G101">
        <v>0.34920000000000001</v>
      </c>
      <c r="H101">
        <v>3.7570000000000001</v>
      </c>
      <c r="I101">
        <v>40001</v>
      </c>
      <c r="J101">
        <v>120000</v>
      </c>
    </row>
    <row r="102" spans="2:10" x14ac:dyDescent="0.25">
      <c r="B102" t="s">
        <v>495</v>
      </c>
      <c r="C102">
        <v>0.77590000000000003</v>
      </c>
      <c r="D102">
        <v>1.093</v>
      </c>
      <c r="E102">
        <v>3.3289999999999999E-3</v>
      </c>
      <c r="F102" s="13">
        <v>8.0659999999999998E-4</v>
      </c>
      <c r="G102">
        <v>0.35549999999999998</v>
      </c>
      <c r="H102">
        <v>3.887</v>
      </c>
      <c r="I102">
        <v>40001</v>
      </c>
      <c r="J102">
        <v>120000</v>
      </c>
    </row>
    <row r="103" spans="2:10" x14ac:dyDescent="0.25">
      <c r="B103" t="s">
        <v>496</v>
      </c>
      <c r="C103">
        <v>0.5534</v>
      </c>
      <c r="D103">
        <v>0.7641</v>
      </c>
      <c r="E103">
        <v>2.4610000000000001E-3</v>
      </c>
      <c r="F103" s="13">
        <v>5.5880000000000003E-4</v>
      </c>
      <c r="G103">
        <v>0.2611</v>
      </c>
      <c r="H103">
        <v>2.6909999999999998</v>
      </c>
      <c r="I103">
        <v>40001</v>
      </c>
      <c r="J103">
        <v>120000</v>
      </c>
    </row>
    <row r="104" spans="2:10" x14ac:dyDescent="0.25">
      <c r="B104" t="s">
        <v>497</v>
      </c>
      <c r="C104">
        <v>0.57920000000000005</v>
      </c>
      <c r="D104">
        <v>0.83930000000000005</v>
      </c>
      <c r="E104">
        <v>2.601E-3</v>
      </c>
      <c r="F104" s="13">
        <v>5.8489999999999996E-4</v>
      </c>
      <c r="G104">
        <v>0.26019999999999999</v>
      </c>
      <c r="H104">
        <v>2.927</v>
      </c>
      <c r="I104">
        <v>40001</v>
      </c>
      <c r="J104">
        <v>120000</v>
      </c>
    </row>
    <row r="105" spans="2:10" x14ac:dyDescent="0.25">
      <c r="B105" t="s">
        <v>498</v>
      </c>
      <c r="C105">
        <v>0.79249999999999998</v>
      </c>
      <c r="D105">
        <v>1.0680000000000001</v>
      </c>
      <c r="E105">
        <v>3.117E-3</v>
      </c>
      <c r="F105" s="13">
        <v>8.4840000000000002E-4</v>
      </c>
      <c r="G105">
        <v>0.38190000000000002</v>
      </c>
      <c r="H105">
        <v>3.8239999999999998</v>
      </c>
      <c r="I105">
        <v>40001</v>
      </c>
      <c r="J105">
        <v>120000</v>
      </c>
    </row>
    <row r="106" spans="2:10" x14ac:dyDescent="0.25">
      <c r="B106" t="s">
        <v>499</v>
      </c>
      <c r="C106">
        <v>0.66259999999999997</v>
      </c>
      <c r="D106">
        <v>0.93789999999999996</v>
      </c>
      <c r="E106">
        <v>2.9789999999999999E-3</v>
      </c>
      <c r="F106" s="13">
        <v>6.3690000000000003E-4</v>
      </c>
      <c r="G106">
        <v>0.29959999999999998</v>
      </c>
      <c r="H106">
        <v>3.3239999999999998</v>
      </c>
      <c r="I106">
        <v>40001</v>
      </c>
      <c r="J106">
        <v>120000</v>
      </c>
    </row>
    <row r="107" spans="2:10" x14ac:dyDescent="0.25">
      <c r="B107" t="s">
        <v>500</v>
      </c>
      <c r="C107">
        <v>0.49159999999999998</v>
      </c>
      <c r="D107">
        <v>0.68859999999999999</v>
      </c>
      <c r="E107">
        <v>2.0309999999999998E-3</v>
      </c>
      <c r="F107" s="13">
        <v>4.9010000000000004E-4</v>
      </c>
      <c r="G107">
        <v>0.2261</v>
      </c>
      <c r="H107">
        <v>2.4380000000000002</v>
      </c>
      <c r="I107">
        <v>40001</v>
      </c>
      <c r="J107">
        <v>120000</v>
      </c>
    </row>
    <row r="108" spans="2:10" x14ac:dyDescent="0.25">
      <c r="B108" t="s">
        <v>501</v>
      </c>
      <c r="C108">
        <v>0.65900000000000003</v>
      </c>
      <c r="D108">
        <v>0.93579999999999997</v>
      </c>
      <c r="E108">
        <v>2.7009999999999998E-3</v>
      </c>
      <c r="F108" s="13">
        <v>6.2189999999999999E-4</v>
      </c>
      <c r="G108">
        <v>0.29920000000000002</v>
      </c>
      <c r="H108">
        <v>3.302</v>
      </c>
      <c r="I108">
        <v>40001</v>
      </c>
      <c r="J108">
        <v>120000</v>
      </c>
    </row>
    <row r="109" spans="2:10" x14ac:dyDescent="0.25">
      <c r="B109" t="s">
        <v>502</v>
      </c>
      <c r="C109">
        <v>0.49270000000000003</v>
      </c>
      <c r="D109">
        <v>0.69140000000000001</v>
      </c>
      <c r="E109">
        <v>2.0969999999999999E-3</v>
      </c>
      <c r="F109" s="13">
        <v>4.8999999999999998E-4</v>
      </c>
      <c r="G109">
        <v>0.2273</v>
      </c>
      <c r="H109">
        <v>2.452</v>
      </c>
      <c r="I109">
        <v>40001</v>
      </c>
      <c r="J109">
        <v>120000</v>
      </c>
    </row>
    <row r="110" spans="2:10" x14ac:dyDescent="0.25">
      <c r="B110" t="s">
        <v>503</v>
      </c>
      <c r="C110">
        <v>0.63180000000000003</v>
      </c>
      <c r="D110">
        <v>0.85699999999999998</v>
      </c>
      <c r="E110">
        <v>2.4810000000000001E-3</v>
      </c>
      <c r="F110" s="13">
        <v>6.7509999999999998E-4</v>
      </c>
      <c r="G110">
        <v>0.30359999999999998</v>
      </c>
      <c r="H110">
        <v>3.052</v>
      </c>
      <c r="I110">
        <v>40001</v>
      </c>
      <c r="J110">
        <v>120000</v>
      </c>
    </row>
    <row r="111" spans="2:10" x14ac:dyDescent="0.25">
      <c r="B111" t="s">
        <v>504</v>
      </c>
      <c r="C111">
        <v>0.60029999999999994</v>
      </c>
      <c r="D111">
        <v>0.85409999999999997</v>
      </c>
      <c r="E111">
        <v>2.4499999999999999E-3</v>
      </c>
      <c r="F111" s="13">
        <v>5.6450000000000001E-4</v>
      </c>
      <c r="G111">
        <v>0.2717</v>
      </c>
      <c r="H111">
        <v>3.0350000000000001</v>
      </c>
      <c r="I111">
        <v>40001</v>
      </c>
      <c r="J111">
        <v>120000</v>
      </c>
    </row>
    <row r="112" spans="2:10" x14ac:dyDescent="0.25">
      <c r="B112" t="s">
        <v>505</v>
      </c>
      <c r="C112">
        <v>0.98180000000000001</v>
      </c>
      <c r="D112">
        <v>1.3160000000000001</v>
      </c>
      <c r="E112">
        <v>4.4749999999999998E-3</v>
      </c>
      <c r="F112">
        <v>1.0300000000000001E-3</v>
      </c>
      <c r="G112">
        <v>0.47610000000000002</v>
      </c>
      <c r="H112">
        <v>4.6900000000000004</v>
      </c>
      <c r="I112">
        <v>40001</v>
      </c>
      <c r="J112">
        <v>120000</v>
      </c>
    </row>
    <row r="113" spans="2:10" x14ac:dyDescent="0.25">
      <c r="B113" t="s">
        <v>506</v>
      </c>
      <c r="C113">
        <v>1.274</v>
      </c>
      <c r="D113">
        <v>1.46</v>
      </c>
      <c r="E113">
        <v>4.3880000000000004E-3</v>
      </c>
      <c r="F113">
        <v>2.0479999999999999E-3</v>
      </c>
      <c r="G113">
        <v>0.76649999999999996</v>
      </c>
      <c r="H113">
        <v>5.2249999999999996</v>
      </c>
      <c r="I113">
        <v>40001</v>
      </c>
      <c r="J113">
        <v>120000</v>
      </c>
    </row>
    <row r="114" spans="2:10" x14ac:dyDescent="0.25">
      <c r="B114" t="s">
        <v>507</v>
      </c>
      <c r="C114">
        <v>0.62329999999999997</v>
      </c>
      <c r="D114">
        <v>0.88800000000000001</v>
      </c>
      <c r="E114">
        <v>2.8170000000000001E-3</v>
      </c>
      <c r="F114" s="13">
        <v>6.1209999999999997E-4</v>
      </c>
      <c r="G114">
        <v>0.28050000000000003</v>
      </c>
      <c r="H114">
        <v>3.1520000000000001</v>
      </c>
      <c r="I114">
        <v>40001</v>
      </c>
      <c r="J114">
        <v>120000</v>
      </c>
    </row>
    <row r="115" spans="2:10" x14ac:dyDescent="0.25">
      <c r="B115" t="s">
        <v>508</v>
      </c>
      <c r="C115">
        <v>0.64690000000000003</v>
      </c>
      <c r="D115">
        <v>0.92459999999999998</v>
      </c>
      <c r="E115">
        <v>2.833E-3</v>
      </c>
      <c r="F115" s="13">
        <v>6.4919999999999995E-4</v>
      </c>
      <c r="G115">
        <v>0.29289999999999999</v>
      </c>
      <c r="H115">
        <v>3.2759999999999998</v>
      </c>
      <c r="I115">
        <v>40001</v>
      </c>
      <c r="J115">
        <v>120000</v>
      </c>
    </row>
    <row r="116" spans="2:10" x14ac:dyDescent="0.25">
      <c r="B116" t="s">
        <v>509</v>
      </c>
      <c r="C116">
        <v>1.3859999999999999</v>
      </c>
      <c r="D116">
        <v>1.796</v>
      </c>
      <c r="E116">
        <v>5.3819999999999996E-3</v>
      </c>
      <c r="F116">
        <v>1.604E-3</v>
      </c>
      <c r="G116">
        <v>0.71060000000000001</v>
      </c>
      <c r="H116">
        <v>6.4329999999999998</v>
      </c>
      <c r="I116">
        <v>40001</v>
      </c>
      <c r="J116">
        <v>120000</v>
      </c>
    </row>
    <row r="117" spans="2:10" x14ac:dyDescent="0.25">
      <c r="B117" t="s">
        <v>510</v>
      </c>
      <c r="C117">
        <v>0.78200000000000003</v>
      </c>
      <c r="D117">
        <v>0.87839999999999996</v>
      </c>
      <c r="E117">
        <v>2.7720000000000002E-3</v>
      </c>
      <c r="F117">
        <v>1.661E-2</v>
      </c>
      <c r="G117">
        <v>0.49480000000000002</v>
      </c>
      <c r="H117">
        <v>3.1840000000000002</v>
      </c>
      <c r="I117">
        <v>40001</v>
      </c>
      <c r="J117">
        <v>120000</v>
      </c>
    </row>
    <row r="118" spans="2:10" x14ac:dyDescent="0.25">
      <c r="B118" t="s">
        <v>511</v>
      </c>
      <c r="C118">
        <v>2.617</v>
      </c>
      <c r="D118">
        <v>1.8759999999999999</v>
      </c>
      <c r="E118">
        <v>5.9439999999999996E-3</v>
      </c>
      <c r="F118">
        <v>0.31580000000000003</v>
      </c>
      <c r="G118">
        <v>2.181</v>
      </c>
      <c r="H118">
        <v>7.3789999999999996</v>
      </c>
      <c r="I118">
        <v>40001</v>
      </c>
      <c r="J118">
        <v>120000</v>
      </c>
    </row>
    <row r="119" spans="2:10" x14ac:dyDescent="0.25">
      <c r="B119" t="s">
        <v>512</v>
      </c>
      <c r="C119">
        <v>2.6269999999999998</v>
      </c>
      <c r="D119">
        <v>2.415</v>
      </c>
      <c r="E119">
        <v>7.1590000000000004E-3</v>
      </c>
      <c r="F119">
        <v>1.4999999999999999E-2</v>
      </c>
      <c r="G119">
        <v>1.998</v>
      </c>
      <c r="H119">
        <v>8.8230000000000004</v>
      </c>
      <c r="I119">
        <v>40001</v>
      </c>
      <c r="J119">
        <v>120000</v>
      </c>
    </row>
    <row r="120" spans="2:10" x14ac:dyDescent="0.25">
      <c r="B120" t="s">
        <v>513</v>
      </c>
      <c r="C120">
        <v>0.98950000000000005</v>
      </c>
      <c r="D120">
        <v>1.403</v>
      </c>
      <c r="E120">
        <v>4.7390000000000002E-3</v>
      </c>
      <c r="F120" s="13">
        <v>9.2679999999999998E-4</v>
      </c>
      <c r="G120">
        <v>0.44819999999999999</v>
      </c>
      <c r="H120">
        <v>4.9850000000000003</v>
      </c>
      <c r="I120">
        <v>40001</v>
      </c>
      <c r="J120">
        <v>120000</v>
      </c>
    </row>
    <row r="121" spans="2:10" x14ac:dyDescent="0.25">
      <c r="B121" t="s">
        <v>514</v>
      </c>
      <c r="C121">
        <v>1.0509999999999999</v>
      </c>
      <c r="D121">
        <v>1.484</v>
      </c>
      <c r="E121">
        <v>4.2570000000000004E-3</v>
      </c>
      <c r="F121">
        <v>1.024E-3</v>
      </c>
      <c r="G121">
        <v>0.48309999999999997</v>
      </c>
      <c r="H121">
        <v>5.28</v>
      </c>
      <c r="I121">
        <v>40001</v>
      </c>
      <c r="J121">
        <v>120000</v>
      </c>
    </row>
    <row r="122" spans="2:10" x14ac:dyDescent="0.25">
      <c r="B122" t="s">
        <v>515</v>
      </c>
      <c r="C122">
        <v>1.056</v>
      </c>
      <c r="D122">
        <v>1.494</v>
      </c>
      <c r="E122">
        <v>7.012E-3</v>
      </c>
      <c r="F122">
        <v>1.054E-3</v>
      </c>
      <c r="G122">
        <v>0.48220000000000002</v>
      </c>
      <c r="H122">
        <v>5.3250000000000002</v>
      </c>
      <c r="I122">
        <v>40001</v>
      </c>
      <c r="J122">
        <v>120000</v>
      </c>
    </row>
    <row r="123" spans="2:10" x14ac:dyDescent="0.25">
      <c r="B123" t="s">
        <v>516</v>
      </c>
      <c r="C123">
        <v>1.04</v>
      </c>
      <c r="D123">
        <v>1.4790000000000001</v>
      </c>
      <c r="E123">
        <v>4.0990000000000002E-3</v>
      </c>
      <c r="F123" s="13">
        <v>9.8569999999999994E-4</v>
      </c>
      <c r="G123">
        <v>0.47410000000000002</v>
      </c>
      <c r="H123">
        <v>5.2469999999999999</v>
      </c>
      <c r="I123">
        <v>40001</v>
      </c>
      <c r="J123">
        <v>120000</v>
      </c>
    </row>
    <row r="124" spans="2:10" x14ac:dyDescent="0.25">
      <c r="B124" t="s">
        <v>517</v>
      </c>
      <c r="C124">
        <v>1.482</v>
      </c>
      <c r="D124">
        <v>1.006</v>
      </c>
      <c r="E124">
        <v>3.9950000000000003E-3</v>
      </c>
      <c r="F124">
        <v>0.25380000000000003</v>
      </c>
      <c r="G124">
        <v>1.2450000000000001</v>
      </c>
      <c r="H124">
        <v>4.0529999999999999</v>
      </c>
      <c r="I124">
        <v>40001</v>
      </c>
      <c r="J124">
        <v>120000</v>
      </c>
    </row>
    <row r="125" spans="2:10" x14ac:dyDescent="0.25">
      <c r="B125" t="s">
        <v>518</v>
      </c>
      <c r="C125">
        <v>1.26</v>
      </c>
      <c r="D125">
        <v>1.7070000000000001</v>
      </c>
      <c r="E125">
        <v>4.7239999999999999E-3</v>
      </c>
      <c r="F125">
        <v>1.3389999999999999E-3</v>
      </c>
      <c r="G125">
        <v>0.60529999999999995</v>
      </c>
      <c r="H125">
        <v>6.1059999999999999</v>
      </c>
      <c r="I125">
        <v>40001</v>
      </c>
      <c r="J125">
        <v>120000</v>
      </c>
    </row>
    <row r="126" spans="2:10" x14ac:dyDescent="0.25">
      <c r="B126" t="s">
        <v>519</v>
      </c>
      <c r="C126">
        <v>1.649</v>
      </c>
      <c r="D126">
        <v>1.7849999999999999</v>
      </c>
      <c r="E126">
        <v>7.1679999999999999E-3</v>
      </c>
      <c r="F126">
        <v>3.2209999999999999E-3</v>
      </c>
      <c r="G126">
        <v>1.0720000000000001</v>
      </c>
      <c r="H126">
        <v>6.4109999999999996</v>
      </c>
      <c r="I126">
        <v>40001</v>
      </c>
      <c r="J126">
        <v>120000</v>
      </c>
    </row>
    <row r="127" spans="2:10" x14ac:dyDescent="0.25">
      <c r="B127" t="s">
        <v>520</v>
      </c>
      <c r="C127">
        <v>1.339</v>
      </c>
      <c r="D127">
        <v>1.649</v>
      </c>
      <c r="E127">
        <v>5.0639999999999999E-3</v>
      </c>
      <c r="F127">
        <v>1.7910000000000001E-3</v>
      </c>
      <c r="G127">
        <v>0.73140000000000005</v>
      </c>
      <c r="H127">
        <v>5.9009999999999998</v>
      </c>
      <c r="I127">
        <v>40001</v>
      </c>
      <c r="J127">
        <v>120000</v>
      </c>
    </row>
    <row r="128" spans="2:10" x14ac:dyDescent="0.25">
      <c r="B128" t="s">
        <v>521</v>
      </c>
      <c r="C128">
        <v>0.62319999999999998</v>
      </c>
      <c r="D128">
        <v>0.89349999999999996</v>
      </c>
      <c r="E128">
        <v>2.7469999999999999E-3</v>
      </c>
      <c r="F128" s="13">
        <v>6.0190000000000005E-4</v>
      </c>
      <c r="G128">
        <v>0.2802</v>
      </c>
      <c r="H128">
        <v>3.181</v>
      </c>
      <c r="I128">
        <v>40001</v>
      </c>
      <c r="J128">
        <v>120000</v>
      </c>
    </row>
    <row r="129" spans="2:10" x14ac:dyDescent="0.25">
      <c r="B129" t="s">
        <v>522</v>
      </c>
      <c r="C129">
        <v>0.68169999999999997</v>
      </c>
      <c r="D129">
        <v>0.90590000000000004</v>
      </c>
      <c r="E129">
        <v>2.7000000000000001E-3</v>
      </c>
      <c r="F129" s="13">
        <v>6.9999999999999999E-4</v>
      </c>
      <c r="G129">
        <v>0.33429999999999999</v>
      </c>
      <c r="H129">
        <v>3.238</v>
      </c>
      <c r="I129">
        <v>40001</v>
      </c>
      <c r="J129">
        <v>120000</v>
      </c>
    </row>
    <row r="130" spans="2:10" x14ac:dyDescent="0.25">
      <c r="B130" t="s">
        <v>523</v>
      </c>
      <c r="C130">
        <v>0.56159999999999999</v>
      </c>
      <c r="D130">
        <v>0.80230000000000001</v>
      </c>
      <c r="E130">
        <v>2.346E-3</v>
      </c>
      <c r="F130" s="13">
        <v>5.3830000000000002E-4</v>
      </c>
      <c r="G130">
        <v>0.25409999999999999</v>
      </c>
      <c r="H130">
        <v>2.827</v>
      </c>
      <c r="I130">
        <v>40001</v>
      </c>
      <c r="J130">
        <v>120000</v>
      </c>
    </row>
    <row r="131" spans="2:10" x14ac:dyDescent="0.25">
      <c r="B131" t="s">
        <v>524</v>
      </c>
      <c r="C131">
        <v>0.57969999999999999</v>
      </c>
      <c r="D131">
        <v>0.80600000000000005</v>
      </c>
      <c r="E131">
        <v>2.346E-3</v>
      </c>
      <c r="F131" s="13">
        <v>5.9270000000000004E-4</v>
      </c>
      <c r="G131">
        <v>0.2676</v>
      </c>
      <c r="H131">
        <v>2.8839999999999999</v>
      </c>
      <c r="I131">
        <v>40001</v>
      </c>
      <c r="J131">
        <v>120000</v>
      </c>
    </row>
    <row r="132" spans="2:10" x14ac:dyDescent="0.25">
      <c r="B132" t="s">
        <v>525</v>
      </c>
      <c r="C132">
        <v>1.0229999999999999</v>
      </c>
      <c r="D132">
        <v>1.4419999999999999</v>
      </c>
      <c r="E132">
        <v>5.2599999999999999E-3</v>
      </c>
      <c r="F132">
        <v>1.0399999999999999E-3</v>
      </c>
      <c r="G132">
        <v>0.46820000000000001</v>
      </c>
      <c r="H132">
        <v>5.1559999999999997</v>
      </c>
      <c r="I132">
        <v>40001</v>
      </c>
      <c r="J132">
        <v>120000</v>
      </c>
    </row>
    <row r="133" spans="2:10" x14ac:dyDescent="0.25">
      <c r="B133" t="s">
        <v>526</v>
      </c>
      <c r="C133">
        <v>1.05</v>
      </c>
      <c r="D133">
        <v>1.4810000000000001</v>
      </c>
      <c r="E133">
        <v>4.2659999999999998E-3</v>
      </c>
      <c r="F133">
        <v>1.0059999999999999E-3</v>
      </c>
      <c r="G133">
        <v>0.48139999999999999</v>
      </c>
      <c r="H133">
        <v>5.2869999999999999</v>
      </c>
      <c r="I133">
        <v>40001</v>
      </c>
      <c r="J133">
        <v>120000</v>
      </c>
    </row>
    <row r="134" spans="2:10" x14ac:dyDescent="0.25">
      <c r="B134" t="s">
        <v>527</v>
      </c>
      <c r="C134">
        <v>1.2549999999999999</v>
      </c>
      <c r="D134">
        <v>1.288</v>
      </c>
      <c r="E134">
        <v>4.6579999999999998E-3</v>
      </c>
      <c r="F134">
        <v>4.4720000000000003E-3</v>
      </c>
      <c r="G134">
        <v>0.87529999999999997</v>
      </c>
      <c r="H134">
        <v>4.6580000000000004</v>
      </c>
      <c r="I134">
        <v>40001</v>
      </c>
      <c r="J134">
        <v>120000</v>
      </c>
    </row>
    <row r="135" spans="2:10" x14ac:dyDescent="0.25">
      <c r="B135" t="s">
        <v>528</v>
      </c>
      <c r="C135">
        <v>1.37</v>
      </c>
      <c r="D135">
        <v>1.7</v>
      </c>
      <c r="E135">
        <v>5.0499999999999998E-3</v>
      </c>
      <c r="F135">
        <v>1.7489999999999999E-3</v>
      </c>
      <c r="G135">
        <v>0.73939999999999995</v>
      </c>
      <c r="H135">
        <v>6.0839999999999996</v>
      </c>
      <c r="I135">
        <v>40001</v>
      </c>
      <c r="J135">
        <v>120000</v>
      </c>
    </row>
    <row r="136" spans="2:10" x14ac:dyDescent="0.25">
      <c r="B136" t="s">
        <v>529</v>
      </c>
      <c r="C136">
        <v>1.2649999999999999</v>
      </c>
      <c r="D136">
        <v>1.7170000000000001</v>
      </c>
      <c r="E136">
        <v>5.1549999999999999E-3</v>
      </c>
      <c r="F136">
        <v>1.395E-3</v>
      </c>
      <c r="G136">
        <v>0.60509999999999997</v>
      </c>
      <c r="H136">
        <v>6.1539999999999999</v>
      </c>
      <c r="I136">
        <v>40001</v>
      </c>
      <c r="J136">
        <v>120000</v>
      </c>
    </row>
    <row r="137" spans="2:10" x14ac:dyDescent="0.25">
      <c r="B137" t="s">
        <v>530</v>
      </c>
      <c r="C137">
        <v>0.59079999999999999</v>
      </c>
      <c r="D137">
        <v>0.64200000000000002</v>
      </c>
      <c r="E137">
        <v>1.9849999999999998E-3</v>
      </c>
      <c r="F137">
        <v>1.341E-2</v>
      </c>
      <c r="G137">
        <v>0.38450000000000001</v>
      </c>
      <c r="H137">
        <v>2.343</v>
      </c>
      <c r="I137">
        <v>40001</v>
      </c>
      <c r="J137">
        <v>120000</v>
      </c>
    </row>
    <row r="138" spans="2:10" x14ac:dyDescent="0.25">
      <c r="B138" t="s">
        <v>531</v>
      </c>
      <c r="C138">
        <v>0.58440000000000003</v>
      </c>
      <c r="D138">
        <v>0.85209999999999997</v>
      </c>
      <c r="E138">
        <v>2.7569999999999999E-3</v>
      </c>
      <c r="F138" s="13">
        <v>6.0720000000000001E-4</v>
      </c>
      <c r="G138">
        <v>0.25950000000000001</v>
      </c>
      <c r="H138">
        <v>3.0019999999999998</v>
      </c>
      <c r="I138">
        <v>40001</v>
      </c>
      <c r="J138">
        <v>120000</v>
      </c>
    </row>
    <row r="139" spans="2:10" x14ac:dyDescent="0.25">
      <c r="B139" t="s">
        <v>532</v>
      </c>
      <c r="C139">
        <v>0.79039999999999999</v>
      </c>
      <c r="D139">
        <v>1.081</v>
      </c>
      <c r="E139">
        <v>3.2450000000000001E-3</v>
      </c>
      <c r="F139" s="13">
        <v>8.5380000000000005E-4</v>
      </c>
      <c r="G139">
        <v>0.374</v>
      </c>
      <c r="H139">
        <v>3.847</v>
      </c>
      <c r="I139">
        <v>40001</v>
      </c>
      <c r="J139">
        <v>120000</v>
      </c>
    </row>
    <row r="140" spans="2:10" x14ac:dyDescent="0.25">
      <c r="B140" t="s">
        <v>533</v>
      </c>
      <c r="C140">
        <v>1.734</v>
      </c>
      <c r="D140">
        <v>2.0590000000000002</v>
      </c>
      <c r="E140">
        <v>6.5550000000000001E-3</v>
      </c>
      <c r="F140">
        <v>2.5769999999999999E-3</v>
      </c>
      <c r="G140">
        <v>1.004</v>
      </c>
      <c r="H140">
        <v>7.3559999999999999</v>
      </c>
      <c r="I140">
        <v>40001</v>
      </c>
      <c r="J140">
        <v>120000</v>
      </c>
    </row>
    <row r="141" spans="2:10" x14ac:dyDescent="0.25">
      <c r="B141" t="s">
        <v>534</v>
      </c>
      <c r="C141">
        <v>2.387</v>
      </c>
      <c r="D141">
        <v>1.4910000000000001</v>
      </c>
      <c r="E141">
        <v>4.6620000000000003E-3</v>
      </c>
      <c r="F141">
        <v>0.4461</v>
      </c>
      <c r="G141">
        <v>2.073</v>
      </c>
      <c r="H141">
        <v>6.1260000000000003</v>
      </c>
      <c r="I141">
        <v>40001</v>
      </c>
      <c r="J141">
        <v>120000</v>
      </c>
    </row>
    <row r="142" spans="2:10" x14ac:dyDescent="0.25">
      <c r="B142" t="s">
        <v>535</v>
      </c>
      <c r="C142">
        <v>0.58189999999999997</v>
      </c>
      <c r="D142">
        <v>0.8196</v>
      </c>
      <c r="E142">
        <v>2.372E-3</v>
      </c>
      <c r="F142" s="13">
        <v>5.798E-4</v>
      </c>
      <c r="G142">
        <v>0.26569999999999999</v>
      </c>
      <c r="H142">
        <v>2.9249999999999998</v>
      </c>
      <c r="I142">
        <v>40001</v>
      </c>
      <c r="J142">
        <v>120000</v>
      </c>
    </row>
    <row r="143" spans="2:10" x14ac:dyDescent="0.25">
      <c r="B143" t="s">
        <v>536</v>
      </c>
      <c r="C143">
        <v>0.59950000000000003</v>
      </c>
      <c r="D143">
        <v>0.82020000000000004</v>
      </c>
      <c r="E143">
        <v>2.3449999999999999E-3</v>
      </c>
      <c r="F143" s="13">
        <v>5.9599999999999996E-4</v>
      </c>
      <c r="G143">
        <v>0.28260000000000002</v>
      </c>
      <c r="H143">
        <v>2.927</v>
      </c>
      <c r="I143">
        <v>40001</v>
      </c>
      <c r="J143">
        <v>120000</v>
      </c>
    </row>
    <row r="144" spans="2:10" x14ac:dyDescent="0.25">
      <c r="B144" t="s">
        <v>537</v>
      </c>
      <c r="C144">
        <v>2.464</v>
      </c>
      <c r="D144">
        <v>2.2469999999999999</v>
      </c>
      <c r="E144">
        <v>7.5940000000000001E-3</v>
      </c>
      <c r="F144">
        <v>1.431E-2</v>
      </c>
      <c r="G144">
        <v>1.8859999999999999</v>
      </c>
      <c r="H144">
        <v>8.2210000000000001</v>
      </c>
      <c r="I144">
        <v>40001</v>
      </c>
      <c r="J144">
        <v>120000</v>
      </c>
    </row>
    <row r="145" spans="2:10" x14ac:dyDescent="0.25">
      <c r="B145" t="s">
        <v>538</v>
      </c>
      <c r="C145">
        <v>2.0670000000000002</v>
      </c>
      <c r="D145">
        <v>1.903</v>
      </c>
      <c r="E145">
        <v>5.7419999999999997E-3</v>
      </c>
      <c r="F145">
        <v>1.448E-2</v>
      </c>
      <c r="G145">
        <v>1.5649999999999999</v>
      </c>
      <c r="H145">
        <v>6.98</v>
      </c>
      <c r="I145">
        <v>40001</v>
      </c>
      <c r="J145">
        <v>120000</v>
      </c>
    </row>
    <row r="146" spans="2:10" x14ac:dyDescent="0.25">
      <c r="B146" t="s">
        <v>539</v>
      </c>
      <c r="C146">
        <v>1.464</v>
      </c>
      <c r="D146">
        <v>1.84</v>
      </c>
      <c r="E146">
        <v>5.1159999999999999E-3</v>
      </c>
      <c r="F146">
        <v>1.9319999999999999E-3</v>
      </c>
      <c r="G146">
        <v>0.78349999999999997</v>
      </c>
      <c r="H146">
        <v>6.58</v>
      </c>
      <c r="I146">
        <v>40001</v>
      </c>
      <c r="J146">
        <v>120000</v>
      </c>
    </row>
    <row r="147" spans="2:10" x14ac:dyDescent="0.25">
      <c r="B147" t="s">
        <v>540</v>
      </c>
      <c r="C147">
        <v>0.93530000000000002</v>
      </c>
      <c r="D147">
        <v>0.95230000000000004</v>
      </c>
      <c r="E147">
        <v>2.8930000000000002E-3</v>
      </c>
      <c r="F147">
        <v>2.341E-2</v>
      </c>
      <c r="G147">
        <v>0.64059999999999995</v>
      </c>
      <c r="H147">
        <v>3.496</v>
      </c>
      <c r="I147">
        <v>40001</v>
      </c>
      <c r="J147">
        <v>120000</v>
      </c>
    </row>
    <row r="148" spans="2:10" x14ac:dyDescent="0.25">
      <c r="B148" t="s">
        <v>541</v>
      </c>
      <c r="C148">
        <v>0.56430000000000002</v>
      </c>
      <c r="D148">
        <v>0.78029999999999999</v>
      </c>
      <c r="E148">
        <v>2.297E-3</v>
      </c>
      <c r="F148" s="13">
        <v>5.599E-4</v>
      </c>
      <c r="G148">
        <v>0.2641</v>
      </c>
      <c r="H148">
        <v>2.782</v>
      </c>
      <c r="I148">
        <v>40001</v>
      </c>
      <c r="J148">
        <v>120000</v>
      </c>
    </row>
    <row r="149" spans="2:10" x14ac:dyDescent="0.25">
      <c r="B149" t="s">
        <v>542</v>
      </c>
      <c r="C149">
        <v>0.63819999999999999</v>
      </c>
      <c r="D149">
        <v>0.87239999999999995</v>
      </c>
      <c r="E149">
        <v>2.6229999999999999E-3</v>
      </c>
      <c r="F149" s="13">
        <v>6.265E-4</v>
      </c>
      <c r="G149">
        <v>0.3019</v>
      </c>
      <c r="H149">
        <v>3.1240000000000001</v>
      </c>
      <c r="I149">
        <v>40001</v>
      </c>
      <c r="J149">
        <v>120000</v>
      </c>
    </row>
    <row r="150" spans="2:10" x14ac:dyDescent="0.25">
      <c r="B150" t="s">
        <v>543</v>
      </c>
      <c r="C150">
        <v>0.8508</v>
      </c>
      <c r="D150">
        <v>0.9849</v>
      </c>
      <c r="E150">
        <v>2.9220000000000001E-3</v>
      </c>
      <c r="F150">
        <v>1.457E-3</v>
      </c>
      <c r="G150">
        <v>0.51080000000000003</v>
      </c>
      <c r="H150">
        <v>3.4990000000000001</v>
      </c>
      <c r="I150">
        <v>40001</v>
      </c>
      <c r="J150">
        <v>120000</v>
      </c>
    </row>
    <row r="151" spans="2:10" x14ac:dyDescent="0.25">
      <c r="B151" t="s">
        <v>544</v>
      </c>
      <c r="C151">
        <v>0.70409999999999995</v>
      </c>
      <c r="D151">
        <v>0.99460000000000004</v>
      </c>
      <c r="E151">
        <v>2.8739999999999998E-3</v>
      </c>
      <c r="F151" s="13">
        <v>6.5939999999999998E-4</v>
      </c>
      <c r="G151">
        <v>0.3226</v>
      </c>
      <c r="H151">
        <v>3.5259999999999998</v>
      </c>
      <c r="I151">
        <v>40001</v>
      </c>
      <c r="J151">
        <v>120000</v>
      </c>
    </row>
    <row r="152" spans="2:10" x14ac:dyDescent="0.25">
      <c r="B152" t="s">
        <v>545</v>
      </c>
      <c r="C152">
        <v>1.0309999999999999</v>
      </c>
      <c r="D152">
        <v>1.46</v>
      </c>
      <c r="E152">
        <v>5.6020000000000002E-3</v>
      </c>
      <c r="F152">
        <v>1.013E-3</v>
      </c>
      <c r="G152">
        <v>0.47089999999999999</v>
      </c>
      <c r="H152">
        <v>5.1580000000000004</v>
      </c>
      <c r="I152">
        <v>40001</v>
      </c>
      <c r="J152">
        <v>120000</v>
      </c>
    </row>
    <row r="153" spans="2:10" x14ac:dyDescent="0.25">
      <c r="B153" t="s">
        <v>546</v>
      </c>
      <c r="C153">
        <v>1.044</v>
      </c>
      <c r="D153">
        <v>1.48</v>
      </c>
      <c r="E153">
        <v>4.1910000000000003E-3</v>
      </c>
      <c r="F153">
        <v>1.111E-3</v>
      </c>
      <c r="G153">
        <v>0.4758</v>
      </c>
      <c r="H153">
        <v>5.2270000000000003</v>
      </c>
      <c r="I153">
        <v>40001</v>
      </c>
      <c r="J153">
        <v>120000</v>
      </c>
    </row>
    <row r="154" spans="2:10" x14ac:dyDescent="0.25">
      <c r="B154" t="s">
        <v>547</v>
      </c>
      <c r="C154">
        <v>0.51019999999999999</v>
      </c>
      <c r="D154">
        <v>0.73450000000000004</v>
      </c>
      <c r="E154">
        <v>2.2720000000000001E-3</v>
      </c>
      <c r="F154" s="13">
        <v>4.9700000000000005E-4</v>
      </c>
      <c r="G154">
        <v>0.22850000000000001</v>
      </c>
      <c r="H154">
        <v>2.593</v>
      </c>
      <c r="I154">
        <v>40001</v>
      </c>
      <c r="J154">
        <v>120000</v>
      </c>
    </row>
    <row r="155" spans="2:10" x14ac:dyDescent="0.25">
      <c r="B155" t="s">
        <v>548</v>
      </c>
      <c r="C155">
        <v>0.71120000000000005</v>
      </c>
      <c r="D155">
        <v>0.99590000000000001</v>
      </c>
      <c r="E155">
        <v>2.9849999999999998E-3</v>
      </c>
      <c r="F155" s="13">
        <v>6.8809999999999997E-4</v>
      </c>
      <c r="G155">
        <v>0.32550000000000001</v>
      </c>
      <c r="H155">
        <v>3.5310000000000001</v>
      </c>
      <c r="I155">
        <v>40001</v>
      </c>
      <c r="J155">
        <v>120000</v>
      </c>
    </row>
    <row r="156" spans="2:10" x14ac:dyDescent="0.25">
      <c r="B156" t="s">
        <v>549</v>
      </c>
      <c r="C156">
        <v>0.82609999999999995</v>
      </c>
      <c r="D156">
        <v>0.86350000000000005</v>
      </c>
      <c r="E156">
        <v>2.7820000000000002E-3</v>
      </c>
      <c r="F156">
        <v>1.9259999999999999E-2</v>
      </c>
      <c r="G156">
        <v>0.55310000000000004</v>
      </c>
      <c r="H156">
        <v>3.1549999999999998</v>
      </c>
      <c r="I156">
        <v>40001</v>
      </c>
      <c r="J156">
        <v>120000</v>
      </c>
    </row>
    <row r="157" spans="2:10" x14ac:dyDescent="0.25">
      <c r="B157" t="s">
        <v>550</v>
      </c>
      <c r="C157">
        <v>1.411</v>
      </c>
      <c r="D157">
        <v>1.8220000000000001</v>
      </c>
      <c r="E157">
        <v>5.4980000000000003E-3</v>
      </c>
      <c r="F157">
        <v>1.686E-3</v>
      </c>
      <c r="G157">
        <v>0.72509999999999997</v>
      </c>
      <c r="H157">
        <v>6.5069999999999997</v>
      </c>
      <c r="I157">
        <v>40001</v>
      </c>
      <c r="J157">
        <v>120000</v>
      </c>
    </row>
    <row r="158" spans="2:10" x14ac:dyDescent="0.25">
      <c r="B158" t="s">
        <v>551</v>
      </c>
      <c r="C158">
        <v>1.2030000000000001</v>
      </c>
      <c r="D158">
        <v>1.518</v>
      </c>
      <c r="E158">
        <v>5.0850000000000001E-3</v>
      </c>
      <c r="F158">
        <v>1.547E-3</v>
      </c>
      <c r="G158">
        <v>0.62890000000000001</v>
      </c>
      <c r="H158">
        <v>5.4039999999999999</v>
      </c>
      <c r="I158">
        <v>40001</v>
      </c>
      <c r="J158">
        <v>120000</v>
      </c>
    </row>
    <row r="159" spans="2:10" x14ac:dyDescent="0.25">
      <c r="B159" t="s">
        <v>552</v>
      </c>
      <c r="C159">
        <v>0.93679999999999997</v>
      </c>
      <c r="D159">
        <v>1.2050000000000001</v>
      </c>
      <c r="E159">
        <v>3.4199999999999999E-3</v>
      </c>
      <c r="F159">
        <v>1.137E-3</v>
      </c>
      <c r="G159">
        <v>0.48559999999999998</v>
      </c>
      <c r="H159">
        <v>4.2960000000000003</v>
      </c>
      <c r="I159">
        <v>40001</v>
      </c>
      <c r="J159">
        <v>120000</v>
      </c>
    </row>
    <row r="160" spans="2:10" x14ac:dyDescent="0.25">
      <c r="B160" t="s">
        <v>553</v>
      </c>
      <c r="C160">
        <v>0.79310000000000003</v>
      </c>
      <c r="D160">
        <v>1.026</v>
      </c>
      <c r="E160">
        <v>3.4429999999999999E-3</v>
      </c>
      <c r="F160" s="13">
        <v>9.0350000000000001E-4</v>
      </c>
      <c r="G160">
        <v>0.40379999999999999</v>
      </c>
      <c r="H160">
        <v>3.6829999999999998</v>
      </c>
      <c r="I160">
        <v>40001</v>
      </c>
      <c r="J160">
        <v>120000</v>
      </c>
    </row>
    <row r="161" spans="2:10" x14ac:dyDescent="0.25">
      <c r="B161" t="s">
        <v>554</v>
      </c>
      <c r="C161">
        <v>0.7087</v>
      </c>
      <c r="D161">
        <v>1.0129999999999999</v>
      </c>
      <c r="E161">
        <v>3.0339999999999998E-3</v>
      </c>
      <c r="F161" s="13">
        <v>6.6330000000000002E-4</v>
      </c>
      <c r="G161">
        <v>0.31969999999999998</v>
      </c>
      <c r="H161">
        <v>3.5790000000000002</v>
      </c>
      <c r="I161">
        <v>40001</v>
      </c>
      <c r="J161">
        <v>120000</v>
      </c>
    </row>
    <row r="162" spans="2:10" x14ac:dyDescent="0.25">
      <c r="B162" t="s">
        <v>555</v>
      </c>
      <c r="C162">
        <v>0.65800000000000003</v>
      </c>
      <c r="D162">
        <v>0.93340000000000001</v>
      </c>
      <c r="E162">
        <v>2.8319999999999999E-3</v>
      </c>
      <c r="F162" s="13">
        <v>6.6909999999999995E-4</v>
      </c>
      <c r="G162">
        <v>0.30130000000000001</v>
      </c>
      <c r="H162">
        <v>3.3069999999999999</v>
      </c>
      <c r="I162">
        <v>40001</v>
      </c>
      <c r="J162">
        <v>120000</v>
      </c>
    </row>
    <row r="163" spans="2:10" x14ac:dyDescent="0.25">
      <c r="B163" t="s">
        <v>556</v>
      </c>
      <c r="C163">
        <v>0.62849999999999995</v>
      </c>
      <c r="D163">
        <v>0.8609</v>
      </c>
      <c r="E163">
        <v>2.7290000000000001E-3</v>
      </c>
      <c r="F163" s="13">
        <v>6.3770000000000005E-4</v>
      </c>
      <c r="G163">
        <v>0.29499999999999998</v>
      </c>
      <c r="H163">
        <v>3.08</v>
      </c>
      <c r="I163">
        <v>40001</v>
      </c>
      <c r="J163">
        <v>120000</v>
      </c>
    </row>
    <row r="164" spans="2:10" x14ac:dyDescent="0.25">
      <c r="B164" t="s">
        <v>557</v>
      </c>
      <c r="C164">
        <v>0.65090000000000003</v>
      </c>
      <c r="D164">
        <v>0.91659999999999997</v>
      </c>
      <c r="E164">
        <v>2.7680000000000001E-3</v>
      </c>
      <c r="F164" s="13">
        <v>6.1720000000000004E-4</v>
      </c>
      <c r="G164">
        <v>0.29730000000000001</v>
      </c>
      <c r="H164">
        <v>3.2639999999999998</v>
      </c>
      <c r="I164">
        <v>40001</v>
      </c>
      <c r="J164">
        <v>120000</v>
      </c>
    </row>
    <row r="165" spans="2:10" x14ac:dyDescent="0.25">
      <c r="B165" t="s">
        <v>558</v>
      </c>
      <c r="C165">
        <v>0.47</v>
      </c>
      <c r="D165">
        <v>0.66510000000000002</v>
      </c>
      <c r="E165">
        <v>1.9740000000000001E-3</v>
      </c>
      <c r="F165" s="13">
        <v>4.4999999999999999E-4</v>
      </c>
      <c r="G165">
        <v>0.21329999999999999</v>
      </c>
      <c r="H165">
        <v>2.3639999999999999</v>
      </c>
      <c r="I165">
        <v>40001</v>
      </c>
      <c r="J165">
        <v>120000</v>
      </c>
    </row>
    <row r="166" spans="2:10" x14ac:dyDescent="0.25">
      <c r="B166" t="s">
        <v>559</v>
      </c>
      <c r="C166">
        <v>0.80010000000000003</v>
      </c>
      <c r="D166">
        <v>1.129</v>
      </c>
      <c r="E166">
        <v>3.3240000000000001E-3</v>
      </c>
      <c r="F166" s="13">
        <v>8.4630000000000003E-4</v>
      </c>
      <c r="G166">
        <v>0.36399999999999999</v>
      </c>
      <c r="H166">
        <v>3.9980000000000002</v>
      </c>
      <c r="I166">
        <v>40001</v>
      </c>
      <c r="J166">
        <v>120000</v>
      </c>
    </row>
    <row r="167" spans="2:10" x14ac:dyDescent="0.25">
      <c r="B167" t="s">
        <v>560</v>
      </c>
      <c r="C167">
        <v>0.47710000000000002</v>
      </c>
      <c r="D167">
        <v>0.71</v>
      </c>
      <c r="E167">
        <v>2.163E-3</v>
      </c>
      <c r="F167" s="13">
        <v>4.2979999999999998E-4</v>
      </c>
      <c r="G167">
        <v>0.2064</v>
      </c>
      <c r="H167">
        <v>2.5110000000000001</v>
      </c>
      <c r="I167">
        <v>40001</v>
      </c>
      <c r="J167">
        <v>120000</v>
      </c>
    </row>
    <row r="168" spans="2:10" x14ac:dyDescent="0.25">
      <c r="B168" t="s">
        <v>561</v>
      </c>
      <c r="C168">
        <v>1.615</v>
      </c>
      <c r="D168">
        <v>1.7749999999999999</v>
      </c>
      <c r="E168">
        <v>6.8780000000000004E-3</v>
      </c>
      <c r="F168">
        <v>3.2260000000000001E-3</v>
      </c>
      <c r="G168">
        <v>1.038</v>
      </c>
      <c r="H168">
        <v>6.3780000000000001</v>
      </c>
      <c r="I168">
        <v>40001</v>
      </c>
      <c r="J168">
        <v>120000</v>
      </c>
    </row>
    <row r="169" spans="2:10" x14ac:dyDescent="0.25">
      <c r="B169" t="s">
        <v>562</v>
      </c>
      <c r="C169">
        <v>1.6359999999999999</v>
      </c>
      <c r="D169">
        <v>1.8340000000000001</v>
      </c>
      <c r="E169">
        <v>5.5440000000000003E-3</v>
      </c>
      <c r="F169">
        <v>3.0010000000000002E-3</v>
      </c>
      <c r="G169">
        <v>1.022</v>
      </c>
      <c r="H169">
        <v>6.5780000000000003</v>
      </c>
      <c r="I169">
        <v>40001</v>
      </c>
      <c r="J169">
        <v>120000</v>
      </c>
    </row>
    <row r="170" spans="2:10" x14ac:dyDescent="0.25">
      <c r="B170" t="s">
        <v>563</v>
      </c>
      <c r="C170">
        <v>0.88629999999999998</v>
      </c>
      <c r="D170">
        <v>1.206</v>
      </c>
      <c r="E170">
        <v>3.898E-3</v>
      </c>
      <c r="F170" s="13">
        <v>9.278E-4</v>
      </c>
      <c r="G170">
        <v>0.42109999999999997</v>
      </c>
      <c r="H170">
        <v>4.3179999999999996</v>
      </c>
      <c r="I170">
        <v>40001</v>
      </c>
      <c r="J170">
        <v>120000</v>
      </c>
    </row>
    <row r="171" spans="2:10" x14ac:dyDescent="0.25">
      <c r="B171" t="s">
        <v>564</v>
      </c>
      <c r="C171">
        <v>0.65690000000000004</v>
      </c>
      <c r="D171">
        <v>0.92959999999999998</v>
      </c>
      <c r="E171">
        <v>3.0479999999999999E-3</v>
      </c>
      <c r="F171" s="13">
        <v>6.3960000000000004E-4</v>
      </c>
      <c r="G171">
        <v>0.29730000000000001</v>
      </c>
      <c r="H171">
        <v>3.3210000000000002</v>
      </c>
      <c r="I171">
        <v>40001</v>
      </c>
      <c r="J171">
        <v>120000</v>
      </c>
    </row>
    <row r="172" spans="2:10" x14ac:dyDescent="0.25">
      <c r="B172" t="s">
        <v>565</v>
      </c>
      <c r="C172">
        <v>0.44409999999999999</v>
      </c>
      <c r="D172">
        <v>0.62770000000000004</v>
      </c>
      <c r="E172">
        <v>2.032E-3</v>
      </c>
      <c r="F172" s="13">
        <v>4.6129999999999999E-4</v>
      </c>
      <c r="G172">
        <v>0.20530000000000001</v>
      </c>
      <c r="H172">
        <v>2.2149999999999999</v>
      </c>
      <c r="I172">
        <v>40001</v>
      </c>
      <c r="J172">
        <v>120000</v>
      </c>
    </row>
    <row r="173" spans="2:10" x14ac:dyDescent="0.25">
      <c r="B173" t="s">
        <v>566</v>
      </c>
      <c r="C173">
        <v>0.77</v>
      </c>
      <c r="D173">
        <v>1.0860000000000001</v>
      </c>
      <c r="E173">
        <v>2.9940000000000001E-3</v>
      </c>
      <c r="F173" s="13">
        <v>7.8509999999999995E-4</v>
      </c>
      <c r="G173">
        <v>0.35289999999999999</v>
      </c>
      <c r="H173">
        <v>3.8690000000000002</v>
      </c>
      <c r="I173">
        <v>40001</v>
      </c>
      <c r="J173">
        <v>120000</v>
      </c>
    </row>
    <row r="174" spans="2:10" x14ac:dyDescent="0.25">
      <c r="B174" t="s">
        <v>567</v>
      </c>
      <c r="C174">
        <v>0.66139999999999999</v>
      </c>
      <c r="D174">
        <v>0.93940000000000001</v>
      </c>
      <c r="E174">
        <v>2.774E-3</v>
      </c>
      <c r="F174" s="13">
        <v>6.6629999999999999E-4</v>
      </c>
      <c r="G174">
        <v>0.30309999999999998</v>
      </c>
      <c r="H174">
        <v>3.3340000000000001</v>
      </c>
      <c r="I174">
        <v>40001</v>
      </c>
      <c r="J174">
        <v>120000</v>
      </c>
    </row>
    <row r="175" spans="2:10" x14ac:dyDescent="0.25">
      <c r="B175" t="s">
        <v>568</v>
      </c>
      <c r="C175">
        <v>0.50219999999999998</v>
      </c>
      <c r="D175">
        <v>0.7006</v>
      </c>
      <c r="E175">
        <v>2.1059999999999998E-3</v>
      </c>
      <c r="F175" s="13">
        <v>5.1020000000000004E-4</v>
      </c>
      <c r="G175">
        <v>0.2329</v>
      </c>
      <c r="H175">
        <v>2.4769999999999999</v>
      </c>
      <c r="I175">
        <v>40001</v>
      </c>
      <c r="J175">
        <v>120000</v>
      </c>
    </row>
    <row r="176" spans="2:10" x14ac:dyDescent="0.25">
      <c r="B176" t="s">
        <v>569</v>
      </c>
      <c r="C176">
        <v>0.57089999999999996</v>
      </c>
      <c r="D176">
        <v>0.82830000000000004</v>
      </c>
      <c r="E176">
        <v>2.6180000000000001E-3</v>
      </c>
      <c r="F176" s="13">
        <v>5.4969999999999997E-4</v>
      </c>
      <c r="G176">
        <v>0.25480000000000003</v>
      </c>
      <c r="H176">
        <v>2.9020000000000001</v>
      </c>
      <c r="I176">
        <v>40001</v>
      </c>
      <c r="J176">
        <v>120000</v>
      </c>
    </row>
    <row r="177" spans="2:10" x14ac:dyDescent="0.25">
      <c r="B177" t="s">
        <v>570</v>
      </c>
      <c r="C177">
        <v>0.76500000000000001</v>
      </c>
      <c r="D177">
        <v>1.0629999999999999</v>
      </c>
      <c r="E177">
        <v>2.9989999999999999E-3</v>
      </c>
      <c r="F177" s="13">
        <v>8.0550000000000001E-4</v>
      </c>
      <c r="G177">
        <v>0.35260000000000002</v>
      </c>
      <c r="H177">
        <v>3.8</v>
      </c>
      <c r="I177">
        <v>40001</v>
      </c>
      <c r="J177">
        <v>120000</v>
      </c>
    </row>
    <row r="178" spans="2:10" x14ac:dyDescent="0.25">
      <c r="B178" t="s">
        <v>571</v>
      </c>
      <c r="C178">
        <v>1.3819999999999999</v>
      </c>
      <c r="D178">
        <v>1.7909999999999999</v>
      </c>
      <c r="E178">
        <v>5.3140000000000001E-3</v>
      </c>
      <c r="F178">
        <v>1.5889999999999999E-3</v>
      </c>
      <c r="G178">
        <v>0.70430000000000004</v>
      </c>
      <c r="H178">
        <v>6.4349999999999996</v>
      </c>
      <c r="I178">
        <v>40001</v>
      </c>
      <c r="J178">
        <v>120000</v>
      </c>
    </row>
    <row r="179" spans="2:10" x14ac:dyDescent="0.25">
      <c r="B179" t="s">
        <v>572</v>
      </c>
      <c r="C179">
        <v>0.81769999999999998</v>
      </c>
      <c r="D179">
        <v>0.8417</v>
      </c>
      <c r="E179">
        <v>2.5309999999999998E-3</v>
      </c>
      <c r="F179">
        <v>1.9820000000000001E-2</v>
      </c>
      <c r="G179">
        <v>0.55520000000000003</v>
      </c>
      <c r="H179">
        <v>3.0720000000000001</v>
      </c>
      <c r="I179">
        <v>40001</v>
      </c>
      <c r="J179">
        <v>120000</v>
      </c>
    </row>
    <row r="180" spans="2:10" x14ac:dyDescent="0.25">
      <c r="B180" t="s">
        <v>573</v>
      </c>
      <c r="C180">
        <v>0.72829999999999995</v>
      </c>
      <c r="D180">
        <v>1.0209999999999999</v>
      </c>
      <c r="E180">
        <v>3.176E-3</v>
      </c>
      <c r="F180" s="13">
        <v>6.9959999999999998E-4</v>
      </c>
      <c r="G180">
        <v>0.33350000000000002</v>
      </c>
      <c r="H180">
        <v>3.649</v>
      </c>
      <c r="I180">
        <v>40001</v>
      </c>
      <c r="J180">
        <v>120000</v>
      </c>
    </row>
    <row r="181" spans="2:10" x14ac:dyDescent="0.25">
      <c r="B181" t="s">
        <v>574</v>
      </c>
      <c r="C181">
        <v>0.79410000000000003</v>
      </c>
      <c r="D181">
        <v>1.014</v>
      </c>
      <c r="E181">
        <v>3.1510000000000002E-3</v>
      </c>
      <c r="F181" s="13">
        <v>9.6489999999999998E-4</v>
      </c>
      <c r="G181">
        <v>0.41020000000000001</v>
      </c>
      <c r="H181">
        <v>3.6230000000000002</v>
      </c>
      <c r="I181">
        <v>40001</v>
      </c>
      <c r="J181">
        <v>120000</v>
      </c>
    </row>
    <row r="182" spans="2:10" x14ac:dyDescent="0.25">
      <c r="B182" t="s">
        <v>575</v>
      </c>
      <c r="C182">
        <v>0.71389999999999998</v>
      </c>
      <c r="D182">
        <v>1.0209999999999999</v>
      </c>
      <c r="E182">
        <v>3.1350000000000002E-3</v>
      </c>
      <c r="F182" s="13">
        <v>6.7480000000000003E-4</v>
      </c>
      <c r="G182">
        <v>0.31990000000000002</v>
      </c>
      <c r="H182">
        <v>3.6190000000000002</v>
      </c>
      <c r="I182">
        <v>40001</v>
      </c>
      <c r="J182">
        <v>120000</v>
      </c>
    </row>
    <row r="183" spans="2:10" x14ac:dyDescent="0.25">
      <c r="B183" t="s">
        <v>576</v>
      </c>
      <c r="C183">
        <v>0.87209999999999999</v>
      </c>
      <c r="D183">
        <v>1.0249999999999999</v>
      </c>
      <c r="E183">
        <v>3.3050000000000002E-3</v>
      </c>
      <c r="F183">
        <v>1.34E-3</v>
      </c>
      <c r="G183">
        <v>0.5131</v>
      </c>
      <c r="H183">
        <v>3.6680000000000001</v>
      </c>
      <c r="I183">
        <v>40001</v>
      </c>
      <c r="J183">
        <v>120000</v>
      </c>
    </row>
    <row r="184" spans="2:10" x14ac:dyDescent="0.25">
      <c r="B184" t="s">
        <v>577</v>
      </c>
      <c r="C184">
        <v>0.85409999999999997</v>
      </c>
      <c r="D184">
        <v>1.157</v>
      </c>
      <c r="E184">
        <v>3.6240000000000001E-3</v>
      </c>
      <c r="F184" s="13">
        <v>9.0970000000000005E-4</v>
      </c>
      <c r="G184">
        <v>0.40529999999999999</v>
      </c>
      <c r="H184">
        <v>4.1479999999999997</v>
      </c>
      <c r="I184">
        <v>40001</v>
      </c>
      <c r="J184">
        <v>120000</v>
      </c>
    </row>
    <row r="185" spans="2:10" x14ac:dyDescent="0.25">
      <c r="B185" t="s">
        <v>578</v>
      </c>
      <c r="C185">
        <v>1.099</v>
      </c>
      <c r="D185">
        <v>1.3080000000000001</v>
      </c>
      <c r="E185">
        <v>4.2050000000000004E-3</v>
      </c>
      <c r="F185">
        <v>1.575E-3</v>
      </c>
      <c r="G185">
        <v>0.63019999999999998</v>
      </c>
      <c r="H185">
        <v>4.6840000000000002</v>
      </c>
      <c r="I185">
        <v>40001</v>
      </c>
      <c r="J185">
        <v>120000</v>
      </c>
    </row>
    <row r="186" spans="2:10" x14ac:dyDescent="0.25">
      <c r="B186" t="s">
        <v>579</v>
      </c>
      <c r="C186">
        <v>0.93130000000000002</v>
      </c>
      <c r="D186">
        <v>1.2450000000000001</v>
      </c>
      <c r="E186">
        <v>4.7759999999999999E-3</v>
      </c>
      <c r="F186" s="13">
        <v>9.546E-4</v>
      </c>
      <c r="G186">
        <v>0.45150000000000001</v>
      </c>
      <c r="H186">
        <v>4.4660000000000002</v>
      </c>
      <c r="I186">
        <v>40001</v>
      </c>
      <c r="J186">
        <v>120000</v>
      </c>
    </row>
    <row r="187" spans="2:10" x14ac:dyDescent="0.25">
      <c r="B187" t="s">
        <v>580</v>
      </c>
      <c r="C187">
        <v>0.76349999999999996</v>
      </c>
      <c r="D187">
        <v>1.103</v>
      </c>
      <c r="E187">
        <v>3.2599999999999999E-3</v>
      </c>
      <c r="F187" s="13">
        <v>7.4339999999999996E-4</v>
      </c>
      <c r="G187">
        <v>0.34370000000000001</v>
      </c>
      <c r="H187">
        <v>3.8860000000000001</v>
      </c>
      <c r="I187">
        <v>40001</v>
      </c>
      <c r="J187">
        <v>120000</v>
      </c>
    </row>
    <row r="188" spans="2:10" x14ac:dyDescent="0.25">
      <c r="B188" t="s">
        <v>581</v>
      </c>
      <c r="C188" s="13">
        <v>8.3329999999999997E-6</v>
      </c>
      <c r="D188">
        <v>2.8869999999999998E-3</v>
      </c>
      <c r="E188" s="13">
        <v>8.3469999999999999E-6</v>
      </c>
      <c r="F188">
        <v>0</v>
      </c>
      <c r="G188">
        <v>0</v>
      </c>
      <c r="H188">
        <v>0</v>
      </c>
      <c r="I188">
        <v>40001</v>
      </c>
      <c r="J188">
        <v>120000</v>
      </c>
    </row>
    <row r="189" spans="2:10" x14ac:dyDescent="0.25">
      <c r="B189" t="s">
        <v>582</v>
      </c>
      <c r="C189" s="13">
        <v>2.5000000000000001E-5</v>
      </c>
      <c r="D189">
        <v>5.0000000000000001E-3</v>
      </c>
      <c r="E189" s="13">
        <v>1.4430000000000001E-5</v>
      </c>
      <c r="F189">
        <v>0</v>
      </c>
      <c r="G189">
        <v>0</v>
      </c>
      <c r="H189">
        <v>0</v>
      </c>
      <c r="I189">
        <v>40001</v>
      </c>
      <c r="J189">
        <v>120000</v>
      </c>
    </row>
    <row r="190" spans="2:10" x14ac:dyDescent="0.25">
      <c r="B190" t="s">
        <v>583</v>
      </c>
      <c r="C190" s="13">
        <v>3.0830000000000001E-4</v>
      </c>
      <c r="D190">
        <v>1.7559999999999999E-2</v>
      </c>
      <c r="E190" s="13">
        <v>5.4599999999999999E-5</v>
      </c>
      <c r="F190">
        <v>0</v>
      </c>
      <c r="G190">
        <v>0</v>
      </c>
      <c r="H190">
        <v>0</v>
      </c>
      <c r="I190">
        <v>40001</v>
      </c>
      <c r="J190">
        <v>120000</v>
      </c>
    </row>
    <row r="191" spans="2:10" x14ac:dyDescent="0.25">
      <c r="B191" t="s">
        <v>584</v>
      </c>
      <c r="C191">
        <v>1.892E-3</v>
      </c>
      <c r="D191">
        <v>4.3450000000000003E-2</v>
      </c>
      <c r="E191" s="13">
        <v>1.5019999999999999E-4</v>
      </c>
      <c r="F191">
        <v>0</v>
      </c>
      <c r="G191">
        <v>0</v>
      </c>
      <c r="H191">
        <v>0</v>
      </c>
      <c r="I191">
        <v>40001</v>
      </c>
      <c r="J191">
        <v>120000</v>
      </c>
    </row>
    <row r="192" spans="2:10" x14ac:dyDescent="0.25">
      <c r="B192" t="s">
        <v>585</v>
      </c>
      <c r="C192">
        <v>1.021E-2</v>
      </c>
      <c r="D192">
        <v>0.10050000000000001</v>
      </c>
      <c r="E192" s="13">
        <v>3.8519999999999998E-4</v>
      </c>
      <c r="F192">
        <v>0</v>
      </c>
      <c r="G192">
        <v>0</v>
      </c>
      <c r="H192">
        <v>0</v>
      </c>
      <c r="I192">
        <v>40001</v>
      </c>
      <c r="J192">
        <v>120000</v>
      </c>
    </row>
    <row r="193" spans="2:10" x14ac:dyDescent="0.25">
      <c r="B193" t="s">
        <v>586</v>
      </c>
      <c r="C193">
        <v>4.0070000000000001E-2</v>
      </c>
      <c r="D193">
        <v>0.1961</v>
      </c>
      <c r="E193" s="13">
        <v>7.6309999999999995E-4</v>
      </c>
      <c r="F193">
        <v>0</v>
      </c>
      <c r="G193">
        <v>0</v>
      </c>
      <c r="H193">
        <v>1</v>
      </c>
      <c r="I193">
        <v>40001</v>
      </c>
      <c r="J193">
        <v>120000</v>
      </c>
    </row>
    <row r="194" spans="2:10" x14ac:dyDescent="0.25">
      <c r="B194" t="s">
        <v>587</v>
      </c>
      <c r="C194">
        <v>0.1389</v>
      </c>
      <c r="D194">
        <v>0.34589999999999999</v>
      </c>
      <c r="E194">
        <v>1.3860000000000001E-3</v>
      </c>
      <c r="F194">
        <v>0</v>
      </c>
      <c r="G194">
        <v>0</v>
      </c>
      <c r="H194">
        <v>1</v>
      </c>
      <c r="I194">
        <v>40001</v>
      </c>
      <c r="J194">
        <v>120000</v>
      </c>
    </row>
    <row r="195" spans="2:10" x14ac:dyDescent="0.25">
      <c r="B195" t="s">
        <v>588</v>
      </c>
      <c r="C195">
        <v>0.41049999999999998</v>
      </c>
      <c r="D195">
        <v>0.4919</v>
      </c>
      <c r="E195">
        <v>1.944E-3</v>
      </c>
      <c r="F195">
        <v>0</v>
      </c>
      <c r="G195">
        <v>0</v>
      </c>
      <c r="H195">
        <v>1</v>
      </c>
      <c r="I195">
        <v>40001</v>
      </c>
      <c r="J195">
        <v>120000</v>
      </c>
    </row>
    <row r="196" spans="2:10" x14ac:dyDescent="0.25">
      <c r="B196" t="s">
        <v>589</v>
      </c>
      <c r="C196">
        <v>0.37819999999999998</v>
      </c>
      <c r="D196">
        <v>0.4849</v>
      </c>
      <c r="E196">
        <v>2.3860000000000001E-3</v>
      </c>
      <c r="F196">
        <v>0</v>
      </c>
      <c r="G196">
        <v>0</v>
      </c>
      <c r="H196">
        <v>1</v>
      </c>
      <c r="I196">
        <v>40001</v>
      </c>
      <c r="J196">
        <v>120000</v>
      </c>
    </row>
    <row r="197" spans="2:10" x14ac:dyDescent="0.25">
      <c r="B197" t="s">
        <v>590</v>
      </c>
      <c r="C197">
        <v>1.9890000000000001E-2</v>
      </c>
      <c r="D197">
        <v>0.1396</v>
      </c>
      <c r="E197" s="13">
        <v>5.0810000000000004E-4</v>
      </c>
      <c r="F197">
        <v>0</v>
      </c>
      <c r="G197">
        <v>0</v>
      </c>
      <c r="H197">
        <v>0</v>
      </c>
      <c r="I197">
        <v>40001</v>
      </c>
      <c r="J197">
        <v>120000</v>
      </c>
    </row>
    <row r="198" spans="2:10" x14ac:dyDescent="0.25">
      <c r="B198" t="s">
        <v>591</v>
      </c>
      <c r="C198" s="13">
        <v>1.083E-4</v>
      </c>
      <c r="D198">
        <v>1.0410000000000001E-2</v>
      </c>
      <c r="E198" s="13">
        <v>2.9790000000000001E-5</v>
      </c>
      <c r="F198">
        <v>0</v>
      </c>
      <c r="G198">
        <v>0</v>
      </c>
      <c r="H198">
        <v>0</v>
      </c>
      <c r="I198">
        <v>40001</v>
      </c>
      <c r="J198">
        <v>120000</v>
      </c>
    </row>
    <row r="199" spans="2:10" x14ac:dyDescent="0.25">
      <c r="B199" t="s">
        <v>592</v>
      </c>
      <c r="C199">
        <v>2.5829999999999998E-3</v>
      </c>
      <c r="D199">
        <v>5.076E-2</v>
      </c>
      <c r="E199" s="13">
        <v>1.716E-4</v>
      </c>
      <c r="F199">
        <v>0</v>
      </c>
      <c r="G199">
        <v>0</v>
      </c>
      <c r="H199">
        <v>0</v>
      </c>
      <c r="I199">
        <v>40001</v>
      </c>
      <c r="J199">
        <v>120000</v>
      </c>
    </row>
    <row r="200" spans="2:10" x14ac:dyDescent="0.25">
      <c r="B200" t="s">
        <v>593</v>
      </c>
      <c r="C200">
        <v>1.5699999999999999E-2</v>
      </c>
      <c r="D200">
        <v>0.12429999999999999</v>
      </c>
      <c r="E200" s="13">
        <v>4.1320000000000001E-4</v>
      </c>
      <c r="F200">
        <v>0</v>
      </c>
      <c r="G200">
        <v>0</v>
      </c>
      <c r="H200">
        <v>0</v>
      </c>
      <c r="I200">
        <v>40001</v>
      </c>
      <c r="J200">
        <v>120000</v>
      </c>
    </row>
    <row r="201" spans="2:10" x14ac:dyDescent="0.25">
      <c r="B201" t="s">
        <v>594</v>
      </c>
      <c r="C201">
        <v>5.5160000000000001E-2</v>
      </c>
      <c r="D201">
        <v>0.2283</v>
      </c>
      <c r="E201" s="13">
        <v>7.7669999999999996E-4</v>
      </c>
      <c r="F201">
        <v>0</v>
      </c>
      <c r="G201">
        <v>0</v>
      </c>
      <c r="H201">
        <v>1</v>
      </c>
      <c r="I201">
        <v>40001</v>
      </c>
      <c r="J201">
        <v>120000</v>
      </c>
    </row>
    <row r="202" spans="2:10" x14ac:dyDescent="0.25">
      <c r="B202" t="s">
        <v>595</v>
      </c>
      <c r="C202">
        <v>0.158</v>
      </c>
      <c r="D202">
        <v>0.36470000000000002</v>
      </c>
      <c r="E202">
        <v>1.235E-3</v>
      </c>
      <c r="F202">
        <v>0</v>
      </c>
      <c r="G202">
        <v>0</v>
      </c>
      <c r="H202">
        <v>1</v>
      </c>
      <c r="I202">
        <v>40001</v>
      </c>
      <c r="J202">
        <v>120000</v>
      </c>
    </row>
    <row r="203" spans="2:10" x14ac:dyDescent="0.25">
      <c r="B203" t="s">
        <v>596</v>
      </c>
      <c r="C203">
        <v>0.30270000000000002</v>
      </c>
      <c r="D203">
        <v>0.45939999999999998</v>
      </c>
      <c r="E203">
        <v>1.4729999999999999E-3</v>
      </c>
      <c r="F203">
        <v>0</v>
      </c>
      <c r="G203">
        <v>0</v>
      </c>
      <c r="H203">
        <v>1</v>
      </c>
      <c r="I203">
        <v>40001</v>
      </c>
      <c r="J203">
        <v>120000</v>
      </c>
    </row>
    <row r="204" spans="2:10" x14ac:dyDescent="0.25">
      <c r="B204" t="s">
        <v>597</v>
      </c>
      <c r="C204">
        <v>0.32229999999999998</v>
      </c>
      <c r="D204">
        <v>0.46729999999999999</v>
      </c>
      <c r="E204">
        <v>1.632E-3</v>
      </c>
      <c r="F204">
        <v>0</v>
      </c>
      <c r="G204">
        <v>0</v>
      </c>
      <c r="H204">
        <v>1</v>
      </c>
      <c r="I204">
        <v>40001</v>
      </c>
      <c r="J204">
        <v>120000</v>
      </c>
    </row>
    <row r="205" spans="2:10" x14ac:dyDescent="0.25">
      <c r="B205" t="s">
        <v>598</v>
      </c>
      <c r="C205">
        <v>0.1275</v>
      </c>
      <c r="D205">
        <v>0.33350000000000002</v>
      </c>
      <c r="E205">
        <v>1.165E-3</v>
      </c>
      <c r="F205">
        <v>0</v>
      </c>
      <c r="G205">
        <v>0</v>
      </c>
      <c r="H205">
        <v>1</v>
      </c>
      <c r="I205">
        <v>40001</v>
      </c>
      <c r="J205">
        <v>120000</v>
      </c>
    </row>
    <row r="206" spans="2:10" x14ac:dyDescent="0.25">
      <c r="B206" t="s">
        <v>599</v>
      </c>
      <c r="C206">
        <v>1.4630000000000001E-2</v>
      </c>
      <c r="D206">
        <v>0.12</v>
      </c>
      <c r="E206" s="13">
        <v>4.0749999999999998E-4</v>
      </c>
      <c r="F206">
        <v>0</v>
      </c>
      <c r="G206">
        <v>0</v>
      </c>
      <c r="H206">
        <v>0</v>
      </c>
      <c r="I206">
        <v>40001</v>
      </c>
      <c r="J206">
        <v>120000</v>
      </c>
    </row>
    <row r="207" spans="2:10" x14ac:dyDescent="0.25">
      <c r="B207" t="s">
        <v>600</v>
      </c>
      <c r="C207">
        <v>1.3420000000000001E-3</v>
      </c>
      <c r="D207">
        <v>3.6600000000000001E-2</v>
      </c>
      <c r="E207" s="13">
        <v>1.145E-4</v>
      </c>
      <c r="F207">
        <v>0</v>
      </c>
      <c r="G207">
        <v>0</v>
      </c>
      <c r="H207">
        <v>0</v>
      </c>
      <c r="I207">
        <v>40001</v>
      </c>
      <c r="J207">
        <v>120000</v>
      </c>
    </row>
    <row r="208" spans="2:10" x14ac:dyDescent="0.25">
      <c r="B208" t="s">
        <v>601</v>
      </c>
      <c r="C208">
        <v>3.3669999999999999E-2</v>
      </c>
      <c r="D208">
        <v>0.1804</v>
      </c>
      <c r="E208" s="13">
        <v>5.9210000000000003E-4</v>
      </c>
      <c r="F208">
        <v>0</v>
      </c>
      <c r="G208">
        <v>0</v>
      </c>
      <c r="H208">
        <v>1</v>
      </c>
      <c r="I208">
        <v>40001</v>
      </c>
      <c r="J208">
        <v>120000</v>
      </c>
    </row>
    <row r="209" spans="2:10" x14ac:dyDescent="0.25">
      <c r="B209" t="s">
        <v>602</v>
      </c>
      <c r="C209">
        <v>0.161</v>
      </c>
      <c r="D209">
        <v>0.36759999999999998</v>
      </c>
      <c r="E209">
        <v>1.222E-3</v>
      </c>
      <c r="F209">
        <v>0</v>
      </c>
      <c r="G209">
        <v>0</v>
      </c>
      <c r="H209">
        <v>1</v>
      </c>
      <c r="I209">
        <v>40001</v>
      </c>
      <c r="J209">
        <v>120000</v>
      </c>
    </row>
    <row r="210" spans="2:10" x14ac:dyDescent="0.25">
      <c r="B210" t="s">
        <v>603</v>
      </c>
      <c r="C210">
        <v>0.29820000000000002</v>
      </c>
      <c r="D210">
        <v>0.45750000000000002</v>
      </c>
      <c r="E210">
        <v>1.436E-3</v>
      </c>
      <c r="F210">
        <v>0</v>
      </c>
      <c r="G210">
        <v>0</v>
      </c>
      <c r="H210">
        <v>1</v>
      </c>
      <c r="I210">
        <v>40001</v>
      </c>
      <c r="J210">
        <v>120000</v>
      </c>
    </row>
    <row r="211" spans="2:10" x14ac:dyDescent="0.25">
      <c r="B211" t="s">
        <v>604</v>
      </c>
      <c r="C211">
        <v>0.27910000000000001</v>
      </c>
      <c r="D211">
        <v>0.4486</v>
      </c>
      <c r="E211">
        <v>1.358E-3</v>
      </c>
      <c r="F211">
        <v>0</v>
      </c>
      <c r="G211">
        <v>0</v>
      </c>
      <c r="H211">
        <v>1</v>
      </c>
      <c r="I211">
        <v>40001</v>
      </c>
      <c r="J211">
        <v>120000</v>
      </c>
    </row>
    <row r="212" spans="2:10" x14ac:dyDescent="0.25">
      <c r="B212" t="s">
        <v>605</v>
      </c>
      <c r="C212">
        <v>0.15060000000000001</v>
      </c>
      <c r="D212">
        <v>0.35770000000000002</v>
      </c>
      <c r="E212">
        <v>1.1999999999999999E-3</v>
      </c>
      <c r="F212">
        <v>0</v>
      </c>
      <c r="G212">
        <v>0</v>
      </c>
      <c r="H212">
        <v>1</v>
      </c>
      <c r="I212">
        <v>40001</v>
      </c>
      <c r="J212">
        <v>120000</v>
      </c>
    </row>
    <row r="213" spans="2:10" x14ac:dyDescent="0.25">
      <c r="B213" t="s">
        <v>606</v>
      </c>
      <c r="C213">
        <v>5.552E-2</v>
      </c>
      <c r="D213">
        <v>0.22900000000000001</v>
      </c>
      <c r="E213" s="13">
        <v>7.6119999999999996E-4</v>
      </c>
      <c r="F213">
        <v>0</v>
      </c>
      <c r="G213">
        <v>0</v>
      </c>
      <c r="H213">
        <v>1</v>
      </c>
      <c r="I213">
        <v>40001</v>
      </c>
      <c r="J213">
        <v>120000</v>
      </c>
    </row>
    <row r="214" spans="2:10" x14ac:dyDescent="0.25">
      <c r="B214" t="s">
        <v>607</v>
      </c>
      <c r="C214">
        <v>1.7319999999999999E-2</v>
      </c>
      <c r="D214">
        <v>0.13039999999999999</v>
      </c>
      <c r="E214" s="13">
        <v>4.3320000000000001E-4</v>
      </c>
      <c r="F214">
        <v>0</v>
      </c>
      <c r="G214">
        <v>0</v>
      </c>
      <c r="H214">
        <v>0</v>
      </c>
      <c r="I214">
        <v>40001</v>
      </c>
      <c r="J214">
        <v>120000</v>
      </c>
    </row>
    <row r="215" spans="2:10" x14ac:dyDescent="0.25">
      <c r="B215" t="s">
        <v>608</v>
      </c>
      <c r="C215">
        <v>4.2079999999999999E-3</v>
      </c>
      <c r="D215">
        <v>6.4740000000000006E-2</v>
      </c>
      <c r="E215" s="13">
        <v>2.1130000000000001E-4</v>
      </c>
      <c r="F215">
        <v>0</v>
      </c>
      <c r="G215">
        <v>0</v>
      </c>
      <c r="H215">
        <v>0</v>
      </c>
      <c r="I215">
        <v>40001</v>
      </c>
      <c r="J215">
        <v>120000</v>
      </c>
    </row>
    <row r="216" spans="2:10" x14ac:dyDescent="0.25">
      <c r="B216" t="s">
        <v>609</v>
      </c>
      <c r="C216" s="13">
        <v>2.9999999999999997E-4</v>
      </c>
      <c r="D216">
        <v>1.7319999999999999E-2</v>
      </c>
      <c r="E216" s="13">
        <v>5.1390000000000001E-5</v>
      </c>
      <c r="F216">
        <v>0</v>
      </c>
      <c r="G216">
        <v>0</v>
      </c>
      <c r="H216">
        <v>0</v>
      </c>
      <c r="I216">
        <v>40001</v>
      </c>
      <c r="J216">
        <v>120000</v>
      </c>
    </row>
    <row r="217" spans="2:10" x14ac:dyDescent="0.25">
      <c r="B217" t="s">
        <v>610</v>
      </c>
      <c r="C217" s="13">
        <v>8.3329999999999997E-6</v>
      </c>
      <c r="D217">
        <v>2.8869999999999998E-3</v>
      </c>
      <c r="E217" s="13">
        <v>8.3469999999999999E-6</v>
      </c>
      <c r="F217">
        <v>0</v>
      </c>
      <c r="G217">
        <v>0</v>
      </c>
      <c r="H217">
        <v>0</v>
      </c>
      <c r="I217">
        <v>40001</v>
      </c>
      <c r="J217">
        <v>120000</v>
      </c>
    </row>
    <row r="218" spans="2:10" x14ac:dyDescent="0.25">
      <c r="B218" t="s">
        <v>611</v>
      </c>
      <c r="C218">
        <v>6.4879999999999993E-2</v>
      </c>
      <c r="D218">
        <v>0.24629999999999999</v>
      </c>
      <c r="E218" s="13">
        <v>9.0399999999999996E-4</v>
      </c>
      <c r="F218">
        <v>0</v>
      </c>
      <c r="G218">
        <v>0</v>
      </c>
      <c r="H218">
        <v>1</v>
      </c>
      <c r="I218">
        <v>40001</v>
      </c>
      <c r="J218">
        <v>120000</v>
      </c>
    </row>
    <row r="219" spans="2:10" x14ac:dyDescent="0.25">
      <c r="B219" t="s">
        <v>612</v>
      </c>
      <c r="C219">
        <v>0.1452</v>
      </c>
      <c r="D219">
        <v>0.3523</v>
      </c>
      <c r="E219">
        <v>1.2949999999999999E-3</v>
      </c>
      <c r="F219">
        <v>0</v>
      </c>
      <c r="G219">
        <v>0</v>
      </c>
      <c r="H219">
        <v>1</v>
      </c>
      <c r="I219">
        <v>40001</v>
      </c>
      <c r="J219">
        <v>120000</v>
      </c>
    </row>
    <row r="220" spans="2:10" x14ac:dyDescent="0.25">
      <c r="B220" t="s">
        <v>613</v>
      </c>
      <c r="C220">
        <v>0.17760000000000001</v>
      </c>
      <c r="D220">
        <v>0.38219999999999998</v>
      </c>
      <c r="E220">
        <v>1.2489999999999999E-3</v>
      </c>
      <c r="F220">
        <v>0</v>
      </c>
      <c r="G220">
        <v>0</v>
      </c>
      <c r="H220">
        <v>1</v>
      </c>
      <c r="I220">
        <v>40001</v>
      </c>
      <c r="J220">
        <v>120000</v>
      </c>
    </row>
    <row r="221" spans="2:10" x14ac:dyDescent="0.25">
      <c r="B221" t="s">
        <v>614</v>
      </c>
      <c r="C221">
        <v>0.17860000000000001</v>
      </c>
      <c r="D221">
        <v>0.38300000000000001</v>
      </c>
      <c r="E221">
        <v>1.1839999999999999E-3</v>
      </c>
      <c r="F221">
        <v>0</v>
      </c>
      <c r="G221">
        <v>0</v>
      </c>
      <c r="H221">
        <v>1</v>
      </c>
      <c r="I221">
        <v>40001</v>
      </c>
      <c r="J221">
        <v>120000</v>
      </c>
    </row>
    <row r="222" spans="2:10" x14ac:dyDescent="0.25">
      <c r="B222" t="s">
        <v>615</v>
      </c>
      <c r="C222">
        <v>0.15040000000000001</v>
      </c>
      <c r="D222">
        <v>0.3574</v>
      </c>
      <c r="E222">
        <v>1.1130000000000001E-3</v>
      </c>
      <c r="F222">
        <v>0</v>
      </c>
      <c r="G222">
        <v>0</v>
      </c>
      <c r="H222">
        <v>1</v>
      </c>
      <c r="I222">
        <v>40001</v>
      </c>
      <c r="J222">
        <v>120000</v>
      </c>
    </row>
    <row r="223" spans="2:10" x14ac:dyDescent="0.25">
      <c r="B223" t="s">
        <v>616</v>
      </c>
      <c r="C223">
        <v>0.10539999999999999</v>
      </c>
      <c r="D223">
        <v>0.30709999999999998</v>
      </c>
      <c r="E223">
        <v>1.021E-3</v>
      </c>
      <c r="F223">
        <v>0</v>
      </c>
      <c r="G223">
        <v>0</v>
      </c>
      <c r="H223">
        <v>1</v>
      </c>
      <c r="I223">
        <v>40001</v>
      </c>
      <c r="J223">
        <v>120000</v>
      </c>
    </row>
    <row r="224" spans="2:10" x14ac:dyDescent="0.25">
      <c r="B224" t="s">
        <v>617</v>
      </c>
      <c r="C224">
        <v>8.9340000000000003E-2</v>
      </c>
      <c r="D224">
        <v>0.28520000000000001</v>
      </c>
      <c r="E224">
        <v>1.0319999999999999E-3</v>
      </c>
      <c r="F224">
        <v>0</v>
      </c>
      <c r="G224">
        <v>0</v>
      </c>
      <c r="H224">
        <v>1</v>
      </c>
      <c r="I224">
        <v>40001</v>
      </c>
      <c r="J224">
        <v>120000</v>
      </c>
    </row>
    <row r="225" spans="2:10" x14ac:dyDescent="0.25">
      <c r="B225" t="s">
        <v>618</v>
      </c>
      <c r="C225">
        <v>5.8029999999999998E-2</v>
      </c>
      <c r="D225">
        <v>0.23380000000000001</v>
      </c>
      <c r="E225" s="13">
        <v>8.3529999999999997E-4</v>
      </c>
      <c r="F225">
        <v>0</v>
      </c>
      <c r="G225">
        <v>0</v>
      </c>
      <c r="H225">
        <v>1</v>
      </c>
      <c r="I225">
        <v>40001</v>
      </c>
      <c r="J225">
        <v>120000</v>
      </c>
    </row>
    <row r="226" spans="2:10" x14ac:dyDescent="0.25">
      <c r="B226" t="s">
        <v>619</v>
      </c>
      <c r="C226">
        <v>2.4039999999999999E-2</v>
      </c>
      <c r="D226">
        <v>0.1532</v>
      </c>
      <c r="E226" s="13">
        <v>5.5670000000000003E-4</v>
      </c>
      <c r="F226">
        <v>0</v>
      </c>
      <c r="G226">
        <v>0</v>
      </c>
      <c r="H226">
        <v>0</v>
      </c>
      <c r="I226">
        <v>40001</v>
      </c>
      <c r="J226">
        <v>120000</v>
      </c>
    </row>
    <row r="227" spans="2:10" x14ac:dyDescent="0.25">
      <c r="B227" t="s">
        <v>620</v>
      </c>
      <c r="C227">
        <v>6.5750000000000001E-3</v>
      </c>
      <c r="D227">
        <v>8.0820000000000003E-2</v>
      </c>
      <c r="E227" s="13">
        <v>3.0709999999999998E-4</v>
      </c>
      <c r="F227">
        <v>0</v>
      </c>
      <c r="G227">
        <v>0</v>
      </c>
      <c r="H227">
        <v>0</v>
      </c>
      <c r="I227">
        <v>40001</v>
      </c>
      <c r="J227">
        <v>120000</v>
      </c>
    </row>
    <row r="228" spans="2:10" x14ac:dyDescent="0.25">
      <c r="B228" t="s">
        <v>621</v>
      </c>
      <c r="C228">
        <v>3.4169999999999999E-2</v>
      </c>
      <c r="D228">
        <v>0.1817</v>
      </c>
      <c r="E228" s="13">
        <v>6.1640000000000002E-4</v>
      </c>
      <c r="F228">
        <v>0</v>
      </c>
      <c r="G228">
        <v>0</v>
      </c>
      <c r="H228">
        <v>1</v>
      </c>
      <c r="I228">
        <v>40001</v>
      </c>
      <c r="J228">
        <v>120000</v>
      </c>
    </row>
    <row r="229" spans="2:10" x14ac:dyDescent="0.25">
      <c r="B229" t="s">
        <v>622</v>
      </c>
      <c r="C229">
        <v>5.2400000000000002E-2</v>
      </c>
      <c r="D229">
        <v>0.2228</v>
      </c>
      <c r="E229" s="13">
        <v>7.6380000000000003E-4</v>
      </c>
      <c r="F229">
        <v>0</v>
      </c>
      <c r="G229">
        <v>0</v>
      </c>
      <c r="H229">
        <v>1</v>
      </c>
      <c r="I229">
        <v>40001</v>
      </c>
      <c r="J229">
        <v>120000</v>
      </c>
    </row>
    <row r="230" spans="2:10" x14ac:dyDescent="0.25">
      <c r="B230" t="s">
        <v>623</v>
      </c>
      <c r="C230">
        <v>5.5559999999999998E-2</v>
      </c>
      <c r="D230">
        <v>0.2291</v>
      </c>
      <c r="E230" s="13">
        <v>7.0790000000000002E-4</v>
      </c>
      <c r="F230">
        <v>0</v>
      </c>
      <c r="G230">
        <v>0</v>
      </c>
      <c r="H230">
        <v>1</v>
      </c>
      <c r="I230">
        <v>40001</v>
      </c>
      <c r="J230">
        <v>120000</v>
      </c>
    </row>
    <row r="231" spans="2:10" x14ac:dyDescent="0.25">
      <c r="B231" t="s">
        <v>624</v>
      </c>
      <c r="C231">
        <v>5.4980000000000001E-2</v>
      </c>
      <c r="D231">
        <v>0.22789999999999999</v>
      </c>
      <c r="E231" s="13">
        <v>7.4439999999999999E-4</v>
      </c>
      <c r="F231">
        <v>0</v>
      </c>
      <c r="G231">
        <v>0</v>
      </c>
      <c r="H231">
        <v>1</v>
      </c>
      <c r="I231">
        <v>40001</v>
      </c>
      <c r="J231">
        <v>120000</v>
      </c>
    </row>
    <row r="232" spans="2:10" x14ac:dyDescent="0.25">
      <c r="B232" t="s">
        <v>625</v>
      </c>
      <c r="C232">
        <v>6.3979999999999995E-2</v>
      </c>
      <c r="D232">
        <v>0.2447</v>
      </c>
      <c r="E232" s="13">
        <v>7.247E-4</v>
      </c>
      <c r="F232">
        <v>0</v>
      </c>
      <c r="G232">
        <v>0</v>
      </c>
      <c r="H232">
        <v>1</v>
      </c>
      <c r="I232">
        <v>40001</v>
      </c>
      <c r="J232">
        <v>120000</v>
      </c>
    </row>
    <row r="233" spans="2:10" x14ac:dyDescent="0.25">
      <c r="B233" t="s">
        <v>626</v>
      </c>
      <c r="C233">
        <v>7.2270000000000001E-2</v>
      </c>
      <c r="D233">
        <v>0.25890000000000002</v>
      </c>
      <c r="E233" s="13">
        <v>8.296E-4</v>
      </c>
      <c r="F233">
        <v>0</v>
      </c>
      <c r="G233">
        <v>0</v>
      </c>
      <c r="H233">
        <v>1</v>
      </c>
      <c r="I233">
        <v>40001</v>
      </c>
      <c r="J233">
        <v>120000</v>
      </c>
    </row>
    <row r="234" spans="2:10" x14ac:dyDescent="0.25">
      <c r="B234" t="s">
        <v>627</v>
      </c>
      <c r="C234">
        <v>8.2129999999999995E-2</v>
      </c>
      <c r="D234">
        <v>0.27460000000000001</v>
      </c>
      <c r="E234" s="13">
        <v>8.2430000000000003E-4</v>
      </c>
      <c r="F234">
        <v>0</v>
      </c>
      <c r="G234">
        <v>0</v>
      </c>
      <c r="H234">
        <v>1</v>
      </c>
      <c r="I234">
        <v>40001</v>
      </c>
      <c r="J234">
        <v>120000</v>
      </c>
    </row>
    <row r="235" spans="2:10" x14ac:dyDescent="0.25">
      <c r="B235" t="s">
        <v>628</v>
      </c>
      <c r="C235">
        <v>0.1221</v>
      </c>
      <c r="D235">
        <v>0.32729999999999998</v>
      </c>
      <c r="E235">
        <v>1.054E-3</v>
      </c>
      <c r="F235">
        <v>0</v>
      </c>
      <c r="G235">
        <v>0</v>
      </c>
      <c r="H235">
        <v>1</v>
      </c>
      <c r="I235">
        <v>40001</v>
      </c>
      <c r="J235">
        <v>120000</v>
      </c>
    </row>
    <row r="236" spans="2:10" x14ac:dyDescent="0.25">
      <c r="B236" t="s">
        <v>629</v>
      </c>
      <c r="C236">
        <v>0.16120000000000001</v>
      </c>
      <c r="D236">
        <v>0.36770000000000003</v>
      </c>
      <c r="E236">
        <v>1.214E-3</v>
      </c>
      <c r="F236">
        <v>0</v>
      </c>
      <c r="G236">
        <v>0</v>
      </c>
      <c r="H236">
        <v>1</v>
      </c>
      <c r="I236">
        <v>40001</v>
      </c>
      <c r="J236">
        <v>120000</v>
      </c>
    </row>
    <row r="237" spans="2:10" x14ac:dyDescent="0.25">
      <c r="B237" t="s">
        <v>630</v>
      </c>
      <c r="C237">
        <v>0.30120000000000002</v>
      </c>
      <c r="D237">
        <v>0.45879999999999999</v>
      </c>
      <c r="E237">
        <v>2.3709999999999998E-3</v>
      </c>
      <c r="F237">
        <v>0</v>
      </c>
      <c r="G237">
        <v>0</v>
      </c>
      <c r="H237">
        <v>1</v>
      </c>
      <c r="I237">
        <v>40001</v>
      </c>
      <c r="J237">
        <v>120000</v>
      </c>
    </row>
    <row r="238" spans="2:10" x14ac:dyDescent="0.25">
      <c r="B238" t="s">
        <v>631</v>
      </c>
      <c r="C238">
        <v>0.31990000000000002</v>
      </c>
      <c r="D238">
        <v>0.46639999999999998</v>
      </c>
      <c r="E238">
        <v>1.9889999999999999E-3</v>
      </c>
      <c r="F238">
        <v>0</v>
      </c>
      <c r="G238">
        <v>0</v>
      </c>
      <c r="H238">
        <v>1</v>
      </c>
      <c r="I238">
        <v>40001</v>
      </c>
      <c r="J238">
        <v>120000</v>
      </c>
    </row>
    <row r="239" spans="2:10" x14ac:dyDescent="0.25">
      <c r="B239" t="s">
        <v>632</v>
      </c>
      <c r="C239">
        <v>0.217</v>
      </c>
      <c r="D239">
        <v>0.41220000000000001</v>
      </c>
      <c r="E239">
        <v>1.315E-3</v>
      </c>
      <c r="F239">
        <v>0</v>
      </c>
      <c r="G239">
        <v>0</v>
      </c>
      <c r="H239">
        <v>1</v>
      </c>
      <c r="I239">
        <v>40001</v>
      </c>
      <c r="J239">
        <v>120000</v>
      </c>
    </row>
    <row r="240" spans="2:10" x14ac:dyDescent="0.25">
      <c r="B240" t="s">
        <v>633</v>
      </c>
      <c r="C240">
        <v>0.1197</v>
      </c>
      <c r="D240">
        <v>0.3246</v>
      </c>
      <c r="E240" s="13">
        <v>9.9170000000000009E-4</v>
      </c>
      <c r="F240">
        <v>0</v>
      </c>
      <c r="G240">
        <v>0</v>
      </c>
      <c r="H240">
        <v>1</v>
      </c>
      <c r="I240">
        <v>40001</v>
      </c>
      <c r="J240">
        <v>120000</v>
      </c>
    </row>
    <row r="241" spans="2:10" x14ac:dyDescent="0.25">
      <c r="B241" t="s">
        <v>634</v>
      </c>
      <c r="C241">
        <v>8.6290000000000006E-2</v>
      </c>
      <c r="D241">
        <v>0.28079999999999999</v>
      </c>
      <c r="E241" s="13">
        <v>8.5380000000000005E-4</v>
      </c>
      <c r="F241">
        <v>0</v>
      </c>
      <c r="G241">
        <v>0</v>
      </c>
      <c r="H241">
        <v>1</v>
      </c>
      <c r="I241">
        <v>40001</v>
      </c>
      <c r="J241">
        <v>120000</v>
      </c>
    </row>
    <row r="242" spans="2:10" x14ac:dyDescent="0.25">
      <c r="B242" t="s">
        <v>635</v>
      </c>
      <c r="C242">
        <v>6.7159999999999997E-2</v>
      </c>
      <c r="D242">
        <v>0.25030000000000002</v>
      </c>
      <c r="E242" s="13">
        <v>7.8310000000000001E-4</v>
      </c>
      <c r="F242">
        <v>0</v>
      </c>
      <c r="G242">
        <v>0</v>
      </c>
      <c r="H242">
        <v>1</v>
      </c>
      <c r="I242">
        <v>40001</v>
      </c>
      <c r="J242">
        <v>120000</v>
      </c>
    </row>
    <row r="243" spans="2:10" x14ac:dyDescent="0.25">
      <c r="B243" t="s">
        <v>636</v>
      </c>
      <c r="C243">
        <v>5.083E-2</v>
      </c>
      <c r="D243">
        <v>0.21970000000000001</v>
      </c>
      <c r="E243" s="13">
        <v>6.8720000000000001E-4</v>
      </c>
      <c r="F243">
        <v>0</v>
      </c>
      <c r="G243">
        <v>0</v>
      </c>
      <c r="H243">
        <v>1</v>
      </c>
      <c r="I243">
        <v>40001</v>
      </c>
      <c r="J243">
        <v>120000</v>
      </c>
    </row>
    <row r="244" spans="2:10" x14ac:dyDescent="0.25">
      <c r="B244" t="s">
        <v>637</v>
      </c>
      <c r="C244">
        <v>4.6649999999999997E-2</v>
      </c>
      <c r="D244">
        <v>0.2109</v>
      </c>
      <c r="E244" s="13">
        <v>7.0819999999999998E-4</v>
      </c>
      <c r="F244">
        <v>0</v>
      </c>
      <c r="G244">
        <v>0</v>
      </c>
      <c r="H244">
        <v>1</v>
      </c>
      <c r="I244">
        <v>40001</v>
      </c>
      <c r="J244">
        <v>120000</v>
      </c>
    </row>
    <row r="245" spans="2:10" x14ac:dyDescent="0.25">
      <c r="B245" t="s">
        <v>638</v>
      </c>
      <c r="C245">
        <v>4.0829999999999998E-2</v>
      </c>
      <c r="D245">
        <v>0.19789999999999999</v>
      </c>
      <c r="E245" s="13">
        <v>6.4630000000000004E-4</v>
      </c>
      <c r="F245">
        <v>0</v>
      </c>
      <c r="G245">
        <v>0</v>
      </c>
      <c r="H245">
        <v>1</v>
      </c>
      <c r="I245">
        <v>40001</v>
      </c>
      <c r="J245">
        <v>120000</v>
      </c>
    </row>
    <row r="246" spans="2:10" x14ac:dyDescent="0.25">
      <c r="B246" t="s">
        <v>639</v>
      </c>
      <c r="C246">
        <v>3.1300000000000001E-2</v>
      </c>
      <c r="D246">
        <v>0.1741</v>
      </c>
      <c r="E246" s="13">
        <v>6.2660000000000005E-4</v>
      </c>
      <c r="F246">
        <v>0</v>
      </c>
      <c r="G246">
        <v>0</v>
      </c>
      <c r="H246">
        <v>1</v>
      </c>
      <c r="I246">
        <v>40001</v>
      </c>
      <c r="J246">
        <v>120000</v>
      </c>
    </row>
    <row r="247" spans="2:10" x14ac:dyDescent="0.25">
      <c r="B247" t="s">
        <v>640</v>
      </c>
      <c r="C247">
        <v>2.027E-2</v>
      </c>
      <c r="D247">
        <v>0.1409</v>
      </c>
      <c r="E247" s="13">
        <v>5.7600000000000001E-4</v>
      </c>
      <c r="F247">
        <v>0</v>
      </c>
      <c r="G247">
        <v>0</v>
      </c>
      <c r="H247">
        <v>0</v>
      </c>
      <c r="I247">
        <v>40001</v>
      </c>
      <c r="J247">
        <v>120000</v>
      </c>
    </row>
    <row r="248" spans="2:10" x14ac:dyDescent="0.25">
      <c r="B248" t="s">
        <v>641</v>
      </c>
      <c r="C248">
        <v>0.42559999999999998</v>
      </c>
      <c r="D248">
        <v>0.49440000000000001</v>
      </c>
      <c r="E248">
        <v>2.0079999999999998E-3</v>
      </c>
      <c r="F248">
        <v>0</v>
      </c>
      <c r="G248">
        <v>0</v>
      </c>
      <c r="H248">
        <v>1</v>
      </c>
      <c r="I248">
        <v>40001</v>
      </c>
      <c r="J248">
        <v>120000</v>
      </c>
    </row>
    <row r="249" spans="2:10" x14ac:dyDescent="0.25">
      <c r="B249" t="s">
        <v>642</v>
      </c>
      <c r="C249">
        <v>0.2109</v>
      </c>
      <c r="D249">
        <v>0.40789999999999998</v>
      </c>
      <c r="E249">
        <v>1.2049999999999999E-3</v>
      </c>
      <c r="F249">
        <v>0</v>
      </c>
      <c r="G249">
        <v>0</v>
      </c>
      <c r="H249">
        <v>1</v>
      </c>
      <c r="I249">
        <v>40001</v>
      </c>
      <c r="J249">
        <v>120000</v>
      </c>
    </row>
    <row r="250" spans="2:10" x14ac:dyDescent="0.25">
      <c r="B250" t="s">
        <v>643</v>
      </c>
      <c r="C250">
        <v>0.1067</v>
      </c>
      <c r="D250">
        <v>0.30869999999999997</v>
      </c>
      <c r="E250" s="13">
        <v>9.1540000000000002E-4</v>
      </c>
      <c r="F250">
        <v>0</v>
      </c>
      <c r="G250">
        <v>0</v>
      </c>
      <c r="H250">
        <v>1</v>
      </c>
      <c r="I250">
        <v>40001</v>
      </c>
      <c r="J250">
        <v>120000</v>
      </c>
    </row>
    <row r="251" spans="2:10" x14ac:dyDescent="0.25">
      <c r="B251" t="s">
        <v>644</v>
      </c>
      <c r="C251">
        <v>8.0790000000000001E-2</v>
      </c>
      <c r="D251">
        <v>0.27250000000000002</v>
      </c>
      <c r="E251" s="13">
        <v>8.9570000000000003E-4</v>
      </c>
      <c r="F251">
        <v>0</v>
      </c>
      <c r="G251">
        <v>0</v>
      </c>
      <c r="H251">
        <v>1</v>
      </c>
      <c r="I251">
        <v>40001</v>
      </c>
      <c r="J251">
        <v>120000</v>
      </c>
    </row>
    <row r="252" spans="2:10" x14ac:dyDescent="0.25">
      <c r="B252" t="s">
        <v>645</v>
      </c>
      <c r="C252">
        <v>6.182E-2</v>
      </c>
      <c r="D252">
        <v>0.24079999999999999</v>
      </c>
      <c r="E252" s="13">
        <v>7.4799999999999997E-4</v>
      </c>
      <c r="F252">
        <v>0</v>
      </c>
      <c r="G252">
        <v>0</v>
      </c>
      <c r="H252">
        <v>1</v>
      </c>
      <c r="I252">
        <v>40001</v>
      </c>
      <c r="J252">
        <v>120000</v>
      </c>
    </row>
    <row r="253" spans="2:10" x14ac:dyDescent="0.25">
      <c r="B253" t="s">
        <v>646</v>
      </c>
      <c r="C253">
        <v>4.0770000000000001E-2</v>
      </c>
      <c r="D253">
        <v>0.1978</v>
      </c>
      <c r="E253" s="13">
        <v>6.2890000000000005E-4</v>
      </c>
      <c r="F253">
        <v>0</v>
      </c>
      <c r="G253">
        <v>0</v>
      </c>
      <c r="H253">
        <v>1</v>
      </c>
      <c r="I253">
        <v>40001</v>
      </c>
      <c r="J253">
        <v>120000</v>
      </c>
    </row>
    <row r="254" spans="2:10" x14ac:dyDescent="0.25">
      <c r="B254" t="s">
        <v>647</v>
      </c>
      <c r="C254">
        <v>3.0009999999999998E-2</v>
      </c>
      <c r="D254">
        <v>0.1706</v>
      </c>
      <c r="E254" s="13">
        <v>5.5940000000000004E-4</v>
      </c>
      <c r="F254">
        <v>0</v>
      </c>
      <c r="G254">
        <v>0</v>
      </c>
      <c r="H254">
        <v>1</v>
      </c>
      <c r="I254">
        <v>40001</v>
      </c>
      <c r="J254">
        <v>120000</v>
      </c>
    </row>
    <row r="255" spans="2:10" x14ac:dyDescent="0.25">
      <c r="B255" t="s">
        <v>648</v>
      </c>
      <c r="C255">
        <v>2.2689999999999998E-2</v>
      </c>
      <c r="D255">
        <v>0.1489</v>
      </c>
      <c r="E255" s="13">
        <v>4.5629999999999998E-4</v>
      </c>
      <c r="F255">
        <v>0</v>
      </c>
      <c r="G255">
        <v>0</v>
      </c>
      <c r="H255">
        <v>0</v>
      </c>
      <c r="I255">
        <v>40001</v>
      </c>
      <c r="J255">
        <v>120000</v>
      </c>
    </row>
    <row r="256" spans="2:10" x14ac:dyDescent="0.25">
      <c r="B256" t="s">
        <v>649</v>
      </c>
      <c r="C256">
        <v>1.404E-2</v>
      </c>
      <c r="D256">
        <v>0.1177</v>
      </c>
      <c r="E256" s="13">
        <v>3.8840000000000001E-4</v>
      </c>
      <c r="F256">
        <v>0</v>
      </c>
      <c r="G256">
        <v>0</v>
      </c>
      <c r="H256">
        <v>0</v>
      </c>
      <c r="I256">
        <v>40001</v>
      </c>
      <c r="J256">
        <v>120000</v>
      </c>
    </row>
    <row r="257" spans="2:10" x14ac:dyDescent="0.25">
      <c r="B257" t="s">
        <v>650</v>
      </c>
      <c r="C257">
        <v>6.783E-3</v>
      </c>
      <c r="D257">
        <v>8.208E-2</v>
      </c>
      <c r="E257" s="13">
        <v>2.967E-4</v>
      </c>
      <c r="F257">
        <v>0</v>
      </c>
      <c r="G257">
        <v>0</v>
      </c>
      <c r="H257">
        <v>0</v>
      </c>
      <c r="I257">
        <v>40001</v>
      </c>
      <c r="J257">
        <v>120000</v>
      </c>
    </row>
    <row r="258" spans="2:10" x14ac:dyDescent="0.25">
      <c r="B258" t="s">
        <v>651</v>
      </c>
      <c r="C258">
        <v>0.11559999999999999</v>
      </c>
      <c r="D258">
        <v>0.31969999999999998</v>
      </c>
      <c r="E258">
        <v>1.1980000000000001E-3</v>
      </c>
      <c r="F258">
        <v>0</v>
      </c>
      <c r="G258">
        <v>0</v>
      </c>
      <c r="H258">
        <v>1</v>
      </c>
      <c r="I258">
        <v>40001</v>
      </c>
      <c r="J258">
        <v>120000</v>
      </c>
    </row>
    <row r="259" spans="2:10" x14ac:dyDescent="0.25">
      <c r="B259" t="s">
        <v>652</v>
      </c>
      <c r="C259">
        <v>0.18</v>
      </c>
      <c r="D259">
        <v>0.38419999999999999</v>
      </c>
      <c r="E259">
        <v>1.3829999999999999E-3</v>
      </c>
      <c r="F259">
        <v>0</v>
      </c>
      <c r="G259">
        <v>0</v>
      </c>
      <c r="H259">
        <v>1</v>
      </c>
      <c r="I259">
        <v>40001</v>
      </c>
      <c r="J259">
        <v>120000</v>
      </c>
    </row>
    <row r="260" spans="2:10" x14ac:dyDescent="0.25">
      <c r="B260" t="s">
        <v>653</v>
      </c>
      <c r="C260">
        <v>0.15379999999999999</v>
      </c>
      <c r="D260">
        <v>0.36080000000000001</v>
      </c>
      <c r="E260">
        <v>1.1329999999999999E-3</v>
      </c>
      <c r="F260">
        <v>0</v>
      </c>
      <c r="G260">
        <v>0</v>
      </c>
      <c r="H260">
        <v>1</v>
      </c>
      <c r="I260">
        <v>40001</v>
      </c>
      <c r="J260">
        <v>120000</v>
      </c>
    </row>
    <row r="261" spans="2:10" x14ac:dyDescent="0.25">
      <c r="B261" t="s">
        <v>654</v>
      </c>
      <c r="C261">
        <v>0.1293</v>
      </c>
      <c r="D261">
        <v>0.33550000000000002</v>
      </c>
      <c r="E261">
        <v>1.0510000000000001E-3</v>
      </c>
      <c r="F261">
        <v>0</v>
      </c>
      <c r="G261">
        <v>0</v>
      </c>
      <c r="H261">
        <v>1</v>
      </c>
      <c r="I261">
        <v>40001</v>
      </c>
      <c r="J261">
        <v>120000</v>
      </c>
    </row>
    <row r="262" spans="2:10" x14ac:dyDescent="0.25">
      <c r="B262" t="s">
        <v>655</v>
      </c>
      <c r="C262">
        <v>0.12820000000000001</v>
      </c>
      <c r="D262">
        <v>0.33429999999999999</v>
      </c>
      <c r="E262">
        <v>1.057E-3</v>
      </c>
      <c r="F262">
        <v>0</v>
      </c>
      <c r="G262">
        <v>0</v>
      </c>
      <c r="H262">
        <v>1</v>
      </c>
      <c r="I262">
        <v>40001</v>
      </c>
      <c r="J262">
        <v>120000</v>
      </c>
    </row>
    <row r="263" spans="2:10" x14ac:dyDescent="0.25">
      <c r="B263" t="s">
        <v>656</v>
      </c>
      <c r="C263">
        <v>9.6689999999999998E-2</v>
      </c>
      <c r="D263">
        <v>0.29549999999999998</v>
      </c>
      <c r="E263" s="13">
        <v>9.1359999999999998E-4</v>
      </c>
      <c r="F263">
        <v>0</v>
      </c>
      <c r="G263">
        <v>0</v>
      </c>
      <c r="H263">
        <v>1</v>
      </c>
      <c r="I263">
        <v>40001</v>
      </c>
      <c r="J263">
        <v>120000</v>
      </c>
    </row>
    <row r="264" spans="2:10" x14ac:dyDescent="0.25">
      <c r="B264" t="s">
        <v>657</v>
      </c>
      <c r="C264">
        <v>7.9020000000000007E-2</v>
      </c>
      <c r="D264">
        <v>0.26979999999999998</v>
      </c>
      <c r="E264" s="13">
        <v>8.7949999999999996E-4</v>
      </c>
      <c r="F264">
        <v>0</v>
      </c>
      <c r="G264">
        <v>0</v>
      </c>
      <c r="H264">
        <v>1</v>
      </c>
      <c r="I264">
        <v>40001</v>
      </c>
      <c r="J264">
        <v>120000</v>
      </c>
    </row>
    <row r="265" spans="2:10" x14ac:dyDescent="0.25">
      <c r="B265" t="s">
        <v>658</v>
      </c>
      <c r="C265">
        <v>6.2129999999999998E-2</v>
      </c>
      <c r="D265">
        <v>0.2414</v>
      </c>
      <c r="E265" s="13">
        <v>7.9580000000000004E-4</v>
      </c>
      <c r="F265">
        <v>0</v>
      </c>
      <c r="G265">
        <v>0</v>
      </c>
      <c r="H265">
        <v>1</v>
      </c>
      <c r="I265">
        <v>40001</v>
      </c>
      <c r="J265">
        <v>120000</v>
      </c>
    </row>
    <row r="266" spans="2:10" x14ac:dyDescent="0.25">
      <c r="B266" t="s">
        <v>659</v>
      </c>
      <c r="C266">
        <v>3.7769999999999998E-2</v>
      </c>
      <c r="D266">
        <v>0.19059999999999999</v>
      </c>
      <c r="E266" s="13">
        <v>6.5050000000000004E-4</v>
      </c>
      <c r="F266">
        <v>0</v>
      </c>
      <c r="G266">
        <v>0</v>
      </c>
      <c r="H266">
        <v>1</v>
      </c>
      <c r="I266">
        <v>40001</v>
      </c>
      <c r="J266">
        <v>120000</v>
      </c>
    </row>
    <row r="267" spans="2:10" x14ac:dyDescent="0.25">
      <c r="B267" t="s">
        <v>660</v>
      </c>
      <c r="C267">
        <v>1.755E-2</v>
      </c>
      <c r="D267">
        <v>0.1313</v>
      </c>
      <c r="E267" s="13">
        <v>4.952E-4</v>
      </c>
      <c r="F267">
        <v>0</v>
      </c>
      <c r="G267">
        <v>0</v>
      </c>
      <c r="H267">
        <v>0</v>
      </c>
      <c r="I267">
        <v>40001</v>
      </c>
      <c r="J267">
        <v>120000</v>
      </c>
    </row>
    <row r="268" spans="2:10" x14ac:dyDescent="0.25">
      <c r="B268" t="s">
        <v>661</v>
      </c>
      <c r="C268">
        <v>0</v>
      </c>
      <c r="D268">
        <v>0</v>
      </c>
      <c r="E268" s="13">
        <v>1.6670000000000001E-13</v>
      </c>
      <c r="F268">
        <v>0</v>
      </c>
      <c r="G268">
        <v>0</v>
      </c>
      <c r="H268">
        <v>0</v>
      </c>
      <c r="I268">
        <v>40001</v>
      </c>
      <c r="J268">
        <v>120000</v>
      </c>
    </row>
    <row r="269" spans="2:10" x14ac:dyDescent="0.25">
      <c r="B269" t="s">
        <v>662</v>
      </c>
      <c r="C269">
        <v>0</v>
      </c>
      <c r="D269">
        <v>0</v>
      </c>
      <c r="E269" s="13">
        <v>1.6670000000000001E-13</v>
      </c>
      <c r="F269">
        <v>0</v>
      </c>
      <c r="G269">
        <v>0</v>
      </c>
      <c r="H269">
        <v>0</v>
      </c>
      <c r="I269">
        <v>40001</v>
      </c>
      <c r="J269">
        <v>120000</v>
      </c>
    </row>
    <row r="270" spans="2:10" x14ac:dyDescent="0.25">
      <c r="B270" t="s">
        <v>663</v>
      </c>
      <c r="C270" s="13">
        <v>5.8329999999999999E-5</v>
      </c>
      <c r="D270">
        <v>7.6369999999999997E-3</v>
      </c>
      <c r="E270" s="13">
        <v>2.1970000000000001E-5</v>
      </c>
      <c r="F270">
        <v>0</v>
      </c>
      <c r="G270">
        <v>0</v>
      </c>
      <c r="H270">
        <v>0</v>
      </c>
      <c r="I270">
        <v>40001</v>
      </c>
      <c r="J270">
        <v>120000</v>
      </c>
    </row>
    <row r="271" spans="2:10" x14ac:dyDescent="0.25">
      <c r="B271" t="s">
        <v>664</v>
      </c>
      <c r="C271" s="13">
        <v>2.1670000000000001E-4</v>
      </c>
      <c r="D271">
        <v>1.472E-2</v>
      </c>
      <c r="E271" s="13">
        <v>4.1669999999999999E-5</v>
      </c>
      <c r="F271">
        <v>0</v>
      </c>
      <c r="G271">
        <v>0</v>
      </c>
      <c r="H271">
        <v>0</v>
      </c>
      <c r="I271">
        <v>40001</v>
      </c>
      <c r="J271">
        <v>120000</v>
      </c>
    </row>
    <row r="272" spans="2:10" x14ac:dyDescent="0.25">
      <c r="B272" t="s">
        <v>665</v>
      </c>
      <c r="C272">
        <v>1.1919999999999999E-3</v>
      </c>
      <c r="D272">
        <v>3.4500000000000003E-2</v>
      </c>
      <c r="E272" s="13">
        <v>1.111E-4</v>
      </c>
      <c r="F272">
        <v>0</v>
      </c>
      <c r="G272">
        <v>0</v>
      </c>
      <c r="H272">
        <v>0</v>
      </c>
      <c r="I272">
        <v>40001</v>
      </c>
      <c r="J272">
        <v>120000</v>
      </c>
    </row>
    <row r="273" spans="2:10" x14ac:dyDescent="0.25">
      <c r="B273" t="s">
        <v>666</v>
      </c>
      <c r="C273">
        <v>3.7420000000000001E-3</v>
      </c>
      <c r="D273">
        <v>6.105E-2</v>
      </c>
      <c r="E273" s="13">
        <v>1.9029999999999999E-4</v>
      </c>
      <c r="F273">
        <v>0</v>
      </c>
      <c r="G273">
        <v>0</v>
      </c>
      <c r="H273">
        <v>0</v>
      </c>
      <c r="I273">
        <v>40001</v>
      </c>
      <c r="J273">
        <v>120000</v>
      </c>
    </row>
    <row r="274" spans="2:10" x14ac:dyDescent="0.25">
      <c r="B274" t="s">
        <v>667</v>
      </c>
      <c r="C274">
        <v>1.2189999999999999E-2</v>
      </c>
      <c r="D274">
        <v>0.10970000000000001</v>
      </c>
      <c r="E274" s="13">
        <v>3.6830000000000001E-4</v>
      </c>
      <c r="F274">
        <v>0</v>
      </c>
      <c r="G274">
        <v>0</v>
      </c>
      <c r="H274">
        <v>0</v>
      </c>
      <c r="I274">
        <v>40001</v>
      </c>
      <c r="J274">
        <v>120000</v>
      </c>
    </row>
    <row r="275" spans="2:10" x14ac:dyDescent="0.25">
      <c r="B275" t="s">
        <v>668</v>
      </c>
      <c r="C275">
        <v>5.0549999999999998E-2</v>
      </c>
      <c r="D275">
        <v>0.21909999999999999</v>
      </c>
      <c r="E275" s="13">
        <v>7.674E-4</v>
      </c>
      <c r="F275">
        <v>0</v>
      </c>
      <c r="G275">
        <v>0</v>
      </c>
      <c r="H275">
        <v>1</v>
      </c>
      <c r="I275">
        <v>40001</v>
      </c>
      <c r="J275">
        <v>120000</v>
      </c>
    </row>
    <row r="276" spans="2:10" x14ac:dyDescent="0.25">
      <c r="B276" t="s">
        <v>669</v>
      </c>
      <c r="C276">
        <v>0.31069999999999998</v>
      </c>
      <c r="D276">
        <v>0.46279999999999999</v>
      </c>
      <c r="E276">
        <v>2.1549999999999998E-3</v>
      </c>
      <c r="F276">
        <v>0</v>
      </c>
      <c r="G276">
        <v>0</v>
      </c>
      <c r="H276">
        <v>1</v>
      </c>
      <c r="I276">
        <v>40001</v>
      </c>
      <c r="J276">
        <v>120000</v>
      </c>
    </row>
    <row r="277" spans="2:10" x14ac:dyDescent="0.25">
      <c r="B277" t="s">
        <v>670</v>
      </c>
      <c r="C277">
        <v>0.62129999999999996</v>
      </c>
      <c r="D277">
        <v>0.48509999999999998</v>
      </c>
      <c r="E277">
        <v>2.4789999999999999E-3</v>
      </c>
      <c r="F277">
        <v>0</v>
      </c>
      <c r="G277">
        <v>1</v>
      </c>
      <c r="H277">
        <v>1</v>
      </c>
      <c r="I277">
        <v>40001</v>
      </c>
      <c r="J277">
        <v>120000</v>
      </c>
    </row>
    <row r="278" spans="2:10" x14ac:dyDescent="0.25">
      <c r="B278" t="s">
        <v>671</v>
      </c>
      <c r="C278">
        <v>6.0749999999999997E-3</v>
      </c>
      <c r="D278">
        <v>7.7710000000000001E-2</v>
      </c>
      <c r="E278" s="13">
        <v>2.4230000000000001E-4</v>
      </c>
      <c r="F278">
        <v>0</v>
      </c>
      <c r="G278">
        <v>0</v>
      </c>
      <c r="H278">
        <v>0</v>
      </c>
      <c r="I278">
        <v>40001</v>
      </c>
      <c r="J278">
        <v>120000</v>
      </c>
    </row>
    <row r="279" spans="2:10" x14ac:dyDescent="0.25">
      <c r="B279" t="s">
        <v>672</v>
      </c>
      <c r="C279">
        <v>3.0870000000000002E-2</v>
      </c>
      <c r="D279">
        <v>0.17299999999999999</v>
      </c>
      <c r="E279" s="13">
        <v>5.7939999999999999E-4</v>
      </c>
      <c r="F279">
        <v>0</v>
      </c>
      <c r="G279">
        <v>0</v>
      </c>
      <c r="H279">
        <v>1</v>
      </c>
      <c r="I279">
        <v>40001</v>
      </c>
      <c r="J279">
        <v>120000</v>
      </c>
    </row>
    <row r="280" spans="2:10" x14ac:dyDescent="0.25">
      <c r="B280" t="s">
        <v>673</v>
      </c>
      <c r="C280">
        <v>7.2400000000000006E-2</v>
      </c>
      <c r="D280">
        <v>0.2591</v>
      </c>
      <c r="E280" s="13">
        <v>8.809E-4</v>
      </c>
      <c r="F280">
        <v>0</v>
      </c>
      <c r="G280">
        <v>0</v>
      </c>
      <c r="H280">
        <v>1</v>
      </c>
      <c r="I280">
        <v>40001</v>
      </c>
      <c r="J280">
        <v>120000</v>
      </c>
    </row>
    <row r="281" spans="2:10" x14ac:dyDescent="0.25">
      <c r="B281" t="s">
        <v>674</v>
      </c>
      <c r="C281">
        <v>0.13370000000000001</v>
      </c>
      <c r="D281">
        <v>0.34029999999999999</v>
      </c>
      <c r="E281">
        <v>1.108E-3</v>
      </c>
      <c r="F281">
        <v>0</v>
      </c>
      <c r="G281">
        <v>0</v>
      </c>
      <c r="H281">
        <v>1</v>
      </c>
      <c r="I281">
        <v>40001</v>
      </c>
      <c r="J281">
        <v>120000</v>
      </c>
    </row>
    <row r="282" spans="2:10" x14ac:dyDescent="0.25">
      <c r="B282" t="s">
        <v>675</v>
      </c>
      <c r="C282">
        <v>0.2084</v>
      </c>
      <c r="D282">
        <v>0.40620000000000001</v>
      </c>
      <c r="E282">
        <v>1.3259999999999999E-3</v>
      </c>
      <c r="F282">
        <v>0</v>
      </c>
      <c r="G282">
        <v>0</v>
      </c>
      <c r="H282">
        <v>1</v>
      </c>
      <c r="I282">
        <v>40001</v>
      </c>
      <c r="J282">
        <v>120000</v>
      </c>
    </row>
    <row r="283" spans="2:10" x14ac:dyDescent="0.25">
      <c r="B283" t="s">
        <v>676</v>
      </c>
      <c r="C283">
        <v>0.23200000000000001</v>
      </c>
      <c r="D283">
        <v>0.42209999999999998</v>
      </c>
      <c r="E283">
        <v>1.3569999999999999E-3</v>
      </c>
      <c r="F283">
        <v>0</v>
      </c>
      <c r="G283">
        <v>0</v>
      </c>
      <c r="H283">
        <v>1</v>
      </c>
      <c r="I283">
        <v>40001</v>
      </c>
      <c r="J283">
        <v>120000</v>
      </c>
    </row>
    <row r="284" spans="2:10" x14ac:dyDescent="0.25">
      <c r="B284" t="s">
        <v>677</v>
      </c>
      <c r="C284">
        <v>0.1822</v>
      </c>
      <c r="D284">
        <v>0.38600000000000001</v>
      </c>
      <c r="E284">
        <v>1.271E-3</v>
      </c>
      <c r="F284">
        <v>0</v>
      </c>
      <c r="G284">
        <v>0</v>
      </c>
      <c r="H284">
        <v>1</v>
      </c>
      <c r="I284">
        <v>40001</v>
      </c>
      <c r="J284">
        <v>120000</v>
      </c>
    </row>
    <row r="285" spans="2:10" x14ac:dyDescent="0.25">
      <c r="B285" t="s">
        <v>678</v>
      </c>
      <c r="C285">
        <v>0.10150000000000001</v>
      </c>
      <c r="D285">
        <v>0.30199999999999999</v>
      </c>
      <c r="E285">
        <v>1.122E-3</v>
      </c>
      <c r="F285">
        <v>0</v>
      </c>
      <c r="G285">
        <v>0</v>
      </c>
      <c r="H285">
        <v>1</v>
      </c>
      <c r="I285">
        <v>40001</v>
      </c>
      <c r="J285">
        <v>120000</v>
      </c>
    </row>
    <row r="286" spans="2:10" x14ac:dyDescent="0.25">
      <c r="B286" t="s">
        <v>679</v>
      </c>
      <c r="C286">
        <v>2.7779999999999999E-2</v>
      </c>
      <c r="D286">
        <v>0.1643</v>
      </c>
      <c r="E286" s="13">
        <v>6.0269999999999996E-4</v>
      </c>
      <c r="F286">
        <v>0</v>
      </c>
      <c r="G286">
        <v>0</v>
      </c>
      <c r="H286">
        <v>1</v>
      </c>
      <c r="I286">
        <v>40001</v>
      </c>
      <c r="J286">
        <v>120000</v>
      </c>
    </row>
    <row r="287" spans="2:10" x14ac:dyDescent="0.25">
      <c r="B287" t="s">
        <v>680</v>
      </c>
      <c r="C287">
        <v>5.0080000000000003E-3</v>
      </c>
      <c r="D287">
        <v>7.059E-2</v>
      </c>
      <c r="E287" s="13">
        <v>2.2829999999999999E-4</v>
      </c>
      <c r="F287">
        <v>0</v>
      </c>
      <c r="G287">
        <v>0</v>
      </c>
      <c r="H287">
        <v>0</v>
      </c>
      <c r="I287">
        <v>40001</v>
      </c>
      <c r="J287">
        <v>120000</v>
      </c>
    </row>
    <row r="288" spans="2:10" x14ac:dyDescent="0.25">
      <c r="B288" t="s">
        <v>681</v>
      </c>
      <c r="C288">
        <v>1.36</v>
      </c>
      <c r="D288">
        <v>1.605</v>
      </c>
      <c r="E288">
        <v>5.0000000000000001E-3</v>
      </c>
      <c r="F288">
        <v>8.7669999999999998E-2</v>
      </c>
      <c r="G288">
        <v>0.75660000000000005</v>
      </c>
      <c r="H288">
        <v>5.9059999999999997</v>
      </c>
      <c r="I288">
        <v>40001</v>
      </c>
      <c r="J288">
        <v>120000</v>
      </c>
    </row>
    <row r="289" spans="2:10" x14ac:dyDescent="0.25">
      <c r="B289" t="s">
        <v>682</v>
      </c>
      <c r="C289">
        <v>1.4710000000000001</v>
      </c>
      <c r="D289">
        <v>1.571</v>
      </c>
      <c r="E289">
        <v>5.1190000000000003E-3</v>
      </c>
      <c r="F289">
        <v>3.4509999999999999E-2</v>
      </c>
      <c r="G289">
        <v>0.97209999999999996</v>
      </c>
      <c r="H289">
        <v>5.75</v>
      </c>
      <c r="I289">
        <v>40001</v>
      </c>
      <c r="J289">
        <v>120000</v>
      </c>
    </row>
    <row r="290" spans="2:10" x14ac:dyDescent="0.25">
      <c r="B290" t="s">
        <v>683</v>
      </c>
      <c r="C290">
        <v>1.329</v>
      </c>
      <c r="D290">
        <v>1.514</v>
      </c>
      <c r="E290">
        <v>4.8149999999999998E-3</v>
      </c>
      <c r="F290">
        <v>2.903E-2</v>
      </c>
      <c r="G290">
        <v>0.82809999999999995</v>
      </c>
      <c r="H290">
        <v>5.5010000000000003</v>
      </c>
      <c r="I290">
        <v>40001</v>
      </c>
      <c r="J290">
        <v>120000</v>
      </c>
    </row>
    <row r="291" spans="2:10" x14ac:dyDescent="0.25">
      <c r="B291" t="s">
        <v>684</v>
      </c>
      <c r="C291">
        <v>1.3720000000000001</v>
      </c>
      <c r="D291">
        <v>1.514</v>
      </c>
      <c r="E291">
        <v>4.6129999999999999E-3</v>
      </c>
      <c r="F291">
        <v>3.209E-2</v>
      </c>
      <c r="G291">
        <v>0.88249999999999995</v>
      </c>
      <c r="H291">
        <v>5.57</v>
      </c>
      <c r="I291">
        <v>40001</v>
      </c>
      <c r="J291">
        <v>120000</v>
      </c>
    </row>
    <row r="292" spans="2:10" x14ac:dyDescent="0.25">
      <c r="B292" t="s">
        <v>685</v>
      </c>
      <c r="C292">
        <v>1.1539999999999999</v>
      </c>
      <c r="D292">
        <v>1.4750000000000001</v>
      </c>
      <c r="E292">
        <v>4.594E-3</v>
      </c>
      <c r="F292">
        <v>1.796E-2</v>
      </c>
      <c r="G292">
        <v>0.61299999999999999</v>
      </c>
      <c r="H292">
        <v>5.2910000000000004</v>
      </c>
      <c r="I292">
        <v>40001</v>
      </c>
      <c r="J292">
        <v>120000</v>
      </c>
    </row>
    <row r="293" spans="2:10" x14ac:dyDescent="0.25">
      <c r="B293" t="s">
        <v>686</v>
      </c>
      <c r="C293">
        <v>1.1519999999999999</v>
      </c>
      <c r="D293">
        <v>1.4710000000000001</v>
      </c>
      <c r="E293">
        <v>4.3220000000000003E-3</v>
      </c>
      <c r="F293">
        <v>1.804E-2</v>
      </c>
      <c r="G293">
        <v>0.62</v>
      </c>
      <c r="H293">
        <v>5.3109999999999999</v>
      </c>
      <c r="I293">
        <v>40001</v>
      </c>
      <c r="J293">
        <v>120000</v>
      </c>
    </row>
    <row r="294" spans="2:10" x14ac:dyDescent="0.25">
      <c r="B294" t="s">
        <v>687</v>
      </c>
      <c r="C294">
        <v>1.232</v>
      </c>
      <c r="D294">
        <v>1.5469999999999999</v>
      </c>
      <c r="E294">
        <v>4.4130000000000003E-3</v>
      </c>
      <c r="F294">
        <v>2.307E-2</v>
      </c>
      <c r="G294">
        <v>0.66790000000000005</v>
      </c>
      <c r="H294">
        <v>5.617</v>
      </c>
      <c r="I294">
        <v>40001</v>
      </c>
      <c r="J294">
        <v>120000</v>
      </c>
    </row>
    <row r="295" spans="2:10" x14ac:dyDescent="0.25">
      <c r="B295" t="s">
        <v>688</v>
      </c>
      <c r="C295">
        <v>2.2559999999999998</v>
      </c>
      <c r="D295">
        <v>1.6890000000000001</v>
      </c>
      <c r="E295">
        <v>6.4669999999999997E-3</v>
      </c>
      <c r="F295">
        <v>0.24729999999999999</v>
      </c>
      <c r="G295">
        <v>1.8580000000000001</v>
      </c>
      <c r="H295">
        <v>6.6539999999999999</v>
      </c>
      <c r="I295">
        <v>40001</v>
      </c>
      <c r="J295">
        <v>120000</v>
      </c>
    </row>
    <row r="296" spans="2:10" x14ac:dyDescent="0.25">
      <c r="B296" t="s">
        <v>689</v>
      </c>
      <c r="C296">
        <v>1.27</v>
      </c>
      <c r="D296">
        <v>1.476</v>
      </c>
      <c r="E296">
        <v>4.712E-3</v>
      </c>
      <c r="F296">
        <v>2.741E-2</v>
      </c>
      <c r="G296">
        <v>0.77610000000000001</v>
      </c>
      <c r="H296">
        <v>5.34</v>
      </c>
      <c r="I296">
        <v>40001</v>
      </c>
      <c r="J296">
        <v>120000</v>
      </c>
    </row>
    <row r="297" spans="2:10" x14ac:dyDescent="0.25">
      <c r="B297" t="s">
        <v>690</v>
      </c>
      <c r="C297">
        <v>2.1680000000000001</v>
      </c>
      <c r="D297">
        <v>1.6719999999999999</v>
      </c>
      <c r="E297">
        <v>5.3800000000000002E-3</v>
      </c>
      <c r="F297">
        <v>0.49440000000000001</v>
      </c>
      <c r="G297">
        <v>1.67</v>
      </c>
      <c r="H297">
        <v>6.782</v>
      </c>
      <c r="I297">
        <v>40001</v>
      </c>
      <c r="J297">
        <v>120000</v>
      </c>
    </row>
    <row r="298" spans="2:10" x14ac:dyDescent="0.25">
      <c r="B298" t="s">
        <v>691</v>
      </c>
      <c r="C298">
        <v>5.2439999999999998</v>
      </c>
      <c r="D298">
        <v>1.7390000000000001</v>
      </c>
      <c r="E298">
        <v>6.7889999999999999E-3</v>
      </c>
      <c r="F298">
        <v>2.968</v>
      </c>
      <c r="G298">
        <v>4.8890000000000002</v>
      </c>
      <c r="H298">
        <v>9.7769999999999992</v>
      </c>
      <c r="I298">
        <v>40001</v>
      </c>
      <c r="J298">
        <v>120000</v>
      </c>
    </row>
    <row r="299" spans="2:10" x14ac:dyDescent="0.25">
      <c r="B299" t="s">
        <v>692</v>
      </c>
      <c r="C299">
        <v>2.0409999999999999</v>
      </c>
      <c r="D299">
        <v>2.052</v>
      </c>
      <c r="E299">
        <v>7.1570000000000002E-3</v>
      </c>
      <c r="F299">
        <v>5.1069999999999997E-2</v>
      </c>
      <c r="G299">
        <v>1.4079999999999999</v>
      </c>
      <c r="H299">
        <v>7.585</v>
      </c>
      <c r="I299">
        <v>40001</v>
      </c>
      <c r="J299">
        <v>120000</v>
      </c>
    </row>
    <row r="300" spans="2:10" x14ac:dyDescent="0.25">
      <c r="B300" t="s">
        <v>693</v>
      </c>
      <c r="C300">
        <v>2.097</v>
      </c>
      <c r="D300">
        <v>2.1040000000000001</v>
      </c>
      <c r="E300">
        <v>8.6440000000000006E-3</v>
      </c>
      <c r="F300">
        <v>5.2749999999999998E-2</v>
      </c>
      <c r="G300">
        <v>1.452</v>
      </c>
      <c r="H300">
        <v>7.7190000000000003</v>
      </c>
      <c r="I300">
        <v>40001</v>
      </c>
      <c r="J300">
        <v>120000</v>
      </c>
    </row>
    <row r="301" spans="2:10" x14ac:dyDescent="0.25">
      <c r="B301" t="s">
        <v>694</v>
      </c>
      <c r="C301">
        <v>2.742</v>
      </c>
      <c r="D301">
        <v>1.587</v>
      </c>
      <c r="E301">
        <v>5.4409999999999997E-3</v>
      </c>
      <c r="F301">
        <v>1.0429999999999999</v>
      </c>
      <c r="G301">
        <v>2.3069999999999999</v>
      </c>
      <c r="H301">
        <v>7.0910000000000002</v>
      </c>
      <c r="I301">
        <v>40001</v>
      </c>
      <c r="J301">
        <v>120000</v>
      </c>
    </row>
    <row r="302" spans="2:10" x14ac:dyDescent="0.25">
      <c r="B302" t="s">
        <v>695</v>
      </c>
      <c r="C302">
        <v>2.988</v>
      </c>
      <c r="D302">
        <v>1.9850000000000001</v>
      </c>
      <c r="E302">
        <v>8.8710000000000004E-3</v>
      </c>
      <c r="F302">
        <v>0.36909999999999998</v>
      </c>
      <c r="G302">
        <v>2.5960000000000001</v>
      </c>
      <c r="H302">
        <v>7.92</v>
      </c>
      <c r="I302">
        <v>40001</v>
      </c>
      <c r="J302">
        <v>120000</v>
      </c>
    </row>
    <row r="303" spans="2:10" x14ac:dyDescent="0.25">
      <c r="B303" t="s">
        <v>696</v>
      </c>
      <c r="C303">
        <v>1.3049999999999999</v>
      </c>
      <c r="D303">
        <v>1.502</v>
      </c>
      <c r="E303">
        <v>4.6020000000000002E-3</v>
      </c>
      <c r="F303">
        <v>3.363E-2</v>
      </c>
      <c r="G303">
        <v>0.79769999999999996</v>
      </c>
      <c r="H303">
        <v>5.5250000000000004</v>
      </c>
      <c r="I303">
        <v>40001</v>
      </c>
      <c r="J303">
        <v>120000</v>
      </c>
    </row>
    <row r="304" spans="2:10" x14ac:dyDescent="0.25">
      <c r="B304" t="s">
        <v>697</v>
      </c>
      <c r="C304">
        <v>1.141</v>
      </c>
      <c r="D304">
        <v>1.472</v>
      </c>
      <c r="E304">
        <v>4.3010000000000001E-3</v>
      </c>
      <c r="F304">
        <v>1.9140000000000001E-2</v>
      </c>
      <c r="G304">
        <v>0.59850000000000003</v>
      </c>
      <c r="H304">
        <v>5.3490000000000002</v>
      </c>
      <c r="I304">
        <v>40001</v>
      </c>
      <c r="J304">
        <v>120000</v>
      </c>
    </row>
    <row r="305" spans="2:10" x14ac:dyDescent="0.25">
      <c r="B305" t="s">
        <v>698</v>
      </c>
      <c r="C305">
        <v>2.073</v>
      </c>
      <c r="D305">
        <v>2.069</v>
      </c>
      <c r="E305">
        <v>7.3379999999999999E-3</v>
      </c>
      <c r="F305">
        <v>5.3289999999999997E-2</v>
      </c>
      <c r="G305">
        <v>1.4359999999999999</v>
      </c>
      <c r="H305">
        <v>7.6159999999999997</v>
      </c>
      <c r="I305">
        <v>40001</v>
      </c>
      <c r="J305">
        <v>120000</v>
      </c>
    </row>
    <row r="306" spans="2:10" x14ac:dyDescent="0.25">
      <c r="B306" t="s">
        <v>699</v>
      </c>
      <c r="C306">
        <v>2.625</v>
      </c>
      <c r="D306">
        <v>1.621</v>
      </c>
      <c r="E306">
        <v>6.0939999999999996E-3</v>
      </c>
      <c r="F306">
        <v>0.70179999999999998</v>
      </c>
      <c r="G306">
        <v>2.2450000000000001</v>
      </c>
      <c r="H306">
        <v>6.907</v>
      </c>
      <c r="I306">
        <v>40001</v>
      </c>
      <c r="J306">
        <v>120000</v>
      </c>
    </row>
    <row r="307" spans="2:10" x14ac:dyDescent="0.25">
      <c r="B307" t="s">
        <v>700</v>
      </c>
      <c r="C307">
        <v>1.855</v>
      </c>
      <c r="D307">
        <v>1.633</v>
      </c>
      <c r="E307">
        <v>4.9769999999999997E-3</v>
      </c>
      <c r="F307">
        <v>0.45</v>
      </c>
      <c r="G307">
        <v>1.2809999999999999</v>
      </c>
      <c r="H307">
        <v>6.484</v>
      </c>
      <c r="I307">
        <v>40001</v>
      </c>
      <c r="J307">
        <v>120000</v>
      </c>
    </row>
    <row r="308" spans="2:10" x14ac:dyDescent="0.25">
      <c r="B308" t="s">
        <v>701</v>
      </c>
      <c r="C308">
        <v>1.375</v>
      </c>
      <c r="D308">
        <v>1.544</v>
      </c>
      <c r="E308">
        <v>4.8970000000000003E-3</v>
      </c>
      <c r="F308">
        <v>3.1739999999999997E-2</v>
      </c>
      <c r="G308">
        <v>0.87429999999999997</v>
      </c>
      <c r="H308">
        <v>5.657</v>
      </c>
      <c r="I308">
        <v>40001</v>
      </c>
      <c r="J308">
        <v>120000</v>
      </c>
    </row>
    <row r="309" spans="2:10" x14ac:dyDescent="0.25">
      <c r="B309" t="s">
        <v>702</v>
      </c>
      <c r="C309">
        <v>4.1210000000000004</v>
      </c>
      <c r="D309">
        <v>1.6919999999999999</v>
      </c>
      <c r="E309">
        <v>6.4790000000000004E-3</v>
      </c>
      <c r="F309">
        <v>2.0099999999999998</v>
      </c>
      <c r="G309">
        <v>3.7480000000000002</v>
      </c>
      <c r="H309">
        <v>8.5719999999999992</v>
      </c>
      <c r="I309">
        <v>40001</v>
      </c>
      <c r="J309">
        <v>120000</v>
      </c>
    </row>
    <row r="310" spans="2:10" x14ac:dyDescent="0.25">
      <c r="B310" t="s">
        <v>703</v>
      </c>
      <c r="C310">
        <v>1.181</v>
      </c>
      <c r="D310">
        <v>1.5249999999999999</v>
      </c>
      <c r="E310">
        <v>4.3759999999999997E-3</v>
      </c>
      <c r="F310">
        <v>2.5250000000000002E-2</v>
      </c>
      <c r="G310">
        <v>0.60240000000000005</v>
      </c>
      <c r="H310">
        <v>5.54</v>
      </c>
      <c r="I310">
        <v>40001</v>
      </c>
      <c r="J310">
        <v>120000</v>
      </c>
    </row>
    <row r="311" spans="2:10" x14ac:dyDescent="0.25">
      <c r="B311" t="s">
        <v>704</v>
      </c>
      <c r="C311">
        <v>4.5309999999999997</v>
      </c>
      <c r="D311">
        <v>1.7869999999999999</v>
      </c>
      <c r="E311">
        <v>7.162E-3</v>
      </c>
      <c r="F311">
        <v>2.0680000000000001</v>
      </c>
      <c r="G311">
        <v>4.2069999999999999</v>
      </c>
      <c r="H311">
        <v>9.048</v>
      </c>
      <c r="I311">
        <v>40001</v>
      </c>
      <c r="J311">
        <v>120000</v>
      </c>
    </row>
    <row r="312" spans="2:10" x14ac:dyDescent="0.25">
      <c r="B312" t="s">
        <v>705</v>
      </c>
      <c r="C312">
        <v>2.399</v>
      </c>
      <c r="D312">
        <v>1.607</v>
      </c>
      <c r="E312">
        <v>4.6150000000000002E-3</v>
      </c>
      <c r="F312">
        <v>0.99639999999999995</v>
      </c>
      <c r="G312">
        <v>1.825</v>
      </c>
      <c r="H312">
        <v>6.931</v>
      </c>
      <c r="I312">
        <v>40001</v>
      </c>
      <c r="J312">
        <v>120000</v>
      </c>
    </row>
    <row r="313" spans="2:10" x14ac:dyDescent="0.25">
      <c r="B313" t="s">
        <v>706</v>
      </c>
      <c r="C313">
        <v>1.2030000000000001</v>
      </c>
      <c r="D313">
        <v>1.597</v>
      </c>
      <c r="E313">
        <v>4.7730000000000003E-3</v>
      </c>
      <c r="F313">
        <v>1.787E-2</v>
      </c>
      <c r="G313">
        <v>0.59019999999999995</v>
      </c>
      <c r="H313">
        <v>5.7690000000000001</v>
      </c>
      <c r="I313">
        <v>40001</v>
      </c>
      <c r="J313">
        <v>120000</v>
      </c>
    </row>
    <row r="314" spans="2:10" x14ac:dyDescent="0.25">
      <c r="B314" t="s">
        <v>707</v>
      </c>
      <c r="C314">
        <v>1.5549999999999999</v>
      </c>
      <c r="D314">
        <v>1.6020000000000001</v>
      </c>
      <c r="E314">
        <v>4.6940000000000003E-3</v>
      </c>
      <c r="F314">
        <v>0.1908</v>
      </c>
      <c r="G314">
        <v>0.97850000000000004</v>
      </c>
      <c r="H314">
        <v>6.0129999999999999</v>
      </c>
      <c r="I314">
        <v>40001</v>
      </c>
      <c r="J314">
        <v>120000</v>
      </c>
    </row>
    <row r="315" spans="2:10" x14ac:dyDescent="0.25">
      <c r="B315" t="s">
        <v>708</v>
      </c>
      <c r="C315">
        <v>2.0750000000000002</v>
      </c>
      <c r="D315">
        <v>2.077</v>
      </c>
      <c r="E315">
        <v>7.6E-3</v>
      </c>
      <c r="F315">
        <v>5.3409999999999999E-2</v>
      </c>
      <c r="G315">
        <v>1.4419999999999999</v>
      </c>
      <c r="H315">
        <v>7.6639999999999997</v>
      </c>
      <c r="I315">
        <v>40001</v>
      </c>
      <c r="J315">
        <v>120000</v>
      </c>
    </row>
    <row r="316" spans="2:10" x14ac:dyDescent="0.25">
      <c r="B316" t="s">
        <v>709</v>
      </c>
      <c r="C316">
        <v>1.2210000000000001</v>
      </c>
      <c r="D316">
        <v>1.474</v>
      </c>
      <c r="E316">
        <v>4.5820000000000001E-3</v>
      </c>
      <c r="F316">
        <v>2.4240000000000001E-2</v>
      </c>
      <c r="G316">
        <v>0.71030000000000004</v>
      </c>
      <c r="H316">
        <v>5.391</v>
      </c>
      <c r="I316">
        <v>40001</v>
      </c>
      <c r="J316">
        <v>120000</v>
      </c>
    </row>
    <row r="317" spans="2:10" x14ac:dyDescent="0.25">
      <c r="B317" t="s">
        <v>710</v>
      </c>
      <c r="C317">
        <v>2.2370000000000001</v>
      </c>
      <c r="D317">
        <v>1.641</v>
      </c>
      <c r="E317">
        <v>5.0280000000000004E-3</v>
      </c>
      <c r="F317">
        <v>0.72460000000000002</v>
      </c>
      <c r="G317">
        <v>1.69</v>
      </c>
      <c r="H317">
        <v>6.8650000000000002</v>
      </c>
      <c r="I317">
        <v>40001</v>
      </c>
      <c r="J317">
        <v>120000</v>
      </c>
    </row>
    <row r="318" spans="2:10" x14ac:dyDescent="0.25">
      <c r="B318" t="s">
        <v>711</v>
      </c>
      <c r="C318">
        <v>2.14</v>
      </c>
      <c r="D318">
        <v>1.671</v>
      </c>
      <c r="E318">
        <v>5.7860000000000003E-3</v>
      </c>
      <c r="F318">
        <v>0.2185</v>
      </c>
      <c r="G318">
        <v>1.734</v>
      </c>
      <c r="H318">
        <v>6.4960000000000004</v>
      </c>
      <c r="I318">
        <v>40001</v>
      </c>
      <c r="J318">
        <v>120000</v>
      </c>
    </row>
    <row r="319" spans="2:10" x14ac:dyDescent="0.25">
      <c r="B319" t="s">
        <v>712</v>
      </c>
      <c r="C319">
        <v>1.502</v>
      </c>
      <c r="D319">
        <v>1.5189999999999999</v>
      </c>
      <c r="E319">
        <v>5.2680000000000001E-3</v>
      </c>
      <c r="F319">
        <v>6.8970000000000004E-2</v>
      </c>
      <c r="G319">
        <v>1.042</v>
      </c>
      <c r="H319">
        <v>5.7089999999999996</v>
      </c>
      <c r="I319">
        <v>40001</v>
      </c>
      <c r="J319">
        <v>120000</v>
      </c>
    </row>
    <row r="320" spans="2:10" x14ac:dyDescent="0.25">
      <c r="B320" t="s">
        <v>713</v>
      </c>
      <c r="C320">
        <v>1.286</v>
      </c>
      <c r="D320">
        <v>1.4690000000000001</v>
      </c>
      <c r="E320">
        <v>4.6769999999999997E-3</v>
      </c>
      <c r="F320">
        <v>2.8850000000000001E-2</v>
      </c>
      <c r="G320">
        <v>0.80110000000000003</v>
      </c>
      <c r="H320">
        <v>5.3529999999999998</v>
      </c>
      <c r="I320">
        <v>40001</v>
      </c>
      <c r="J320">
        <v>120000</v>
      </c>
    </row>
    <row r="321" spans="2:10" x14ac:dyDescent="0.25">
      <c r="B321" t="s">
        <v>714</v>
      </c>
      <c r="C321">
        <v>1.121</v>
      </c>
      <c r="D321">
        <v>1.474</v>
      </c>
      <c r="E321">
        <v>4.4359999999999998E-3</v>
      </c>
      <c r="F321">
        <v>1.4959999999999999E-2</v>
      </c>
      <c r="G321">
        <v>0.56530000000000002</v>
      </c>
      <c r="H321">
        <v>5.3140000000000001</v>
      </c>
      <c r="I321">
        <v>40001</v>
      </c>
      <c r="J321">
        <v>120000</v>
      </c>
    </row>
    <row r="322" spans="2:10" x14ac:dyDescent="0.25">
      <c r="B322" t="s">
        <v>715</v>
      </c>
      <c r="C322">
        <v>1.2769999999999999</v>
      </c>
      <c r="D322">
        <v>1.4970000000000001</v>
      </c>
      <c r="E322">
        <v>4.4289999999999998E-3</v>
      </c>
      <c r="F322">
        <v>3.9890000000000002E-2</v>
      </c>
      <c r="G322">
        <v>0.75549999999999995</v>
      </c>
      <c r="H322">
        <v>5.5010000000000003</v>
      </c>
      <c r="I322">
        <v>40001</v>
      </c>
      <c r="J322">
        <v>120000</v>
      </c>
    </row>
    <row r="323" spans="2:10" x14ac:dyDescent="0.25">
      <c r="B323" t="s">
        <v>716</v>
      </c>
      <c r="C323">
        <v>3.2509999999999999</v>
      </c>
      <c r="D323">
        <v>1.9950000000000001</v>
      </c>
      <c r="E323">
        <v>8.5319999999999997E-3</v>
      </c>
      <c r="F323">
        <v>0.51590000000000003</v>
      </c>
      <c r="G323">
        <v>2.8820000000000001</v>
      </c>
      <c r="H323">
        <v>8.1080000000000005</v>
      </c>
      <c r="I323">
        <v>40001</v>
      </c>
      <c r="J323">
        <v>120000</v>
      </c>
    </row>
    <row r="324" spans="2:10" x14ac:dyDescent="0.25">
      <c r="B324" t="s">
        <v>717</v>
      </c>
      <c r="C324">
        <v>1.5429999999999999</v>
      </c>
      <c r="D324">
        <v>1.54</v>
      </c>
      <c r="E324">
        <v>5.5459999999999997E-3</v>
      </c>
      <c r="F324">
        <v>5.7840000000000003E-2</v>
      </c>
      <c r="G324">
        <v>1.0880000000000001</v>
      </c>
      <c r="H324">
        <v>5.7549999999999999</v>
      </c>
      <c r="I324">
        <v>40001</v>
      </c>
      <c r="J324">
        <v>120000</v>
      </c>
    </row>
    <row r="325" spans="2:10" x14ac:dyDescent="0.25">
      <c r="B325" t="s">
        <v>718</v>
      </c>
      <c r="C325">
        <v>1.214</v>
      </c>
      <c r="D325">
        <v>1.4690000000000001</v>
      </c>
      <c r="E325">
        <v>4.1539999999999997E-3</v>
      </c>
      <c r="F325">
        <v>2.2450000000000001E-2</v>
      </c>
      <c r="G325">
        <v>0.70279999999999998</v>
      </c>
      <c r="H325">
        <v>5.3520000000000003</v>
      </c>
      <c r="I325">
        <v>40001</v>
      </c>
      <c r="J325">
        <v>120000</v>
      </c>
    </row>
    <row r="326" spans="2:10" x14ac:dyDescent="0.25">
      <c r="B326" t="s">
        <v>719</v>
      </c>
      <c r="C326">
        <v>1.1639999999999999</v>
      </c>
      <c r="D326">
        <v>1.4790000000000001</v>
      </c>
      <c r="E326">
        <v>4.3839999999999999E-3</v>
      </c>
      <c r="F326">
        <v>1.907E-2</v>
      </c>
      <c r="G326">
        <v>0.63390000000000002</v>
      </c>
      <c r="H326">
        <v>5.3390000000000004</v>
      </c>
      <c r="I326">
        <v>40001</v>
      </c>
      <c r="J326">
        <v>120000</v>
      </c>
    </row>
    <row r="327" spans="2:10" x14ac:dyDescent="0.25">
      <c r="B327" t="s">
        <v>720</v>
      </c>
      <c r="C327">
        <v>1.3360000000000001</v>
      </c>
      <c r="D327">
        <v>1.522</v>
      </c>
      <c r="E327">
        <v>4.5929999999999999E-3</v>
      </c>
      <c r="F327">
        <v>2.9059999999999999E-2</v>
      </c>
      <c r="G327">
        <v>0.8327</v>
      </c>
      <c r="H327">
        <v>5.532</v>
      </c>
      <c r="I327">
        <v>40001</v>
      </c>
      <c r="J327">
        <v>120000</v>
      </c>
    </row>
    <row r="328" spans="2:10" x14ac:dyDescent="0.25">
      <c r="B328" t="s">
        <v>721</v>
      </c>
      <c r="C328">
        <v>2.2000000000000002</v>
      </c>
      <c r="D328">
        <v>1.6180000000000001</v>
      </c>
      <c r="E328">
        <v>4.8329999999999996E-3</v>
      </c>
      <c r="F328">
        <v>0.82899999999999996</v>
      </c>
      <c r="G328">
        <v>1.611</v>
      </c>
      <c r="H328">
        <v>6.7960000000000003</v>
      </c>
      <c r="I328">
        <v>40001</v>
      </c>
      <c r="J328">
        <v>120000</v>
      </c>
    </row>
    <row r="329" spans="2:10" x14ac:dyDescent="0.25">
      <c r="B329" t="s">
        <v>722</v>
      </c>
      <c r="C329">
        <v>1.522</v>
      </c>
      <c r="D329">
        <v>1.492</v>
      </c>
      <c r="E329">
        <v>4.8250000000000003E-3</v>
      </c>
      <c r="F329">
        <v>0.121</v>
      </c>
      <c r="G329">
        <v>1.0589999999999999</v>
      </c>
      <c r="H329">
        <v>5.69</v>
      </c>
      <c r="I329">
        <v>40001</v>
      </c>
      <c r="J329">
        <v>120000</v>
      </c>
    </row>
    <row r="330" spans="2:10" x14ac:dyDescent="0.25">
      <c r="B330" t="s">
        <v>723</v>
      </c>
      <c r="C330">
        <v>1.5860000000000001</v>
      </c>
      <c r="D330">
        <v>1.5509999999999999</v>
      </c>
      <c r="E330">
        <v>4.9389999999999998E-3</v>
      </c>
      <c r="F330">
        <v>0.1968</v>
      </c>
      <c r="G330">
        <v>1.069</v>
      </c>
      <c r="H330">
        <v>5.9729999999999999</v>
      </c>
      <c r="I330">
        <v>40001</v>
      </c>
      <c r="J330">
        <v>120000</v>
      </c>
    </row>
    <row r="331" spans="2:10" x14ac:dyDescent="0.25">
      <c r="B331" t="s">
        <v>724</v>
      </c>
      <c r="C331">
        <v>1.9530000000000001</v>
      </c>
      <c r="D331">
        <v>1.5589999999999999</v>
      </c>
      <c r="E331">
        <v>5.7070000000000003E-3</v>
      </c>
      <c r="F331">
        <v>0.251</v>
      </c>
      <c r="G331">
        <v>1.542</v>
      </c>
      <c r="H331">
        <v>6.18</v>
      </c>
      <c r="I331">
        <v>40001</v>
      </c>
      <c r="J331">
        <v>120000</v>
      </c>
    </row>
    <row r="332" spans="2:10" x14ac:dyDescent="0.25">
      <c r="B332" t="s">
        <v>725</v>
      </c>
      <c r="C332">
        <v>1.6950000000000001</v>
      </c>
      <c r="D332">
        <v>1.681</v>
      </c>
      <c r="E332">
        <v>6.2370000000000004E-3</v>
      </c>
      <c r="F332">
        <v>4.6089999999999999E-2</v>
      </c>
      <c r="G332">
        <v>1.1930000000000001</v>
      </c>
      <c r="H332">
        <v>6.2279999999999998</v>
      </c>
      <c r="I332">
        <v>40001</v>
      </c>
      <c r="J332">
        <v>120000</v>
      </c>
    </row>
    <row r="333" spans="2:10" x14ac:dyDescent="0.25">
      <c r="B333" t="s">
        <v>726</v>
      </c>
      <c r="C333">
        <v>8.1590000000000007</v>
      </c>
      <c r="D333">
        <v>0.92889999999999995</v>
      </c>
      <c r="E333">
        <v>5.3099999999999996E-3</v>
      </c>
      <c r="F333">
        <v>6</v>
      </c>
      <c r="G333">
        <v>8</v>
      </c>
      <c r="H333">
        <v>9</v>
      </c>
      <c r="I333">
        <v>40001</v>
      </c>
      <c r="J333">
        <v>120000</v>
      </c>
    </row>
    <row r="334" spans="2:10" x14ac:dyDescent="0.25">
      <c r="B334" t="s">
        <v>727</v>
      </c>
      <c r="C334">
        <v>6.3</v>
      </c>
      <c r="D334">
        <v>1.208</v>
      </c>
      <c r="E334">
        <v>5.2760000000000003E-3</v>
      </c>
      <c r="F334">
        <v>4</v>
      </c>
      <c r="G334">
        <v>6</v>
      </c>
      <c r="H334">
        <v>8</v>
      </c>
      <c r="I334">
        <v>40001</v>
      </c>
      <c r="J334">
        <v>120000</v>
      </c>
    </row>
    <row r="335" spans="2:10" x14ac:dyDescent="0.25">
      <c r="B335" t="s">
        <v>728</v>
      </c>
      <c r="C335">
        <v>3.6110000000000002</v>
      </c>
      <c r="D335">
        <v>1.3029999999999999</v>
      </c>
      <c r="E335">
        <v>5.6600000000000001E-3</v>
      </c>
      <c r="F335">
        <v>1</v>
      </c>
      <c r="G335">
        <v>4</v>
      </c>
      <c r="H335">
        <v>6</v>
      </c>
      <c r="I335">
        <v>40001</v>
      </c>
      <c r="J335">
        <v>120000</v>
      </c>
    </row>
    <row r="336" spans="2:10" x14ac:dyDescent="0.25">
      <c r="B336" t="s">
        <v>729</v>
      </c>
      <c r="C336">
        <v>4.3579999999999997</v>
      </c>
      <c r="D336">
        <v>2.0870000000000002</v>
      </c>
      <c r="E336">
        <v>1.1180000000000001E-2</v>
      </c>
      <c r="F336">
        <v>1</v>
      </c>
      <c r="G336">
        <v>4</v>
      </c>
      <c r="H336">
        <v>9</v>
      </c>
      <c r="I336">
        <v>40001</v>
      </c>
      <c r="J336">
        <v>120000</v>
      </c>
    </row>
    <row r="337" spans="1:10" x14ac:dyDescent="0.25">
      <c r="B337" t="s">
        <v>730</v>
      </c>
      <c r="C337">
        <v>7.2939999999999996</v>
      </c>
      <c r="D337">
        <v>2.7650000000000001</v>
      </c>
      <c r="E337">
        <v>1.443E-2</v>
      </c>
      <c r="F337">
        <v>1</v>
      </c>
      <c r="G337">
        <v>8</v>
      </c>
      <c r="H337">
        <v>10</v>
      </c>
      <c r="I337">
        <v>40001</v>
      </c>
      <c r="J337">
        <v>120000</v>
      </c>
    </row>
    <row r="338" spans="1:10" x14ac:dyDescent="0.25">
      <c r="B338" t="s">
        <v>731</v>
      </c>
      <c r="C338">
        <v>3.2370000000000001</v>
      </c>
      <c r="D338">
        <v>2.4780000000000002</v>
      </c>
      <c r="E338">
        <v>1.2619999999999999E-2</v>
      </c>
      <c r="F338">
        <v>1</v>
      </c>
      <c r="G338">
        <v>2</v>
      </c>
      <c r="H338">
        <v>9</v>
      </c>
      <c r="I338">
        <v>40001</v>
      </c>
      <c r="J338">
        <v>120000</v>
      </c>
    </row>
    <row r="339" spans="1:10" x14ac:dyDescent="0.25">
      <c r="B339" t="s">
        <v>732</v>
      </c>
      <c r="C339">
        <v>2.63</v>
      </c>
      <c r="D339">
        <v>2.0870000000000002</v>
      </c>
      <c r="E339">
        <v>9.4660000000000005E-3</v>
      </c>
      <c r="F339">
        <v>1</v>
      </c>
      <c r="G339">
        <v>2</v>
      </c>
      <c r="H339">
        <v>8</v>
      </c>
      <c r="I339">
        <v>40001</v>
      </c>
      <c r="J339">
        <v>120000</v>
      </c>
    </row>
    <row r="340" spans="1:10" x14ac:dyDescent="0.25">
      <c r="B340" t="s">
        <v>733</v>
      </c>
      <c r="C340">
        <v>4.2409999999999997</v>
      </c>
      <c r="D340">
        <v>2.3769999999999998</v>
      </c>
      <c r="E340">
        <v>1.141E-2</v>
      </c>
      <c r="F340">
        <v>1</v>
      </c>
      <c r="G340">
        <v>4</v>
      </c>
      <c r="H340">
        <v>9</v>
      </c>
      <c r="I340">
        <v>40001</v>
      </c>
      <c r="J340">
        <v>120000</v>
      </c>
    </row>
    <row r="341" spans="1:10" x14ac:dyDescent="0.25">
      <c r="B341" t="s">
        <v>734</v>
      </c>
      <c r="C341">
        <v>9.5289999999999999</v>
      </c>
      <c r="D341">
        <v>0.70789999999999997</v>
      </c>
      <c r="E341">
        <v>3.5309999999999999E-3</v>
      </c>
      <c r="F341">
        <v>8</v>
      </c>
      <c r="G341">
        <v>10</v>
      </c>
      <c r="H341">
        <v>10</v>
      </c>
      <c r="I341">
        <v>40001</v>
      </c>
      <c r="J341">
        <v>120000</v>
      </c>
    </row>
    <row r="342" spans="1:10" x14ac:dyDescent="0.25">
      <c r="B342" t="s">
        <v>735</v>
      </c>
      <c r="C342">
        <v>5.6420000000000003</v>
      </c>
      <c r="D342">
        <v>1.6819999999999999</v>
      </c>
      <c r="E342">
        <v>7.9489999999999995E-3</v>
      </c>
      <c r="F342">
        <v>2</v>
      </c>
      <c r="G342">
        <v>6</v>
      </c>
      <c r="H342">
        <v>9</v>
      </c>
      <c r="I342">
        <v>40001</v>
      </c>
      <c r="J342">
        <v>120000</v>
      </c>
    </row>
    <row r="343" spans="1:10" x14ac:dyDescent="0.25">
      <c r="B343" t="s">
        <v>736</v>
      </c>
      <c r="C343">
        <v>85.56</v>
      </c>
      <c r="D343">
        <v>10.88</v>
      </c>
      <c r="E343">
        <v>3.585E-2</v>
      </c>
      <c r="F343">
        <v>66.25</v>
      </c>
      <c r="G343">
        <v>84.88</v>
      </c>
      <c r="H343">
        <v>108.8</v>
      </c>
      <c r="I343">
        <v>40001</v>
      </c>
      <c r="J343">
        <v>120000</v>
      </c>
    </row>
    <row r="344" spans="1:10" x14ac:dyDescent="0.25">
      <c r="A344" t="s">
        <v>737</v>
      </c>
    </row>
    <row r="346" spans="1:10" x14ac:dyDescent="0.25">
      <c r="A346" t="s">
        <v>738</v>
      </c>
    </row>
    <row r="347" spans="1:10" x14ac:dyDescent="0.25">
      <c r="A347" t="s">
        <v>739</v>
      </c>
    </row>
    <row r="348" spans="1:10" x14ac:dyDescent="0.25">
      <c r="B348" t="s">
        <v>740</v>
      </c>
      <c r="C348" t="s">
        <v>741</v>
      </c>
      <c r="D348" t="s">
        <v>742</v>
      </c>
      <c r="E348" t="s">
        <v>738</v>
      </c>
    </row>
    <row r="349" spans="1:10" x14ac:dyDescent="0.25">
      <c r="A349" t="s">
        <v>743</v>
      </c>
      <c r="B349">
        <v>312.536</v>
      </c>
      <c r="C349">
        <v>259.92599999999999</v>
      </c>
      <c r="D349">
        <v>52.61</v>
      </c>
      <c r="E349">
        <v>365.14499999999998</v>
      </c>
    </row>
    <row r="350" spans="1:10" x14ac:dyDescent="0.25">
      <c r="A350" t="s">
        <v>744</v>
      </c>
      <c r="B350">
        <v>312.536</v>
      </c>
      <c r="C350">
        <v>259.92599999999999</v>
      </c>
      <c r="D350">
        <v>52.61</v>
      </c>
      <c r="E350">
        <v>365.14499999999998</v>
      </c>
    </row>
    <row r="351" spans="1:10" x14ac:dyDescent="0.25">
      <c r="A351" t="s">
        <v>745</v>
      </c>
    </row>
    <row r="353" spans="1:1" x14ac:dyDescent="0.25">
      <c r="A353" t="s">
        <v>746</v>
      </c>
    </row>
    <row r="355" spans="1:1" x14ac:dyDescent="0.25">
      <c r="A355" t="s">
        <v>747</v>
      </c>
    </row>
    <row r="357" spans="1:1" x14ac:dyDescent="0.25">
      <c r="A357" t="s">
        <v>748</v>
      </c>
    </row>
    <row r="359" spans="1:1" x14ac:dyDescent="0.25">
      <c r="A359" t="s">
        <v>872</v>
      </c>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61"/>
  <sheetViews>
    <sheetView showGridLines="0" topLeftCell="A31" workbookViewId="0">
      <selection activeCell="F34" sqref="F34:H78"/>
    </sheetView>
  </sheetViews>
  <sheetFormatPr defaultRowHeight="15" x14ac:dyDescent="0.25"/>
  <sheetData>
    <row r="1" spans="1:1" hidden="1" x14ac:dyDescent="0.25">
      <c r="A1" t="s">
        <v>394</v>
      </c>
    </row>
    <row r="2" spans="1:1" hidden="1" x14ac:dyDescent="0.25">
      <c r="A2" t="s">
        <v>881</v>
      </c>
    </row>
    <row r="3" spans="1:1" hidden="1" x14ac:dyDescent="0.25">
      <c r="A3" t="s">
        <v>401</v>
      </c>
    </row>
    <row r="4" spans="1:1" hidden="1" x14ac:dyDescent="0.25">
      <c r="A4" t="s">
        <v>402</v>
      </c>
    </row>
    <row r="5" spans="1:1" hidden="1" x14ac:dyDescent="0.25">
      <c r="A5" t="s">
        <v>403</v>
      </c>
    </row>
    <row r="6" spans="1:1" hidden="1" x14ac:dyDescent="0.25">
      <c r="A6" t="s">
        <v>404</v>
      </c>
    </row>
    <row r="7" spans="1:1" hidden="1" x14ac:dyDescent="0.25">
      <c r="A7" t="s">
        <v>403</v>
      </c>
    </row>
    <row r="8" spans="1:1" hidden="1" x14ac:dyDescent="0.25">
      <c r="A8" t="s">
        <v>21</v>
      </c>
    </row>
    <row r="9" spans="1:1" hidden="1" x14ac:dyDescent="0.25">
      <c r="A9" t="s">
        <v>405</v>
      </c>
    </row>
    <row r="10" spans="1:1" hidden="1" x14ac:dyDescent="0.25">
      <c r="A10" t="s">
        <v>882</v>
      </c>
    </row>
    <row r="11" spans="1:1" hidden="1" x14ac:dyDescent="0.25">
      <c r="A11" t="s">
        <v>808</v>
      </c>
    </row>
    <row r="12" spans="1:1" hidden="1" x14ac:dyDescent="0.25">
      <c r="A12" t="s">
        <v>883</v>
      </c>
    </row>
    <row r="13" spans="1:1" hidden="1" x14ac:dyDescent="0.25">
      <c r="A13" t="s">
        <v>808</v>
      </c>
    </row>
    <row r="14" spans="1:1" hidden="1" x14ac:dyDescent="0.25">
      <c r="A14" t="s">
        <v>884</v>
      </c>
    </row>
    <row r="15" spans="1:1" hidden="1" x14ac:dyDescent="0.25">
      <c r="A15" t="s">
        <v>808</v>
      </c>
    </row>
    <row r="16" spans="1:1" hidden="1" x14ac:dyDescent="0.25">
      <c r="A16" t="s">
        <v>23</v>
      </c>
    </row>
    <row r="17" spans="1:1" hidden="1" x14ac:dyDescent="0.25">
      <c r="A17" t="s">
        <v>811</v>
      </c>
    </row>
    <row r="18" spans="1:1" hidden="1" x14ac:dyDescent="0.25">
      <c r="A18" t="s">
        <v>398</v>
      </c>
    </row>
    <row r="19" spans="1:1" hidden="1" x14ac:dyDescent="0.25">
      <c r="A19" t="s">
        <v>411</v>
      </c>
    </row>
    <row r="20" spans="1:1" hidden="1" x14ac:dyDescent="0.25">
      <c r="A20" t="s">
        <v>412</v>
      </c>
    </row>
    <row r="21" spans="1:1" hidden="1" x14ac:dyDescent="0.25">
      <c r="A21" t="s">
        <v>413</v>
      </c>
    </row>
    <row r="22" spans="1:1" hidden="1" x14ac:dyDescent="0.25">
      <c r="A22" t="s">
        <v>414</v>
      </c>
    </row>
    <row r="23" spans="1:1" hidden="1" x14ac:dyDescent="0.25">
      <c r="A23" t="s">
        <v>415</v>
      </c>
    </row>
    <row r="24" spans="1:1" hidden="1" x14ac:dyDescent="0.25">
      <c r="A24" t="s">
        <v>416</v>
      </c>
    </row>
    <row r="25" spans="1:1" hidden="1" x14ac:dyDescent="0.25">
      <c r="A25" t="s">
        <v>417</v>
      </c>
    </row>
    <row r="26" spans="1:1" hidden="1" x14ac:dyDescent="0.25">
      <c r="A26" t="s">
        <v>197</v>
      </c>
    </row>
    <row r="27" spans="1:1" hidden="1" x14ac:dyDescent="0.25">
      <c r="A27" t="s">
        <v>199</v>
      </c>
    </row>
    <row r="28" spans="1:1" hidden="1" x14ac:dyDescent="0.25">
      <c r="A28" t="s">
        <v>261</v>
      </c>
    </row>
    <row r="29" spans="1:1" hidden="1" x14ac:dyDescent="0.25">
      <c r="A29" t="s">
        <v>398</v>
      </c>
    </row>
    <row r="30" spans="1:1" hidden="1" x14ac:dyDescent="0.25">
      <c r="A30" t="s">
        <v>399</v>
      </c>
    </row>
    <row r="32" spans="1:1" x14ac:dyDescent="0.25">
      <c r="A32" t="s">
        <v>418</v>
      </c>
    </row>
    <row r="33" spans="2:10" x14ac:dyDescent="0.25">
      <c r="B33" t="s">
        <v>419</v>
      </c>
      <c r="C33" t="s">
        <v>420</v>
      </c>
      <c r="D33" t="s">
        <v>421</v>
      </c>
      <c r="E33" t="s">
        <v>422</v>
      </c>
      <c r="F33" s="12">
        <v>2.5000000000000001E-2</v>
      </c>
      <c r="G33" t="s">
        <v>423</v>
      </c>
      <c r="H33" s="12">
        <v>0.97499999999999998</v>
      </c>
      <c r="I33" t="s">
        <v>424</v>
      </c>
      <c r="J33" t="s">
        <v>425</v>
      </c>
    </row>
    <row r="34" spans="2:10" x14ac:dyDescent="0.25">
      <c r="B34" t="s">
        <v>426</v>
      </c>
      <c r="C34">
        <v>0.69510000000000005</v>
      </c>
      <c r="D34">
        <v>0.19089999999999999</v>
      </c>
      <c r="E34">
        <v>4.3379999999999998E-3</v>
      </c>
      <c r="F34">
        <v>0.39800000000000002</v>
      </c>
      <c r="G34">
        <v>0.67390000000000005</v>
      </c>
      <c r="H34">
        <v>1.139</v>
      </c>
      <c r="I34">
        <v>40001</v>
      </c>
      <c r="J34">
        <v>120000</v>
      </c>
    </row>
    <row r="35" spans="2:10" x14ac:dyDescent="0.25">
      <c r="B35" t="s">
        <v>427</v>
      </c>
      <c r="C35">
        <v>0.42859999999999998</v>
      </c>
      <c r="D35">
        <v>0.14219999999999999</v>
      </c>
      <c r="E35">
        <v>3.2049999999999999E-3</v>
      </c>
      <c r="F35">
        <v>0.20749999999999999</v>
      </c>
      <c r="G35">
        <v>0.40960000000000002</v>
      </c>
      <c r="H35">
        <v>0.75219999999999998</v>
      </c>
      <c r="I35">
        <v>40001</v>
      </c>
      <c r="J35">
        <v>120000</v>
      </c>
    </row>
    <row r="36" spans="2:10" x14ac:dyDescent="0.25">
      <c r="B36" t="s">
        <v>428</v>
      </c>
      <c r="C36">
        <v>0.52339999999999998</v>
      </c>
      <c r="D36">
        <v>0.30459999999999998</v>
      </c>
      <c r="E36">
        <v>6.2810000000000001E-3</v>
      </c>
      <c r="F36">
        <v>0.15759999999999999</v>
      </c>
      <c r="G36">
        <v>0.45979999999999999</v>
      </c>
      <c r="H36">
        <v>1.288</v>
      </c>
      <c r="I36">
        <v>40001</v>
      </c>
      <c r="J36">
        <v>120000</v>
      </c>
    </row>
    <row r="37" spans="2:10" x14ac:dyDescent="0.25">
      <c r="B37" t="s">
        <v>429</v>
      </c>
      <c r="C37">
        <v>1.5780000000000001</v>
      </c>
      <c r="D37">
        <v>3.4670000000000001</v>
      </c>
      <c r="E37">
        <v>5.3760000000000002E-2</v>
      </c>
      <c r="F37">
        <v>0.1661</v>
      </c>
      <c r="G37">
        <v>0.97130000000000005</v>
      </c>
      <c r="H37">
        <v>6.2919999999999998</v>
      </c>
      <c r="I37">
        <v>40001</v>
      </c>
      <c r="J37">
        <v>120000</v>
      </c>
    </row>
    <row r="38" spans="2:10" x14ac:dyDescent="0.25">
      <c r="B38" t="s">
        <v>430</v>
      </c>
      <c r="C38">
        <v>0.44979999999999998</v>
      </c>
      <c r="D38">
        <v>0.50229999999999997</v>
      </c>
      <c r="E38">
        <v>9.0600000000000003E-3</v>
      </c>
      <c r="F38">
        <v>5.2040000000000003E-2</v>
      </c>
      <c r="G38">
        <v>0.30249999999999999</v>
      </c>
      <c r="H38">
        <v>1.718</v>
      </c>
      <c r="I38">
        <v>40001</v>
      </c>
      <c r="J38">
        <v>120000</v>
      </c>
    </row>
    <row r="39" spans="2:10" x14ac:dyDescent="0.25">
      <c r="B39" t="s">
        <v>431</v>
      </c>
      <c r="C39">
        <v>0.34510000000000002</v>
      </c>
      <c r="D39">
        <v>0.34560000000000002</v>
      </c>
      <c r="E39">
        <v>5.4730000000000004E-3</v>
      </c>
      <c r="F39">
        <v>3.9489999999999997E-2</v>
      </c>
      <c r="G39">
        <v>0.25090000000000001</v>
      </c>
      <c r="H39">
        <v>1.208</v>
      </c>
      <c r="I39">
        <v>40001</v>
      </c>
      <c r="J39">
        <v>120000</v>
      </c>
    </row>
    <row r="40" spans="2:10" x14ac:dyDescent="0.25">
      <c r="B40" t="s">
        <v>432</v>
      </c>
      <c r="C40">
        <v>0.53320000000000001</v>
      </c>
      <c r="D40">
        <v>0.4299</v>
      </c>
      <c r="E40">
        <v>9.3629999999999998E-3</v>
      </c>
      <c r="F40">
        <v>0.1067</v>
      </c>
      <c r="G40">
        <v>0.41739999999999999</v>
      </c>
      <c r="H40">
        <v>1.629</v>
      </c>
      <c r="I40">
        <v>40001</v>
      </c>
      <c r="J40">
        <v>120000</v>
      </c>
    </row>
    <row r="41" spans="2:10" x14ac:dyDescent="0.25">
      <c r="B41" t="s">
        <v>433</v>
      </c>
      <c r="C41">
        <v>1.607</v>
      </c>
      <c r="D41">
        <v>0.45989999999999998</v>
      </c>
      <c r="E41">
        <v>8.6199999999999992E-3</v>
      </c>
      <c r="F41">
        <v>0.88619999999999999</v>
      </c>
      <c r="G41">
        <v>1.542</v>
      </c>
      <c r="H41">
        <v>2.649</v>
      </c>
      <c r="I41">
        <v>40001</v>
      </c>
      <c r="J41">
        <v>120000</v>
      </c>
    </row>
    <row r="42" spans="2:10" x14ac:dyDescent="0.25">
      <c r="B42" t="s">
        <v>434</v>
      </c>
      <c r="C42">
        <v>0.6351</v>
      </c>
      <c r="D42">
        <v>0.24379999999999999</v>
      </c>
      <c r="E42">
        <v>5.5120000000000004E-3</v>
      </c>
      <c r="F42">
        <v>0.28589999999999999</v>
      </c>
      <c r="G42">
        <v>0.60040000000000004</v>
      </c>
      <c r="H42">
        <v>1.2130000000000001</v>
      </c>
      <c r="I42">
        <v>40001</v>
      </c>
      <c r="J42">
        <v>120000</v>
      </c>
    </row>
    <row r="43" spans="2:10" x14ac:dyDescent="0.25">
      <c r="B43" t="s">
        <v>435</v>
      </c>
      <c r="C43">
        <v>0.64359999999999995</v>
      </c>
      <c r="D43">
        <v>0.22800000000000001</v>
      </c>
      <c r="E43">
        <v>5.1159999999999999E-3</v>
      </c>
      <c r="F43">
        <v>0.29709999999999998</v>
      </c>
      <c r="G43">
        <v>0.61070000000000002</v>
      </c>
      <c r="H43">
        <v>1.163</v>
      </c>
      <c r="I43">
        <v>40001</v>
      </c>
      <c r="J43">
        <v>120000</v>
      </c>
    </row>
    <row r="44" spans="2:10" x14ac:dyDescent="0.25">
      <c r="B44" t="s">
        <v>436</v>
      </c>
      <c r="C44">
        <v>0.7903</v>
      </c>
      <c r="D44">
        <v>0.48620000000000002</v>
      </c>
      <c r="E44">
        <v>1.001E-2</v>
      </c>
      <c r="F44">
        <v>0.2293</v>
      </c>
      <c r="G44">
        <v>0.67620000000000002</v>
      </c>
      <c r="H44">
        <v>2.0379999999999998</v>
      </c>
      <c r="I44">
        <v>40001</v>
      </c>
      <c r="J44">
        <v>120000</v>
      </c>
    </row>
    <row r="45" spans="2:10" x14ac:dyDescent="0.25">
      <c r="B45" t="s">
        <v>437</v>
      </c>
      <c r="C45">
        <v>2.2690000000000001</v>
      </c>
      <c r="D45">
        <v>3.972</v>
      </c>
      <c r="E45">
        <v>6.8529999999999994E-2</v>
      </c>
      <c r="F45">
        <v>0.26779999999999998</v>
      </c>
      <c r="G45">
        <v>1.46</v>
      </c>
      <c r="H45">
        <v>8.9429999999999996</v>
      </c>
      <c r="I45">
        <v>40001</v>
      </c>
      <c r="J45">
        <v>120000</v>
      </c>
    </row>
    <row r="46" spans="2:10" x14ac:dyDescent="0.25">
      <c r="B46" t="s">
        <v>438</v>
      </c>
      <c r="C46">
        <v>0.67190000000000005</v>
      </c>
      <c r="D46">
        <v>0.76380000000000003</v>
      </c>
      <c r="E46">
        <v>1.3979999999999999E-2</v>
      </c>
      <c r="F46">
        <v>7.5939999999999994E-2</v>
      </c>
      <c r="G46">
        <v>0.44629999999999997</v>
      </c>
      <c r="H46">
        <v>2.645</v>
      </c>
      <c r="I46">
        <v>40001</v>
      </c>
      <c r="J46">
        <v>120000</v>
      </c>
    </row>
    <row r="47" spans="2:10" x14ac:dyDescent="0.25">
      <c r="B47" t="s">
        <v>439</v>
      </c>
      <c r="C47">
        <v>0.49680000000000002</v>
      </c>
      <c r="D47">
        <v>0.45950000000000002</v>
      </c>
      <c r="E47">
        <v>7.0920000000000002E-3</v>
      </c>
      <c r="F47">
        <v>6.3729999999999995E-2</v>
      </c>
      <c r="G47">
        <v>0.37369999999999998</v>
      </c>
      <c r="H47">
        <v>1.655</v>
      </c>
      <c r="I47">
        <v>40001</v>
      </c>
      <c r="J47">
        <v>120000</v>
      </c>
    </row>
    <row r="48" spans="2:10" x14ac:dyDescent="0.25">
      <c r="B48" t="s">
        <v>440</v>
      </c>
      <c r="C48">
        <v>0.76880000000000004</v>
      </c>
      <c r="D48">
        <v>0.56040000000000001</v>
      </c>
      <c r="E48">
        <v>1.0460000000000001E-2</v>
      </c>
      <c r="F48">
        <v>0.1734</v>
      </c>
      <c r="G48">
        <v>0.63009999999999999</v>
      </c>
      <c r="H48">
        <v>2.218</v>
      </c>
      <c r="I48">
        <v>40001</v>
      </c>
      <c r="J48">
        <v>120000</v>
      </c>
    </row>
    <row r="49" spans="2:10" x14ac:dyDescent="0.25">
      <c r="B49" t="s">
        <v>441</v>
      </c>
      <c r="C49">
        <v>2.476</v>
      </c>
      <c r="D49">
        <v>0.97789999999999999</v>
      </c>
      <c r="E49">
        <v>2.0629999999999999E-2</v>
      </c>
      <c r="F49">
        <v>1.0980000000000001</v>
      </c>
      <c r="G49">
        <v>2.2949999999999999</v>
      </c>
      <c r="H49">
        <v>4.8099999999999996</v>
      </c>
      <c r="I49">
        <v>40001</v>
      </c>
      <c r="J49">
        <v>120000</v>
      </c>
    </row>
    <row r="50" spans="2:10" x14ac:dyDescent="0.25">
      <c r="B50" t="s">
        <v>442</v>
      </c>
      <c r="C50">
        <v>0.94299999999999995</v>
      </c>
      <c r="D50">
        <v>0.35410000000000003</v>
      </c>
      <c r="E50">
        <v>7.5310000000000004E-3</v>
      </c>
      <c r="F50">
        <v>0.42320000000000002</v>
      </c>
      <c r="G50">
        <v>0.87949999999999995</v>
      </c>
      <c r="H50">
        <v>1.8180000000000001</v>
      </c>
      <c r="I50">
        <v>40001</v>
      </c>
      <c r="J50">
        <v>120000</v>
      </c>
    </row>
    <row r="51" spans="2:10" x14ac:dyDescent="0.25">
      <c r="B51" t="s">
        <v>443</v>
      </c>
      <c r="C51">
        <v>1.2529999999999999</v>
      </c>
      <c r="D51">
        <v>0.64949999999999997</v>
      </c>
      <c r="E51">
        <v>1.372E-2</v>
      </c>
      <c r="F51">
        <v>0.42409999999999998</v>
      </c>
      <c r="G51">
        <v>1.1180000000000001</v>
      </c>
      <c r="H51">
        <v>2.8780000000000001</v>
      </c>
      <c r="I51">
        <v>40001</v>
      </c>
      <c r="J51">
        <v>120000</v>
      </c>
    </row>
    <row r="52" spans="2:10" x14ac:dyDescent="0.25">
      <c r="B52" t="s">
        <v>444</v>
      </c>
      <c r="C52">
        <v>3.98</v>
      </c>
      <c r="D52">
        <v>7.7130000000000001</v>
      </c>
      <c r="E52">
        <v>0.1255</v>
      </c>
      <c r="F52">
        <v>0.37719999999999998</v>
      </c>
      <c r="G52">
        <v>2.3879999999999999</v>
      </c>
      <c r="H52">
        <v>16.16</v>
      </c>
      <c r="I52">
        <v>40001</v>
      </c>
      <c r="J52">
        <v>120000</v>
      </c>
    </row>
    <row r="53" spans="2:10" x14ac:dyDescent="0.25">
      <c r="B53" t="s">
        <v>445</v>
      </c>
      <c r="C53">
        <v>1.044</v>
      </c>
      <c r="D53">
        <v>1.0780000000000001</v>
      </c>
      <c r="E53">
        <v>1.9259999999999999E-2</v>
      </c>
      <c r="F53">
        <v>0.1452</v>
      </c>
      <c r="G53">
        <v>0.75090000000000001</v>
      </c>
      <c r="H53">
        <v>3.722</v>
      </c>
      <c r="I53">
        <v>40001</v>
      </c>
      <c r="J53">
        <v>120000</v>
      </c>
    </row>
    <row r="54" spans="2:10" x14ac:dyDescent="0.25">
      <c r="B54" t="s">
        <v>446</v>
      </c>
      <c r="C54">
        <v>0.87329999999999997</v>
      </c>
      <c r="D54">
        <v>0.93140000000000001</v>
      </c>
      <c r="E54">
        <v>1.4250000000000001E-2</v>
      </c>
      <c r="F54">
        <v>9.3420000000000003E-2</v>
      </c>
      <c r="G54">
        <v>0.61560000000000004</v>
      </c>
      <c r="H54">
        <v>3.153</v>
      </c>
      <c r="I54">
        <v>40001</v>
      </c>
      <c r="J54">
        <v>120000</v>
      </c>
    </row>
    <row r="55" spans="2:10" x14ac:dyDescent="0.25">
      <c r="B55" t="s">
        <v>447</v>
      </c>
      <c r="C55">
        <v>1.353</v>
      </c>
      <c r="D55">
        <v>1.1679999999999999</v>
      </c>
      <c r="E55">
        <v>2.324E-2</v>
      </c>
      <c r="F55">
        <v>0.2492</v>
      </c>
      <c r="G55">
        <v>1.022</v>
      </c>
      <c r="H55">
        <v>4.4290000000000003</v>
      </c>
      <c r="I55">
        <v>40001</v>
      </c>
      <c r="J55">
        <v>120000</v>
      </c>
    </row>
    <row r="56" spans="2:10" x14ac:dyDescent="0.25">
      <c r="B56" t="s">
        <v>448</v>
      </c>
      <c r="C56">
        <v>4.1230000000000002</v>
      </c>
      <c r="D56">
        <v>1.7569999999999999</v>
      </c>
      <c r="E56">
        <v>3.9410000000000001E-2</v>
      </c>
      <c r="F56">
        <v>1.768</v>
      </c>
      <c r="G56">
        <v>3.7650000000000001</v>
      </c>
      <c r="H56">
        <v>8.4670000000000005</v>
      </c>
      <c r="I56">
        <v>40001</v>
      </c>
      <c r="J56">
        <v>120000</v>
      </c>
    </row>
    <row r="57" spans="2:10" x14ac:dyDescent="0.25">
      <c r="B57" t="s">
        <v>449</v>
      </c>
      <c r="C57">
        <v>1.593</v>
      </c>
      <c r="D57">
        <v>0.70309999999999995</v>
      </c>
      <c r="E57">
        <v>1.5730000000000001E-2</v>
      </c>
      <c r="F57">
        <v>0.66</v>
      </c>
      <c r="G57">
        <v>1.458</v>
      </c>
      <c r="H57">
        <v>3.3639999999999999</v>
      </c>
      <c r="I57">
        <v>40001</v>
      </c>
      <c r="J57">
        <v>120000</v>
      </c>
    </row>
    <row r="58" spans="2:10" x14ac:dyDescent="0.25">
      <c r="B58" t="s">
        <v>450</v>
      </c>
      <c r="C58">
        <v>3.88</v>
      </c>
      <c r="D58">
        <v>7.577</v>
      </c>
      <c r="E58">
        <v>0.13070000000000001</v>
      </c>
      <c r="F58">
        <v>0.29170000000000001</v>
      </c>
      <c r="G58">
        <v>2.161</v>
      </c>
      <c r="H58">
        <v>18.21</v>
      </c>
      <c r="I58">
        <v>40001</v>
      </c>
      <c r="J58">
        <v>120000</v>
      </c>
    </row>
    <row r="59" spans="2:10" x14ac:dyDescent="0.25">
      <c r="B59" t="s">
        <v>451</v>
      </c>
      <c r="C59">
        <v>1.03</v>
      </c>
      <c r="D59">
        <v>1.25</v>
      </c>
      <c r="E59">
        <v>2.2800000000000001E-2</v>
      </c>
      <c r="F59">
        <v>0.1004</v>
      </c>
      <c r="G59">
        <v>0.66190000000000004</v>
      </c>
      <c r="H59">
        <v>4.242</v>
      </c>
      <c r="I59">
        <v>40001</v>
      </c>
      <c r="J59">
        <v>120000</v>
      </c>
    </row>
    <row r="60" spans="2:10" x14ac:dyDescent="0.25">
      <c r="B60" t="s">
        <v>452</v>
      </c>
      <c r="C60">
        <v>0.84670000000000001</v>
      </c>
      <c r="D60">
        <v>1.0249999999999999</v>
      </c>
      <c r="E60">
        <v>1.523E-2</v>
      </c>
      <c r="F60">
        <v>7.3209999999999997E-2</v>
      </c>
      <c r="G60">
        <v>0.56330000000000002</v>
      </c>
      <c r="H60">
        <v>3.339</v>
      </c>
      <c r="I60">
        <v>40001</v>
      </c>
      <c r="J60">
        <v>120000</v>
      </c>
    </row>
    <row r="61" spans="2:10" x14ac:dyDescent="0.25">
      <c r="B61" t="s">
        <v>453</v>
      </c>
      <c r="C61">
        <v>1.3149999999999999</v>
      </c>
      <c r="D61">
        <v>1.3080000000000001</v>
      </c>
      <c r="E61">
        <v>2.564E-2</v>
      </c>
      <c r="F61">
        <v>0.17249999999999999</v>
      </c>
      <c r="G61">
        <v>0.92830000000000001</v>
      </c>
      <c r="H61">
        <v>4.8949999999999996</v>
      </c>
      <c r="I61">
        <v>40001</v>
      </c>
      <c r="J61">
        <v>120000</v>
      </c>
    </row>
    <row r="62" spans="2:10" x14ac:dyDescent="0.25">
      <c r="B62" t="s">
        <v>454</v>
      </c>
      <c r="C62">
        <v>4.0350000000000001</v>
      </c>
      <c r="D62">
        <v>2.573</v>
      </c>
      <c r="E62">
        <v>5.4330000000000003E-2</v>
      </c>
      <c r="F62">
        <v>1.099</v>
      </c>
      <c r="G62">
        <v>3.3559999999999999</v>
      </c>
      <c r="H62">
        <v>10.38</v>
      </c>
      <c r="I62">
        <v>40001</v>
      </c>
      <c r="J62">
        <v>120000</v>
      </c>
    </row>
    <row r="63" spans="2:10" x14ac:dyDescent="0.25">
      <c r="B63" t="s">
        <v>455</v>
      </c>
      <c r="C63">
        <v>1.5580000000000001</v>
      </c>
      <c r="D63">
        <v>1.0089999999999999</v>
      </c>
      <c r="E63">
        <v>2.034E-2</v>
      </c>
      <c r="F63">
        <v>0.40870000000000001</v>
      </c>
      <c r="G63">
        <v>1.3089999999999999</v>
      </c>
      <c r="H63">
        <v>4.1689999999999996</v>
      </c>
      <c r="I63">
        <v>40001</v>
      </c>
      <c r="J63">
        <v>120000</v>
      </c>
    </row>
    <row r="64" spans="2:10" x14ac:dyDescent="0.25">
      <c r="B64" t="s">
        <v>456</v>
      </c>
      <c r="C64">
        <v>0.68089999999999995</v>
      </c>
      <c r="D64">
        <v>1.395</v>
      </c>
      <c r="E64">
        <v>2.316E-2</v>
      </c>
      <c r="F64">
        <v>2.4819999999999998E-2</v>
      </c>
      <c r="G64">
        <v>0.30769999999999997</v>
      </c>
      <c r="H64">
        <v>3.6309999999999998</v>
      </c>
      <c r="I64">
        <v>40001</v>
      </c>
      <c r="J64">
        <v>120000</v>
      </c>
    </row>
    <row r="65" spans="2:10" x14ac:dyDescent="0.25">
      <c r="B65" t="s">
        <v>457</v>
      </c>
      <c r="C65">
        <v>0.50070000000000003</v>
      </c>
      <c r="D65">
        <v>0.95279999999999998</v>
      </c>
      <c r="E65">
        <v>1.208E-2</v>
      </c>
      <c r="F65">
        <v>1.8929999999999999E-2</v>
      </c>
      <c r="G65">
        <v>0.25629999999999997</v>
      </c>
      <c r="H65">
        <v>2.4780000000000002</v>
      </c>
      <c r="I65">
        <v>40001</v>
      </c>
      <c r="J65">
        <v>120000</v>
      </c>
    </row>
    <row r="66" spans="2:10" x14ac:dyDescent="0.25">
      <c r="B66" t="s">
        <v>458</v>
      </c>
      <c r="C66">
        <v>0.77249999999999996</v>
      </c>
      <c r="D66">
        <v>1.3049999999999999</v>
      </c>
      <c r="E66">
        <v>2.0219999999999998E-2</v>
      </c>
      <c r="F66">
        <v>4.8959999999999997E-2</v>
      </c>
      <c r="G66">
        <v>0.42880000000000001</v>
      </c>
      <c r="H66">
        <v>3.6240000000000001</v>
      </c>
      <c r="I66">
        <v>40001</v>
      </c>
      <c r="J66">
        <v>120000</v>
      </c>
    </row>
    <row r="67" spans="2:10" x14ac:dyDescent="0.25">
      <c r="B67" t="s">
        <v>459</v>
      </c>
      <c r="C67">
        <v>2.4969999999999999</v>
      </c>
      <c r="D67">
        <v>3.6110000000000002</v>
      </c>
      <c r="E67">
        <v>5.6770000000000001E-2</v>
      </c>
      <c r="F67">
        <v>0.22939999999999999</v>
      </c>
      <c r="G67">
        <v>1.5880000000000001</v>
      </c>
      <c r="H67">
        <v>10.27</v>
      </c>
      <c r="I67">
        <v>40001</v>
      </c>
      <c r="J67">
        <v>120000</v>
      </c>
    </row>
    <row r="68" spans="2:10" x14ac:dyDescent="0.25">
      <c r="B68" t="s">
        <v>460</v>
      </c>
      <c r="C68">
        <v>0.94740000000000002</v>
      </c>
      <c r="D68">
        <v>1.33</v>
      </c>
      <c r="E68">
        <v>1.9709999999999998E-2</v>
      </c>
      <c r="F68">
        <v>8.3720000000000003E-2</v>
      </c>
      <c r="G68">
        <v>0.61499999999999999</v>
      </c>
      <c r="H68">
        <v>3.7690000000000001</v>
      </c>
      <c r="I68">
        <v>40001</v>
      </c>
      <c r="J68">
        <v>120000</v>
      </c>
    </row>
    <row r="69" spans="2:10" x14ac:dyDescent="0.25">
      <c r="B69" t="s">
        <v>461</v>
      </c>
      <c r="C69">
        <v>1.649</v>
      </c>
      <c r="D69">
        <v>3.544</v>
      </c>
      <c r="E69">
        <v>4.095E-2</v>
      </c>
      <c r="F69">
        <v>7.0370000000000002E-2</v>
      </c>
      <c r="G69">
        <v>0.82909999999999995</v>
      </c>
      <c r="H69">
        <v>8.2149999999999999</v>
      </c>
      <c r="I69">
        <v>40001</v>
      </c>
      <c r="J69">
        <v>120000</v>
      </c>
    </row>
    <row r="70" spans="2:10" x14ac:dyDescent="0.25">
      <c r="B70" t="s">
        <v>462</v>
      </c>
      <c r="C70">
        <v>2.5449999999999999</v>
      </c>
      <c r="D70">
        <v>4.2279999999999998</v>
      </c>
      <c r="E70">
        <v>6.8669999999999995E-2</v>
      </c>
      <c r="F70">
        <v>0.1724</v>
      </c>
      <c r="G70">
        <v>1.3640000000000001</v>
      </c>
      <c r="H70">
        <v>12.04</v>
      </c>
      <c r="I70">
        <v>40001</v>
      </c>
      <c r="J70">
        <v>120000</v>
      </c>
    </row>
    <row r="71" spans="2:10" x14ac:dyDescent="0.25">
      <c r="B71" t="s">
        <v>463</v>
      </c>
      <c r="C71">
        <v>7.9089999999999998</v>
      </c>
      <c r="D71">
        <v>9.8049999999999997</v>
      </c>
      <c r="E71">
        <v>0.16470000000000001</v>
      </c>
      <c r="F71">
        <v>0.84560000000000002</v>
      </c>
      <c r="G71">
        <v>5.0609999999999999</v>
      </c>
      <c r="H71">
        <v>31.1</v>
      </c>
      <c r="I71">
        <v>40001</v>
      </c>
      <c r="J71">
        <v>120000</v>
      </c>
    </row>
    <row r="72" spans="2:10" x14ac:dyDescent="0.25">
      <c r="B72" t="s">
        <v>464</v>
      </c>
      <c r="C72">
        <v>3.04</v>
      </c>
      <c r="D72">
        <v>3.7930000000000001</v>
      </c>
      <c r="E72">
        <v>6.5949999999999995E-2</v>
      </c>
      <c r="F72">
        <v>0.317</v>
      </c>
      <c r="G72">
        <v>1.9319999999999999</v>
      </c>
      <c r="H72">
        <v>12.39</v>
      </c>
      <c r="I72">
        <v>40001</v>
      </c>
      <c r="J72">
        <v>120000</v>
      </c>
    </row>
    <row r="73" spans="2:10" x14ac:dyDescent="0.25">
      <c r="B73" t="s">
        <v>465</v>
      </c>
      <c r="C73">
        <v>3.173</v>
      </c>
      <c r="D73">
        <v>6.0389999999999997</v>
      </c>
      <c r="E73">
        <v>9.8530000000000006E-2</v>
      </c>
      <c r="F73">
        <v>0.2293</v>
      </c>
      <c r="G73">
        <v>1.673</v>
      </c>
      <c r="H73">
        <v>16</v>
      </c>
      <c r="I73">
        <v>40001</v>
      </c>
      <c r="J73">
        <v>120000</v>
      </c>
    </row>
    <row r="74" spans="2:10" x14ac:dyDescent="0.25">
      <c r="B74" t="s">
        <v>466</v>
      </c>
      <c r="C74">
        <v>10.01</v>
      </c>
      <c r="D74">
        <v>14.41</v>
      </c>
      <c r="E74">
        <v>0.2666</v>
      </c>
      <c r="F74">
        <v>1.145</v>
      </c>
      <c r="G74">
        <v>6.1749999999999998</v>
      </c>
      <c r="H74">
        <v>42.37</v>
      </c>
      <c r="I74">
        <v>40001</v>
      </c>
      <c r="J74">
        <v>120000</v>
      </c>
    </row>
    <row r="75" spans="2:10" x14ac:dyDescent="0.25">
      <c r="B75" t="s">
        <v>467</v>
      </c>
      <c r="C75">
        <v>3.7869999999999999</v>
      </c>
      <c r="D75">
        <v>5.2110000000000003</v>
      </c>
      <c r="E75">
        <v>9.2359999999999998E-2</v>
      </c>
      <c r="F75">
        <v>0.47020000000000001</v>
      </c>
      <c r="G75">
        <v>2.3580000000000001</v>
      </c>
      <c r="H75">
        <v>16.100000000000001</v>
      </c>
      <c r="I75">
        <v>40001</v>
      </c>
      <c r="J75">
        <v>120000</v>
      </c>
    </row>
    <row r="76" spans="2:10" x14ac:dyDescent="0.25">
      <c r="B76" t="s">
        <v>468</v>
      </c>
      <c r="C76">
        <v>4.915</v>
      </c>
      <c r="D76">
        <v>4.68</v>
      </c>
      <c r="E76">
        <v>8.2710000000000006E-2</v>
      </c>
      <c r="F76">
        <v>0.84260000000000002</v>
      </c>
      <c r="G76">
        <v>3.6819999999999999</v>
      </c>
      <c r="H76">
        <v>15.96</v>
      </c>
      <c r="I76">
        <v>40001</v>
      </c>
      <c r="J76">
        <v>120000</v>
      </c>
    </row>
    <row r="77" spans="2:10" x14ac:dyDescent="0.25">
      <c r="B77" t="s">
        <v>469</v>
      </c>
      <c r="C77">
        <v>1.8620000000000001</v>
      </c>
      <c r="D77">
        <v>1.653</v>
      </c>
      <c r="E77">
        <v>2.8840000000000001E-2</v>
      </c>
      <c r="F77">
        <v>0.33139999999999997</v>
      </c>
      <c r="G77">
        <v>1.4279999999999999</v>
      </c>
      <c r="H77">
        <v>6.0380000000000003</v>
      </c>
      <c r="I77">
        <v>40001</v>
      </c>
      <c r="J77">
        <v>120000</v>
      </c>
    </row>
    <row r="78" spans="2:10" x14ac:dyDescent="0.25">
      <c r="B78" t="s">
        <v>470</v>
      </c>
      <c r="C78">
        <v>0.42680000000000001</v>
      </c>
      <c r="D78">
        <v>0.20669999999999999</v>
      </c>
      <c r="E78">
        <v>4.6109999999999996E-3</v>
      </c>
      <c r="F78">
        <v>0.15029999999999999</v>
      </c>
      <c r="G78">
        <v>0.38800000000000001</v>
      </c>
      <c r="H78">
        <v>0.94279999999999997</v>
      </c>
      <c r="I78">
        <v>40001</v>
      </c>
      <c r="J78">
        <v>120000</v>
      </c>
    </row>
    <row r="79" spans="2:10" x14ac:dyDescent="0.25">
      <c r="B79" t="s">
        <v>471</v>
      </c>
      <c r="C79">
        <v>0.20860000000000001</v>
      </c>
      <c r="D79">
        <v>0.1067</v>
      </c>
      <c r="E79">
        <v>2.0430000000000001E-3</v>
      </c>
      <c r="F79">
        <v>0.1111</v>
      </c>
      <c r="G79">
        <v>0.22220000000000001</v>
      </c>
      <c r="H79">
        <v>0.44440000000000002</v>
      </c>
      <c r="I79">
        <v>40001</v>
      </c>
      <c r="J79">
        <v>120000</v>
      </c>
    </row>
    <row r="80" spans="2:10" x14ac:dyDescent="0.25">
      <c r="B80" t="s">
        <v>472</v>
      </c>
      <c r="C80">
        <v>0.41970000000000002</v>
      </c>
      <c r="D80">
        <v>0.1404</v>
      </c>
      <c r="E80">
        <v>2.7409999999999999E-3</v>
      </c>
      <c r="F80">
        <v>0.22220000000000001</v>
      </c>
      <c r="G80">
        <v>0.44440000000000002</v>
      </c>
      <c r="H80">
        <v>0.66669999999999996</v>
      </c>
      <c r="I80">
        <v>40001</v>
      </c>
      <c r="J80">
        <v>120000</v>
      </c>
    </row>
    <row r="81" spans="2:10" x14ac:dyDescent="0.25">
      <c r="B81" t="s">
        <v>473</v>
      </c>
      <c r="C81">
        <v>0.70150000000000001</v>
      </c>
      <c r="D81">
        <v>0.1532</v>
      </c>
      <c r="E81">
        <v>3.3649999999999999E-3</v>
      </c>
      <c r="F81">
        <v>0.33329999999999999</v>
      </c>
      <c r="G81">
        <v>0.66669999999999996</v>
      </c>
      <c r="H81">
        <v>1</v>
      </c>
      <c r="I81">
        <v>40001</v>
      </c>
      <c r="J81">
        <v>120000</v>
      </c>
    </row>
    <row r="82" spans="2:10" x14ac:dyDescent="0.25">
      <c r="B82" t="s">
        <v>474</v>
      </c>
      <c r="C82">
        <v>0.61980000000000002</v>
      </c>
      <c r="D82">
        <v>0.23669999999999999</v>
      </c>
      <c r="E82">
        <v>4.8659999999999997E-3</v>
      </c>
      <c r="F82">
        <v>0.1111</v>
      </c>
      <c r="G82">
        <v>0.66669999999999996</v>
      </c>
      <c r="H82">
        <v>1</v>
      </c>
      <c r="I82">
        <v>40001</v>
      </c>
      <c r="J82">
        <v>120000</v>
      </c>
    </row>
    <row r="83" spans="2:10" x14ac:dyDescent="0.25">
      <c r="B83" t="s">
        <v>475</v>
      </c>
      <c r="C83">
        <v>0.30209999999999998</v>
      </c>
      <c r="D83">
        <v>0.30649999999999999</v>
      </c>
      <c r="E83">
        <v>6.1970000000000003E-3</v>
      </c>
      <c r="F83">
        <v>0</v>
      </c>
      <c r="G83">
        <v>0.22220000000000001</v>
      </c>
      <c r="H83">
        <v>1</v>
      </c>
      <c r="I83">
        <v>40001</v>
      </c>
      <c r="J83">
        <v>120000</v>
      </c>
    </row>
    <row r="84" spans="2:10" x14ac:dyDescent="0.25">
      <c r="B84" t="s">
        <v>476</v>
      </c>
      <c r="C84">
        <v>0.73839999999999995</v>
      </c>
      <c r="D84">
        <v>0.28620000000000001</v>
      </c>
      <c r="E84">
        <v>5.7730000000000004E-3</v>
      </c>
      <c r="F84">
        <v>0</v>
      </c>
      <c r="G84">
        <v>0.88890000000000002</v>
      </c>
      <c r="H84">
        <v>1</v>
      </c>
      <c r="I84">
        <v>40001</v>
      </c>
      <c r="J84">
        <v>120000</v>
      </c>
    </row>
    <row r="85" spans="2:10" x14ac:dyDescent="0.25">
      <c r="B85" t="s">
        <v>477</v>
      </c>
      <c r="C85">
        <v>0.8095</v>
      </c>
      <c r="D85">
        <v>0.2392</v>
      </c>
      <c r="E85">
        <v>4.1409999999999997E-3</v>
      </c>
      <c r="F85">
        <v>0.1111</v>
      </c>
      <c r="G85">
        <v>0.88890000000000002</v>
      </c>
      <c r="H85">
        <v>1</v>
      </c>
      <c r="I85">
        <v>40001</v>
      </c>
      <c r="J85">
        <v>120000</v>
      </c>
    </row>
    <row r="86" spans="2:10" x14ac:dyDescent="0.25">
      <c r="B86" t="s">
        <v>478</v>
      </c>
      <c r="C86">
        <v>0.64610000000000001</v>
      </c>
      <c r="D86">
        <v>0.2742</v>
      </c>
      <c r="E86">
        <v>5.6049999999999997E-3</v>
      </c>
      <c r="F86">
        <v>0</v>
      </c>
      <c r="G86">
        <v>0.66669999999999996</v>
      </c>
      <c r="H86">
        <v>1</v>
      </c>
      <c r="I86">
        <v>40001</v>
      </c>
      <c r="J86">
        <v>120000</v>
      </c>
    </row>
    <row r="87" spans="2:10" x14ac:dyDescent="0.25">
      <c r="B87" t="s">
        <v>479</v>
      </c>
      <c r="C87">
        <v>5.8250000000000003E-2</v>
      </c>
      <c r="D87">
        <v>8.6470000000000005E-2</v>
      </c>
      <c r="E87">
        <v>1.4970000000000001E-3</v>
      </c>
      <c r="F87">
        <v>0</v>
      </c>
      <c r="G87">
        <v>0</v>
      </c>
      <c r="H87">
        <v>0.33329999999999999</v>
      </c>
      <c r="I87">
        <v>40001</v>
      </c>
      <c r="J87">
        <v>120000</v>
      </c>
    </row>
    <row r="88" spans="2:10" x14ac:dyDescent="0.25">
      <c r="B88" t="s">
        <v>480</v>
      </c>
      <c r="C88">
        <v>0.496</v>
      </c>
      <c r="D88">
        <v>0.19389999999999999</v>
      </c>
      <c r="E88">
        <v>3.9919999999999999E-3</v>
      </c>
      <c r="F88">
        <v>0.1111</v>
      </c>
      <c r="G88">
        <v>0.44440000000000002</v>
      </c>
      <c r="H88">
        <v>0.88890000000000002</v>
      </c>
      <c r="I88">
        <v>40001</v>
      </c>
      <c r="J88">
        <v>120000</v>
      </c>
    </row>
    <row r="89" spans="2:10" x14ac:dyDescent="0.25">
      <c r="B89" t="s">
        <v>481</v>
      </c>
      <c r="C89" s="13">
        <v>1.6670000000000001E-5</v>
      </c>
      <c r="D89">
        <v>4.0819999999999997E-3</v>
      </c>
      <c r="E89" s="13">
        <v>1.1790000000000001E-5</v>
      </c>
      <c r="F89">
        <v>0</v>
      </c>
      <c r="G89">
        <v>0</v>
      </c>
      <c r="H89">
        <v>0</v>
      </c>
      <c r="I89">
        <v>40001</v>
      </c>
      <c r="J89">
        <v>120000</v>
      </c>
    </row>
    <row r="90" spans="2:10" x14ac:dyDescent="0.25">
      <c r="B90" t="s">
        <v>482</v>
      </c>
      <c r="C90" s="13">
        <v>1.8330000000000001E-4</v>
      </c>
      <c r="D90">
        <v>1.354E-2</v>
      </c>
      <c r="E90" s="13">
        <v>4.8130000000000002E-5</v>
      </c>
      <c r="F90">
        <v>0</v>
      </c>
      <c r="G90">
        <v>0</v>
      </c>
      <c r="H90">
        <v>0</v>
      </c>
      <c r="I90">
        <v>40001</v>
      </c>
      <c r="J90">
        <v>120000</v>
      </c>
    </row>
    <row r="91" spans="2:10" x14ac:dyDescent="0.25">
      <c r="B91" t="s">
        <v>483</v>
      </c>
      <c r="C91">
        <v>3.6339999999999997E-2</v>
      </c>
      <c r="D91">
        <v>0.18709999999999999</v>
      </c>
      <c r="E91">
        <v>2.8600000000000001E-3</v>
      </c>
      <c r="F91">
        <v>0</v>
      </c>
      <c r="G91">
        <v>0</v>
      </c>
      <c r="H91">
        <v>1</v>
      </c>
      <c r="I91">
        <v>40001</v>
      </c>
      <c r="J91">
        <v>120000</v>
      </c>
    </row>
    <row r="92" spans="2:10" x14ac:dyDescent="0.25">
      <c r="B92" t="s">
        <v>484</v>
      </c>
      <c r="C92">
        <v>6.3380000000000006E-2</v>
      </c>
      <c r="D92">
        <v>0.24360000000000001</v>
      </c>
      <c r="E92">
        <v>3.9240000000000004E-3</v>
      </c>
      <c r="F92">
        <v>0</v>
      </c>
      <c r="G92">
        <v>0</v>
      </c>
      <c r="H92">
        <v>1</v>
      </c>
      <c r="I92">
        <v>40001</v>
      </c>
      <c r="J92">
        <v>120000</v>
      </c>
    </row>
    <row r="93" spans="2:10" x14ac:dyDescent="0.25">
      <c r="B93" t="s">
        <v>485</v>
      </c>
      <c r="C93">
        <v>3.6909999999999998E-2</v>
      </c>
      <c r="D93">
        <v>0.1885</v>
      </c>
      <c r="E93">
        <v>2.9910000000000002E-3</v>
      </c>
      <c r="F93">
        <v>0</v>
      </c>
      <c r="G93">
        <v>0</v>
      </c>
      <c r="H93">
        <v>1</v>
      </c>
      <c r="I93">
        <v>40001</v>
      </c>
      <c r="J93">
        <v>120000</v>
      </c>
    </row>
    <row r="94" spans="2:10" x14ac:dyDescent="0.25">
      <c r="B94" t="s">
        <v>486</v>
      </c>
      <c r="C94">
        <v>0.30980000000000002</v>
      </c>
      <c r="D94">
        <v>0.46239999999999998</v>
      </c>
      <c r="E94">
        <v>8.5129999999999997E-3</v>
      </c>
      <c r="F94">
        <v>0</v>
      </c>
      <c r="G94">
        <v>0</v>
      </c>
      <c r="H94">
        <v>1</v>
      </c>
      <c r="I94">
        <v>40001</v>
      </c>
      <c r="J94">
        <v>120000</v>
      </c>
    </row>
    <row r="95" spans="2:10" x14ac:dyDescent="0.25">
      <c r="B95" t="s">
        <v>487</v>
      </c>
      <c r="C95">
        <v>0.4118</v>
      </c>
      <c r="D95">
        <v>0.49220000000000003</v>
      </c>
      <c r="E95">
        <v>8.7810000000000006E-3</v>
      </c>
      <c r="F95">
        <v>0</v>
      </c>
      <c r="G95">
        <v>0</v>
      </c>
      <c r="H95">
        <v>1</v>
      </c>
      <c r="I95">
        <v>40001</v>
      </c>
      <c r="J95">
        <v>120000</v>
      </c>
    </row>
    <row r="96" spans="2:10" x14ac:dyDescent="0.25">
      <c r="B96" t="s">
        <v>488</v>
      </c>
      <c r="C96">
        <v>0.1336</v>
      </c>
      <c r="D96">
        <v>0.3402</v>
      </c>
      <c r="E96">
        <v>5.4660000000000004E-3</v>
      </c>
      <c r="F96">
        <v>0</v>
      </c>
      <c r="G96">
        <v>0</v>
      </c>
      <c r="H96">
        <v>1</v>
      </c>
      <c r="I96">
        <v>40001</v>
      </c>
      <c r="J96">
        <v>120000</v>
      </c>
    </row>
    <row r="97" spans="2:10" x14ac:dyDescent="0.25">
      <c r="B97" t="s">
        <v>489</v>
      </c>
      <c r="C97">
        <v>0</v>
      </c>
      <c r="D97">
        <v>0</v>
      </c>
      <c r="E97" s="13">
        <v>1.6670000000000001E-13</v>
      </c>
      <c r="F97">
        <v>0</v>
      </c>
      <c r="G97">
        <v>0</v>
      </c>
      <c r="H97">
        <v>0</v>
      </c>
      <c r="I97">
        <v>40001</v>
      </c>
      <c r="J97">
        <v>120000</v>
      </c>
    </row>
    <row r="98" spans="2:10" x14ac:dyDescent="0.25">
      <c r="B98" t="s">
        <v>490</v>
      </c>
      <c r="C98">
        <v>8.0669999999999995E-3</v>
      </c>
      <c r="D98">
        <v>8.9450000000000002E-2</v>
      </c>
      <c r="E98" s="13">
        <v>8.4550000000000001E-4</v>
      </c>
      <c r="F98">
        <v>0</v>
      </c>
      <c r="G98">
        <v>0</v>
      </c>
      <c r="H98">
        <v>0</v>
      </c>
      <c r="I98">
        <v>40001</v>
      </c>
      <c r="J98">
        <v>120000</v>
      </c>
    </row>
    <row r="99" spans="2:10" x14ac:dyDescent="0.25">
      <c r="B99" t="s">
        <v>491</v>
      </c>
      <c r="C99">
        <v>0.58530000000000004</v>
      </c>
      <c r="D99">
        <v>0.82520000000000004</v>
      </c>
      <c r="E99">
        <v>2.6670000000000001E-3</v>
      </c>
      <c r="F99" s="13">
        <v>6.1700000000000004E-4</v>
      </c>
      <c r="G99">
        <v>0.2707</v>
      </c>
      <c r="H99">
        <v>2.9329999999999998</v>
      </c>
      <c r="I99">
        <v>40001</v>
      </c>
      <c r="J99">
        <v>120000</v>
      </c>
    </row>
    <row r="100" spans="2:10" x14ac:dyDescent="0.25">
      <c r="B100" t="s">
        <v>492</v>
      </c>
      <c r="C100">
        <v>0.78649999999999998</v>
      </c>
      <c r="D100">
        <v>1.018</v>
      </c>
      <c r="E100">
        <v>3.4880000000000002E-3</v>
      </c>
      <c r="F100" s="13">
        <v>9.1799999999999998E-4</v>
      </c>
      <c r="G100">
        <v>0.40289999999999998</v>
      </c>
      <c r="H100">
        <v>3.6269999999999998</v>
      </c>
      <c r="I100">
        <v>40001</v>
      </c>
      <c r="J100">
        <v>120000</v>
      </c>
    </row>
    <row r="101" spans="2:10" x14ac:dyDescent="0.25">
      <c r="B101" t="s">
        <v>493</v>
      </c>
      <c r="C101">
        <v>0.76490000000000002</v>
      </c>
      <c r="D101">
        <v>1.0860000000000001</v>
      </c>
      <c r="E101">
        <v>7.3839999999999999E-3</v>
      </c>
      <c r="F101" s="13">
        <v>7.1069999999999998E-4</v>
      </c>
      <c r="G101">
        <v>0.34870000000000001</v>
      </c>
      <c r="H101">
        <v>3.8559999999999999</v>
      </c>
      <c r="I101">
        <v>40001</v>
      </c>
      <c r="J101">
        <v>120000</v>
      </c>
    </row>
    <row r="102" spans="2:10" x14ac:dyDescent="0.25">
      <c r="B102" t="s">
        <v>494</v>
      </c>
      <c r="C102">
        <v>0.80730000000000002</v>
      </c>
      <c r="D102">
        <v>1.127</v>
      </c>
      <c r="E102">
        <v>9.9539999999999993E-3</v>
      </c>
      <c r="F102" s="13">
        <v>8.5280000000000002E-4</v>
      </c>
      <c r="G102">
        <v>0.37109999999999999</v>
      </c>
      <c r="H102">
        <v>4.0259999999999998</v>
      </c>
      <c r="I102">
        <v>40001</v>
      </c>
      <c r="J102">
        <v>120000</v>
      </c>
    </row>
    <row r="103" spans="2:10" x14ac:dyDescent="0.25">
      <c r="B103" t="s">
        <v>495</v>
      </c>
      <c r="C103">
        <v>0.81110000000000004</v>
      </c>
      <c r="D103">
        <v>1.1399999999999999</v>
      </c>
      <c r="E103">
        <v>4.8869999999999999E-3</v>
      </c>
      <c r="F103" s="13">
        <v>7.6170000000000003E-4</v>
      </c>
      <c r="G103">
        <v>0.3705</v>
      </c>
      <c r="H103">
        <v>4.0629999999999997</v>
      </c>
      <c r="I103">
        <v>40001</v>
      </c>
      <c r="J103">
        <v>120000</v>
      </c>
    </row>
    <row r="104" spans="2:10" x14ac:dyDescent="0.25">
      <c r="B104" t="s">
        <v>496</v>
      </c>
      <c r="C104">
        <v>0.5948</v>
      </c>
      <c r="D104">
        <v>0.81430000000000002</v>
      </c>
      <c r="E104">
        <v>6.2259999999999998E-3</v>
      </c>
      <c r="F104" s="13">
        <v>6.154E-4</v>
      </c>
      <c r="G104">
        <v>0.28010000000000002</v>
      </c>
      <c r="H104">
        <v>2.9079999999999999</v>
      </c>
      <c r="I104">
        <v>40001</v>
      </c>
      <c r="J104">
        <v>120000</v>
      </c>
    </row>
    <row r="105" spans="2:10" x14ac:dyDescent="0.25">
      <c r="B105" t="s">
        <v>497</v>
      </c>
      <c r="C105">
        <v>0.61499999999999999</v>
      </c>
      <c r="D105">
        <v>0.88780000000000003</v>
      </c>
      <c r="E105">
        <v>5.3759999999999997E-3</v>
      </c>
      <c r="F105" s="13">
        <v>5.7660000000000003E-4</v>
      </c>
      <c r="G105">
        <v>0.2762</v>
      </c>
      <c r="H105">
        <v>3.105</v>
      </c>
      <c r="I105">
        <v>40001</v>
      </c>
      <c r="J105">
        <v>120000</v>
      </c>
    </row>
    <row r="106" spans="2:10" x14ac:dyDescent="0.25">
      <c r="B106" t="s">
        <v>498</v>
      </c>
      <c r="C106">
        <v>0.82499999999999996</v>
      </c>
      <c r="D106">
        <v>1.1220000000000001</v>
      </c>
      <c r="E106">
        <v>7.2319999999999997E-3</v>
      </c>
      <c r="F106" s="13">
        <v>8.4150000000000002E-4</v>
      </c>
      <c r="G106">
        <v>0.38940000000000002</v>
      </c>
      <c r="H106">
        <v>3.996</v>
      </c>
      <c r="I106">
        <v>40001</v>
      </c>
      <c r="J106">
        <v>120000</v>
      </c>
    </row>
    <row r="107" spans="2:10" x14ac:dyDescent="0.25">
      <c r="B107" t="s">
        <v>499</v>
      </c>
      <c r="C107">
        <v>0.69120000000000004</v>
      </c>
      <c r="D107">
        <v>0.96719999999999995</v>
      </c>
      <c r="E107">
        <v>3.0760000000000002E-3</v>
      </c>
      <c r="F107" s="13">
        <v>6.8889999999999999E-4</v>
      </c>
      <c r="G107">
        <v>0.31900000000000001</v>
      </c>
      <c r="H107">
        <v>3.45</v>
      </c>
      <c r="I107">
        <v>40001</v>
      </c>
      <c r="J107">
        <v>120000</v>
      </c>
    </row>
    <row r="108" spans="2:10" x14ac:dyDescent="0.25">
      <c r="B108" t="s">
        <v>500</v>
      </c>
      <c r="C108">
        <v>0.52969999999999995</v>
      </c>
      <c r="D108">
        <v>0.73809999999999998</v>
      </c>
      <c r="E108">
        <v>3.0070000000000001E-3</v>
      </c>
      <c r="F108" s="13">
        <v>5.2919999999999996E-4</v>
      </c>
      <c r="G108">
        <v>0.2447</v>
      </c>
      <c r="H108">
        <v>2.625</v>
      </c>
      <c r="I108">
        <v>40001</v>
      </c>
      <c r="J108">
        <v>120000</v>
      </c>
    </row>
    <row r="109" spans="2:10" x14ac:dyDescent="0.25">
      <c r="B109" t="s">
        <v>501</v>
      </c>
      <c r="C109">
        <v>0.69099999999999995</v>
      </c>
      <c r="D109">
        <v>0.97219999999999995</v>
      </c>
      <c r="E109">
        <v>3.3270000000000001E-3</v>
      </c>
      <c r="F109" s="13">
        <v>7.0699999999999995E-4</v>
      </c>
      <c r="G109">
        <v>0.31519999999999998</v>
      </c>
      <c r="H109">
        <v>3.4660000000000002</v>
      </c>
      <c r="I109">
        <v>40001</v>
      </c>
      <c r="J109">
        <v>120000</v>
      </c>
    </row>
    <row r="110" spans="2:10" x14ac:dyDescent="0.25">
      <c r="B110" t="s">
        <v>502</v>
      </c>
      <c r="C110">
        <v>0.53490000000000004</v>
      </c>
      <c r="D110">
        <v>0.74519999999999997</v>
      </c>
      <c r="E110">
        <v>3.2450000000000001E-3</v>
      </c>
      <c r="F110" s="13">
        <v>5.1340000000000001E-4</v>
      </c>
      <c r="G110">
        <v>0.24809999999999999</v>
      </c>
      <c r="H110">
        <v>2.6509999999999998</v>
      </c>
      <c r="I110">
        <v>40001</v>
      </c>
      <c r="J110">
        <v>120000</v>
      </c>
    </row>
    <row r="111" spans="2:10" x14ac:dyDescent="0.25">
      <c r="B111" t="s">
        <v>503</v>
      </c>
      <c r="C111">
        <v>0.64739999999999998</v>
      </c>
      <c r="D111">
        <v>0.87180000000000002</v>
      </c>
      <c r="E111">
        <v>3.8739999999999998E-3</v>
      </c>
      <c r="F111" s="13">
        <v>6.9180000000000001E-4</v>
      </c>
      <c r="G111">
        <v>0.31240000000000001</v>
      </c>
      <c r="H111">
        <v>3.1160000000000001</v>
      </c>
      <c r="I111">
        <v>40001</v>
      </c>
      <c r="J111">
        <v>120000</v>
      </c>
    </row>
    <row r="112" spans="2:10" x14ac:dyDescent="0.25">
      <c r="B112" t="s">
        <v>504</v>
      </c>
      <c r="C112">
        <v>0.60709999999999997</v>
      </c>
      <c r="D112">
        <v>0.86060000000000003</v>
      </c>
      <c r="E112">
        <v>2.9239999999999999E-3</v>
      </c>
      <c r="F112" s="13">
        <v>6.1010000000000003E-4</v>
      </c>
      <c r="G112">
        <v>0.27689999999999998</v>
      </c>
      <c r="H112">
        <v>3.036</v>
      </c>
      <c r="I112">
        <v>40001</v>
      </c>
      <c r="J112">
        <v>120000</v>
      </c>
    </row>
    <row r="113" spans="2:10" x14ac:dyDescent="0.25">
      <c r="B113" t="s">
        <v>505</v>
      </c>
      <c r="C113">
        <v>0.92100000000000004</v>
      </c>
      <c r="D113">
        <v>1.2709999999999999</v>
      </c>
      <c r="E113">
        <v>8.3210000000000003E-3</v>
      </c>
      <c r="F113" s="13">
        <v>9.3599999999999998E-4</v>
      </c>
      <c r="G113">
        <v>0.43049999999999999</v>
      </c>
      <c r="H113">
        <v>4.5350000000000001</v>
      </c>
      <c r="I113">
        <v>40001</v>
      </c>
      <c r="J113">
        <v>120000</v>
      </c>
    </row>
    <row r="114" spans="2:10" x14ac:dyDescent="0.25">
      <c r="B114" t="s">
        <v>506</v>
      </c>
      <c r="C114">
        <v>1.2130000000000001</v>
      </c>
      <c r="D114">
        <v>1.4490000000000001</v>
      </c>
      <c r="E114">
        <v>1.304E-2</v>
      </c>
      <c r="F114">
        <v>1.72E-3</v>
      </c>
      <c r="G114">
        <v>0.6825</v>
      </c>
      <c r="H114">
        <v>5.1669999999999998</v>
      </c>
      <c r="I114">
        <v>40001</v>
      </c>
      <c r="J114">
        <v>120000</v>
      </c>
    </row>
    <row r="115" spans="2:10" x14ac:dyDescent="0.25">
      <c r="B115" t="s">
        <v>507</v>
      </c>
      <c r="C115">
        <v>0.6532</v>
      </c>
      <c r="D115">
        <v>0.92749999999999999</v>
      </c>
      <c r="E115">
        <v>4.1939999999999998E-3</v>
      </c>
      <c r="F115" s="13">
        <v>6.4689999999999995E-4</v>
      </c>
      <c r="G115">
        <v>0.29509999999999997</v>
      </c>
      <c r="H115">
        <v>3.3050000000000002</v>
      </c>
      <c r="I115">
        <v>40001</v>
      </c>
      <c r="J115">
        <v>120000</v>
      </c>
    </row>
    <row r="116" spans="2:10" x14ac:dyDescent="0.25">
      <c r="B116" t="s">
        <v>508</v>
      </c>
      <c r="C116">
        <v>0.68140000000000001</v>
      </c>
      <c r="D116">
        <v>0.9677</v>
      </c>
      <c r="E116">
        <v>4.1370000000000001E-3</v>
      </c>
      <c r="F116" s="13">
        <v>6.736E-4</v>
      </c>
      <c r="G116">
        <v>0.30959999999999999</v>
      </c>
      <c r="H116">
        <v>3.423</v>
      </c>
      <c r="I116">
        <v>40001</v>
      </c>
      <c r="J116">
        <v>120000</v>
      </c>
    </row>
    <row r="117" spans="2:10" x14ac:dyDescent="0.25">
      <c r="B117" t="s">
        <v>509</v>
      </c>
      <c r="C117">
        <v>1.4059999999999999</v>
      </c>
      <c r="D117">
        <v>1.823</v>
      </c>
      <c r="E117">
        <v>7.5789999999999998E-3</v>
      </c>
      <c r="F117">
        <v>1.6479999999999999E-3</v>
      </c>
      <c r="G117">
        <v>0.72389999999999999</v>
      </c>
      <c r="H117">
        <v>6.5090000000000003</v>
      </c>
      <c r="I117">
        <v>40001</v>
      </c>
      <c r="J117">
        <v>120000</v>
      </c>
    </row>
    <row r="118" spans="2:10" x14ac:dyDescent="0.25">
      <c r="B118" t="s">
        <v>510</v>
      </c>
      <c r="C118">
        <v>0.75270000000000004</v>
      </c>
      <c r="D118">
        <v>0.87670000000000003</v>
      </c>
      <c r="E118">
        <v>6.6600000000000001E-3</v>
      </c>
      <c r="F118">
        <v>1.461E-2</v>
      </c>
      <c r="G118">
        <v>0.45850000000000002</v>
      </c>
      <c r="H118">
        <v>3.1760000000000002</v>
      </c>
      <c r="I118">
        <v>40001</v>
      </c>
      <c r="J118">
        <v>120000</v>
      </c>
    </row>
    <row r="119" spans="2:10" x14ac:dyDescent="0.25">
      <c r="B119" t="s">
        <v>511</v>
      </c>
      <c r="C119">
        <v>2.5529999999999999</v>
      </c>
      <c r="D119">
        <v>1.871</v>
      </c>
      <c r="E119">
        <v>1.06E-2</v>
      </c>
      <c r="F119">
        <v>0.29099999999999998</v>
      </c>
      <c r="G119">
        <v>2.1070000000000002</v>
      </c>
      <c r="H119">
        <v>7.3170000000000002</v>
      </c>
      <c r="I119">
        <v>40001</v>
      </c>
      <c r="J119">
        <v>120000</v>
      </c>
    </row>
    <row r="120" spans="2:10" x14ac:dyDescent="0.25">
      <c r="B120" t="s">
        <v>512</v>
      </c>
      <c r="C120">
        <v>2.5840000000000001</v>
      </c>
      <c r="D120">
        <v>2.4409999999999998</v>
      </c>
      <c r="E120">
        <v>1.5990000000000001E-2</v>
      </c>
      <c r="F120">
        <v>1.167E-2</v>
      </c>
      <c r="G120">
        <v>1.9370000000000001</v>
      </c>
      <c r="H120">
        <v>8.8849999999999998</v>
      </c>
      <c r="I120">
        <v>40001</v>
      </c>
      <c r="J120">
        <v>120000</v>
      </c>
    </row>
    <row r="121" spans="2:10" x14ac:dyDescent="0.25">
      <c r="B121" t="s">
        <v>513</v>
      </c>
      <c r="C121">
        <v>1</v>
      </c>
      <c r="D121">
        <v>1.403</v>
      </c>
      <c r="E121">
        <v>1.124E-2</v>
      </c>
      <c r="F121" s="13">
        <v>9.7919999999999995E-4</v>
      </c>
      <c r="G121">
        <v>0.45679999999999998</v>
      </c>
      <c r="H121">
        <v>5.0039999999999996</v>
      </c>
      <c r="I121">
        <v>40001</v>
      </c>
      <c r="J121">
        <v>120000</v>
      </c>
    </row>
    <row r="122" spans="2:10" x14ac:dyDescent="0.25">
      <c r="B122" t="s">
        <v>514</v>
      </c>
      <c r="C122">
        <v>1.0680000000000001</v>
      </c>
      <c r="D122">
        <v>1.4850000000000001</v>
      </c>
      <c r="E122">
        <v>1.6119999999999999E-2</v>
      </c>
      <c r="F122">
        <v>1.1410000000000001E-3</v>
      </c>
      <c r="G122">
        <v>0.49769999999999998</v>
      </c>
      <c r="H122">
        <v>5.258</v>
      </c>
      <c r="I122">
        <v>40001</v>
      </c>
      <c r="J122">
        <v>120000</v>
      </c>
    </row>
    <row r="123" spans="2:10" x14ac:dyDescent="0.25">
      <c r="B123" t="s">
        <v>515</v>
      </c>
      <c r="C123">
        <v>1.042</v>
      </c>
      <c r="D123">
        <v>1.484</v>
      </c>
      <c r="E123">
        <v>2.0830000000000001E-2</v>
      </c>
      <c r="F123">
        <v>1.0380000000000001E-3</v>
      </c>
      <c r="G123">
        <v>0.4723</v>
      </c>
      <c r="H123">
        <v>5.2350000000000003</v>
      </c>
      <c r="I123">
        <v>40001</v>
      </c>
      <c r="J123">
        <v>120000</v>
      </c>
    </row>
    <row r="124" spans="2:10" x14ac:dyDescent="0.25">
      <c r="B124" t="s">
        <v>516</v>
      </c>
      <c r="C124">
        <v>1.0189999999999999</v>
      </c>
      <c r="D124">
        <v>1.431</v>
      </c>
      <c r="E124">
        <v>1.2109999999999999E-2</v>
      </c>
      <c r="F124">
        <v>1.041E-3</v>
      </c>
      <c r="G124">
        <v>0.46410000000000001</v>
      </c>
      <c r="H124">
        <v>5.0519999999999996</v>
      </c>
      <c r="I124">
        <v>40001</v>
      </c>
      <c r="J124">
        <v>120000</v>
      </c>
    </row>
    <row r="125" spans="2:10" x14ac:dyDescent="0.25">
      <c r="B125" t="s">
        <v>517</v>
      </c>
      <c r="C125">
        <v>1.4239999999999999</v>
      </c>
      <c r="D125">
        <v>1.02</v>
      </c>
      <c r="E125">
        <v>9.8969999999999995E-3</v>
      </c>
      <c r="F125">
        <v>0.2208</v>
      </c>
      <c r="G125">
        <v>1.175</v>
      </c>
      <c r="H125">
        <v>4.0449999999999999</v>
      </c>
      <c r="I125">
        <v>40001</v>
      </c>
      <c r="J125">
        <v>120000</v>
      </c>
    </row>
    <row r="126" spans="2:10" x14ac:dyDescent="0.25">
      <c r="B126" t="s">
        <v>518</v>
      </c>
      <c r="C126">
        <v>1.256</v>
      </c>
      <c r="D126">
        <v>1.696</v>
      </c>
      <c r="E126">
        <v>5.9230000000000003E-3</v>
      </c>
      <c r="F126">
        <v>1.276E-3</v>
      </c>
      <c r="G126">
        <v>0.60580000000000001</v>
      </c>
      <c r="H126">
        <v>6.0620000000000003</v>
      </c>
      <c r="I126">
        <v>40001</v>
      </c>
      <c r="J126">
        <v>120000</v>
      </c>
    </row>
    <row r="127" spans="2:10" x14ac:dyDescent="0.25">
      <c r="B127" t="s">
        <v>519</v>
      </c>
      <c r="C127">
        <v>1.4430000000000001</v>
      </c>
      <c r="D127">
        <v>1.698</v>
      </c>
      <c r="E127">
        <v>1.7229999999999999E-2</v>
      </c>
      <c r="F127">
        <v>2.1090000000000002E-3</v>
      </c>
      <c r="G127">
        <v>0.83919999999999995</v>
      </c>
      <c r="H127">
        <v>6.0830000000000002</v>
      </c>
      <c r="I127">
        <v>40001</v>
      </c>
      <c r="J127">
        <v>120000</v>
      </c>
    </row>
    <row r="128" spans="2:10" x14ac:dyDescent="0.25">
      <c r="B128" t="s">
        <v>520</v>
      </c>
      <c r="C128">
        <v>1.2010000000000001</v>
      </c>
      <c r="D128">
        <v>1.57</v>
      </c>
      <c r="E128">
        <v>1.155E-2</v>
      </c>
      <c r="F128">
        <v>1.2589999999999999E-3</v>
      </c>
      <c r="G128">
        <v>0.60819999999999996</v>
      </c>
      <c r="H128">
        <v>5.6269999999999998</v>
      </c>
      <c r="I128">
        <v>40001</v>
      </c>
      <c r="J128">
        <v>120000</v>
      </c>
    </row>
    <row r="129" spans="2:10" x14ac:dyDescent="0.25">
      <c r="B129" t="s">
        <v>521</v>
      </c>
      <c r="C129">
        <v>0.64770000000000005</v>
      </c>
      <c r="D129">
        <v>0.92710000000000004</v>
      </c>
      <c r="E129">
        <v>3.7039999999999998E-3</v>
      </c>
      <c r="F129" s="13">
        <v>6.3380000000000001E-4</v>
      </c>
      <c r="G129">
        <v>0.2903</v>
      </c>
      <c r="H129">
        <v>3.2850000000000001</v>
      </c>
      <c r="I129">
        <v>40001</v>
      </c>
      <c r="J129">
        <v>120000</v>
      </c>
    </row>
    <row r="130" spans="2:10" x14ac:dyDescent="0.25">
      <c r="B130" t="s">
        <v>522</v>
      </c>
      <c r="C130">
        <v>0.7238</v>
      </c>
      <c r="D130">
        <v>0.96120000000000005</v>
      </c>
      <c r="E130">
        <v>6.038E-3</v>
      </c>
      <c r="F130" s="13">
        <v>8.1369999999999999E-4</v>
      </c>
      <c r="G130">
        <v>0.35420000000000001</v>
      </c>
      <c r="H130">
        <v>3.4430000000000001</v>
      </c>
      <c r="I130">
        <v>40001</v>
      </c>
      <c r="J130">
        <v>120000</v>
      </c>
    </row>
    <row r="131" spans="2:10" x14ac:dyDescent="0.25">
      <c r="B131" t="s">
        <v>523</v>
      </c>
      <c r="C131">
        <v>0.59419999999999995</v>
      </c>
      <c r="D131">
        <v>0.85040000000000004</v>
      </c>
      <c r="E131">
        <v>2.8440000000000002E-3</v>
      </c>
      <c r="F131" s="13">
        <v>5.6530000000000003E-4</v>
      </c>
      <c r="G131">
        <v>0.26719999999999999</v>
      </c>
      <c r="H131">
        <v>2.9969999999999999</v>
      </c>
      <c r="I131">
        <v>40001</v>
      </c>
      <c r="J131">
        <v>120000</v>
      </c>
    </row>
    <row r="132" spans="2:10" x14ac:dyDescent="0.25">
      <c r="B132" t="s">
        <v>524</v>
      </c>
      <c r="C132">
        <v>0.62390000000000001</v>
      </c>
      <c r="D132">
        <v>0.85660000000000003</v>
      </c>
      <c r="E132">
        <v>3.434E-3</v>
      </c>
      <c r="F132" s="13">
        <v>6.7809999999999995E-4</v>
      </c>
      <c r="G132">
        <v>0.29330000000000001</v>
      </c>
      <c r="H132">
        <v>3.0489999999999999</v>
      </c>
      <c r="I132">
        <v>40001</v>
      </c>
      <c r="J132">
        <v>120000</v>
      </c>
    </row>
    <row r="133" spans="2:10" x14ac:dyDescent="0.25">
      <c r="B133" t="s">
        <v>525</v>
      </c>
      <c r="C133">
        <v>1.0089999999999999</v>
      </c>
      <c r="D133">
        <v>1.423</v>
      </c>
      <c r="E133">
        <v>8.6199999999999992E-3</v>
      </c>
      <c r="F133">
        <v>1.036E-3</v>
      </c>
      <c r="G133">
        <v>0.46250000000000002</v>
      </c>
      <c r="H133">
        <v>5.0620000000000003</v>
      </c>
      <c r="I133">
        <v>40001</v>
      </c>
      <c r="J133">
        <v>120000</v>
      </c>
    </row>
    <row r="134" spans="2:10" x14ac:dyDescent="0.25">
      <c r="B134" t="s">
        <v>526</v>
      </c>
      <c r="C134">
        <v>1.0609999999999999</v>
      </c>
      <c r="D134">
        <v>1.504</v>
      </c>
      <c r="E134">
        <v>2.0830000000000001E-2</v>
      </c>
      <c r="F134">
        <v>1.0449999999999999E-3</v>
      </c>
      <c r="G134">
        <v>0.47549999999999998</v>
      </c>
      <c r="H134">
        <v>5.359</v>
      </c>
      <c r="I134">
        <v>40001</v>
      </c>
      <c r="J134">
        <v>120000</v>
      </c>
    </row>
    <row r="135" spans="2:10" x14ac:dyDescent="0.25">
      <c r="B135" t="s">
        <v>527</v>
      </c>
      <c r="C135">
        <v>1.139</v>
      </c>
      <c r="D135">
        <v>1.266</v>
      </c>
      <c r="E135">
        <v>9.2960000000000004E-3</v>
      </c>
      <c r="F135">
        <v>2.5409999999999999E-3</v>
      </c>
      <c r="G135">
        <v>0.72919999999999996</v>
      </c>
      <c r="H135">
        <v>4.5250000000000004</v>
      </c>
      <c r="I135">
        <v>40001</v>
      </c>
      <c r="J135">
        <v>120000</v>
      </c>
    </row>
    <row r="136" spans="2:10" x14ac:dyDescent="0.25">
      <c r="B136" t="s">
        <v>528</v>
      </c>
      <c r="C136">
        <v>1.3220000000000001</v>
      </c>
      <c r="D136">
        <v>1.6719999999999999</v>
      </c>
      <c r="E136">
        <v>7.3350000000000004E-3</v>
      </c>
      <c r="F136">
        <v>1.5759999999999999E-3</v>
      </c>
      <c r="G136">
        <v>0.69450000000000001</v>
      </c>
      <c r="H136">
        <v>5.9779999999999998</v>
      </c>
      <c r="I136">
        <v>40001</v>
      </c>
      <c r="J136">
        <v>120000</v>
      </c>
    </row>
    <row r="137" spans="2:10" x14ac:dyDescent="0.25">
      <c r="B137" t="s">
        <v>529</v>
      </c>
      <c r="C137">
        <v>1.2749999999999999</v>
      </c>
      <c r="D137">
        <v>1.73</v>
      </c>
      <c r="E137">
        <v>5.4029999999999998E-3</v>
      </c>
      <c r="F137">
        <v>1.3359999999999999E-3</v>
      </c>
      <c r="G137">
        <v>0.61129999999999995</v>
      </c>
      <c r="H137">
        <v>6.1749999999999998</v>
      </c>
      <c r="I137">
        <v>40001</v>
      </c>
      <c r="J137">
        <v>120000</v>
      </c>
    </row>
    <row r="138" spans="2:10" x14ac:dyDescent="0.25">
      <c r="B138" t="s">
        <v>530</v>
      </c>
      <c r="C138">
        <v>0.57050000000000001</v>
      </c>
      <c r="D138">
        <v>0.6452</v>
      </c>
      <c r="E138">
        <v>4.6109999999999996E-3</v>
      </c>
      <c r="F138">
        <v>1.2030000000000001E-2</v>
      </c>
      <c r="G138">
        <v>0.36020000000000002</v>
      </c>
      <c r="H138">
        <v>2.3199999999999998</v>
      </c>
      <c r="I138">
        <v>40001</v>
      </c>
      <c r="J138">
        <v>120000</v>
      </c>
    </row>
    <row r="139" spans="2:10" x14ac:dyDescent="0.25">
      <c r="B139" t="s">
        <v>531</v>
      </c>
      <c r="C139">
        <v>0.61770000000000003</v>
      </c>
      <c r="D139">
        <v>0.89610000000000001</v>
      </c>
      <c r="E139">
        <v>5.1570000000000001E-3</v>
      </c>
      <c r="F139" s="13">
        <v>6.0599999999999998E-4</v>
      </c>
      <c r="G139">
        <v>0.27789999999999998</v>
      </c>
      <c r="H139">
        <v>3.1459999999999999</v>
      </c>
      <c r="I139">
        <v>40001</v>
      </c>
      <c r="J139">
        <v>120000</v>
      </c>
    </row>
    <row r="140" spans="2:10" x14ac:dyDescent="0.25">
      <c r="B140" t="s">
        <v>532</v>
      </c>
      <c r="C140">
        <v>0.82420000000000004</v>
      </c>
      <c r="D140">
        <v>1.1240000000000001</v>
      </c>
      <c r="E140">
        <v>7.2909999999999997E-3</v>
      </c>
      <c r="F140" s="13">
        <v>8.2019999999999999E-4</v>
      </c>
      <c r="G140">
        <v>0.39090000000000003</v>
      </c>
      <c r="H140">
        <v>4.0439999999999996</v>
      </c>
      <c r="I140">
        <v>40001</v>
      </c>
      <c r="J140">
        <v>120000</v>
      </c>
    </row>
    <row r="141" spans="2:10" x14ac:dyDescent="0.25">
      <c r="B141" t="s">
        <v>533</v>
      </c>
      <c r="C141">
        <v>1.6719999999999999</v>
      </c>
      <c r="D141">
        <v>2.0110000000000001</v>
      </c>
      <c r="E141">
        <v>1.005E-2</v>
      </c>
      <c r="F141">
        <v>2.287E-3</v>
      </c>
      <c r="G141">
        <v>0.94920000000000004</v>
      </c>
      <c r="H141">
        <v>7.17</v>
      </c>
      <c r="I141">
        <v>40001</v>
      </c>
      <c r="J141">
        <v>120000</v>
      </c>
    </row>
    <row r="142" spans="2:10" x14ac:dyDescent="0.25">
      <c r="B142" t="s">
        <v>534</v>
      </c>
      <c r="C142">
        <v>2.2450000000000001</v>
      </c>
      <c r="D142">
        <v>1.474</v>
      </c>
      <c r="E142">
        <v>1.252E-2</v>
      </c>
      <c r="F142">
        <v>0.39350000000000002</v>
      </c>
      <c r="G142">
        <v>1.9159999999999999</v>
      </c>
      <c r="H142">
        <v>5.9530000000000003</v>
      </c>
      <c r="I142">
        <v>40001</v>
      </c>
      <c r="J142">
        <v>120000</v>
      </c>
    </row>
    <row r="143" spans="2:10" x14ac:dyDescent="0.25">
      <c r="B143" t="s">
        <v>535</v>
      </c>
      <c r="C143">
        <v>0.5948</v>
      </c>
      <c r="D143">
        <v>0.84030000000000005</v>
      </c>
      <c r="E143">
        <v>2.5609999999999999E-3</v>
      </c>
      <c r="F143" s="13">
        <v>5.7689999999999998E-4</v>
      </c>
      <c r="G143">
        <v>0.27250000000000002</v>
      </c>
      <c r="H143">
        <v>2.9849999999999999</v>
      </c>
      <c r="I143">
        <v>40001</v>
      </c>
      <c r="J143">
        <v>120000</v>
      </c>
    </row>
    <row r="144" spans="2:10" x14ac:dyDescent="0.25">
      <c r="B144" t="s">
        <v>536</v>
      </c>
      <c r="C144">
        <v>0.62129999999999996</v>
      </c>
      <c r="D144">
        <v>0.84199999999999997</v>
      </c>
      <c r="E144">
        <v>2.7889999999999998E-3</v>
      </c>
      <c r="F144" s="13">
        <v>6.7560000000000005E-4</v>
      </c>
      <c r="G144">
        <v>0.29699999999999999</v>
      </c>
      <c r="H144">
        <v>3.012</v>
      </c>
      <c r="I144">
        <v>40001</v>
      </c>
      <c r="J144">
        <v>120000</v>
      </c>
    </row>
    <row r="145" spans="2:10" x14ac:dyDescent="0.25">
      <c r="B145" t="s">
        <v>537</v>
      </c>
      <c r="C145">
        <v>2.282</v>
      </c>
      <c r="D145">
        <v>2.2149999999999999</v>
      </c>
      <c r="E145">
        <v>1.5520000000000001E-2</v>
      </c>
      <c r="F145">
        <v>7.9129999999999999E-3</v>
      </c>
      <c r="G145">
        <v>1.667</v>
      </c>
      <c r="H145">
        <v>8.0109999999999992</v>
      </c>
      <c r="I145">
        <v>40001</v>
      </c>
      <c r="J145">
        <v>120000</v>
      </c>
    </row>
    <row r="146" spans="2:10" x14ac:dyDescent="0.25">
      <c r="B146" t="s">
        <v>538</v>
      </c>
      <c r="C146">
        <v>1.8919999999999999</v>
      </c>
      <c r="D146">
        <v>1.8520000000000001</v>
      </c>
      <c r="E146">
        <v>1.0500000000000001E-2</v>
      </c>
      <c r="F146">
        <v>8.6289999999999995E-3</v>
      </c>
      <c r="G146">
        <v>1.3680000000000001</v>
      </c>
      <c r="H146">
        <v>6.7380000000000004</v>
      </c>
      <c r="I146">
        <v>40001</v>
      </c>
      <c r="J146">
        <v>120000</v>
      </c>
    </row>
    <row r="147" spans="2:10" x14ac:dyDescent="0.25">
      <c r="B147" t="s">
        <v>539</v>
      </c>
      <c r="C147">
        <v>1.4630000000000001</v>
      </c>
      <c r="D147">
        <v>1.853</v>
      </c>
      <c r="E147">
        <v>6.045E-3</v>
      </c>
      <c r="F147">
        <v>1.7520000000000001E-3</v>
      </c>
      <c r="G147">
        <v>0.77500000000000002</v>
      </c>
      <c r="H147">
        <v>6.57</v>
      </c>
      <c r="I147">
        <v>40001</v>
      </c>
      <c r="J147">
        <v>120000</v>
      </c>
    </row>
    <row r="148" spans="2:10" x14ac:dyDescent="0.25">
      <c r="B148" t="s">
        <v>540</v>
      </c>
      <c r="C148">
        <v>0.91439999999999999</v>
      </c>
      <c r="D148">
        <v>0.95879999999999999</v>
      </c>
      <c r="E148">
        <v>4.0289999999999996E-3</v>
      </c>
      <c r="F148">
        <v>2.196E-2</v>
      </c>
      <c r="G148">
        <v>0.61119999999999997</v>
      </c>
      <c r="H148">
        <v>3.5289999999999999</v>
      </c>
      <c r="I148">
        <v>40001</v>
      </c>
      <c r="J148">
        <v>120000</v>
      </c>
    </row>
    <row r="149" spans="2:10" x14ac:dyDescent="0.25">
      <c r="B149" t="s">
        <v>541</v>
      </c>
      <c r="C149">
        <v>0.57340000000000002</v>
      </c>
      <c r="D149">
        <v>0.79879999999999995</v>
      </c>
      <c r="E149">
        <v>2.4369999999999999E-3</v>
      </c>
      <c r="F149" s="13">
        <v>5.821E-4</v>
      </c>
      <c r="G149">
        <v>0.26519999999999999</v>
      </c>
      <c r="H149">
        <v>2.8319999999999999</v>
      </c>
      <c r="I149">
        <v>40001</v>
      </c>
      <c r="J149">
        <v>120000</v>
      </c>
    </row>
    <row r="150" spans="2:10" x14ac:dyDescent="0.25">
      <c r="B150" t="s">
        <v>542</v>
      </c>
      <c r="C150">
        <v>0.64859999999999995</v>
      </c>
      <c r="D150">
        <v>0.88660000000000005</v>
      </c>
      <c r="E150">
        <v>2.6280000000000001E-3</v>
      </c>
      <c r="F150" s="13">
        <v>6.8889999999999999E-4</v>
      </c>
      <c r="G150">
        <v>0.30609999999999998</v>
      </c>
      <c r="H150">
        <v>3.1709999999999998</v>
      </c>
      <c r="I150">
        <v>40001</v>
      </c>
      <c r="J150">
        <v>120000</v>
      </c>
    </row>
    <row r="151" spans="2:10" x14ac:dyDescent="0.25">
      <c r="B151" t="s">
        <v>543</v>
      </c>
      <c r="C151">
        <v>0.87490000000000001</v>
      </c>
      <c r="D151">
        <v>1.006</v>
      </c>
      <c r="E151">
        <v>4.9410000000000001E-3</v>
      </c>
      <c r="F151">
        <v>1.4319999999999999E-3</v>
      </c>
      <c r="G151">
        <v>0.53490000000000004</v>
      </c>
      <c r="H151">
        <v>3.6070000000000002</v>
      </c>
      <c r="I151">
        <v>40001</v>
      </c>
      <c r="J151">
        <v>120000</v>
      </c>
    </row>
    <row r="152" spans="2:10" x14ac:dyDescent="0.25">
      <c r="B152" t="s">
        <v>544</v>
      </c>
      <c r="C152">
        <v>0.70669999999999999</v>
      </c>
      <c r="D152">
        <v>1</v>
      </c>
      <c r="E152">
        <v>3.029E-3</v>
      </c>
      <c r="F152" s="13">
        <v>6.9620000000000001E-4</v>
      </c>
      <c r="G152">
        <v>0.32350000000000001</v>
      </c>
      <c r="H152">
        <v>3.5579999999999998</v>
      </c>
      <c r="I152">
        <v>40001</v>
      </c>
      <c r="J152">
        <v>120000</v>
      </c>
    </row>
    <row r="153" spans="2:10" x14ac:dyDescent="0.25">
      <c r="B153" t="s">
        <v>545</v>
      </c>
      <c r="C153">
        <v>1.0369999999999999</v>
      </c>
      <c r="D153">
        <v>1.462</v>
      </c>
      <c r="E153">
        <v>1.4630000000000001E-2</v>
      </c>
      <c r="F153">
        <v>1.0189999999999999E-3</v>
      </c>
      <c r="G153">
        <v>0.46910000000000002</v>
      </c>
      <c r="H153">
        <v>5.202</v>
      </c>
      <c r="I153">
        <v>40001</v>
      </c>
      <c r="J153">
        <v>120000</v>
      </c>
    </row>
    <row r="154" spans="2:10" x14ac:dyDescent="0.25">
      <c r="B154" t="s">
        <v>546</v>
      </c>
      <c r="C154">
        <v>1.0589999999999999</v>
      </c>
      <c r="D154">
        <v>1.4870000000000001</v>
      </c>
      <c r="E154">
        <v>1.626E-2</v>
      </c>
      <c r="F154">
        <v>1.034E-3</v>
      </c>
      <c r="G154">
        <v>0.48309999999999997</v>
      </c>
      <c r="H154">
        <v>5.327</v>
      </c>
      <c r="I154">
        <v>40001</v>
      </c>
      <c r="J154">
        <v>120000</v>
      </c>
    </row>
    <row r="155" spans="2:10" x14ac:dyDescent="0.25">
      <c r="B155" t="s">
        <v>547</v>
      </c>
      <c r="C155">
        <v>0.54820000000000002</v>
      </c>
      <c r="D155">
        <v>0.80220000000000002</v>
      </c>
      <c r="E155">
        <v>3.6059999999999998E-3</v>
      </c>
      <c r="F155" s="13">
        <v>4.863E-4</v>
      </c>
      <c r="G155">
        <v>0.24329999999999999</v>
      </c>
      <c r="H155">
        <v>2.8069999999999999</v>
      </c>
      <c r="I155">
        <v>40001</v>
      </c>
      <c r="J155">
        <v>120000</v>
      </c>
    </row>
    <row r="156" spans="2:10" x14ac:dyDescent="0.25">
      <c r="B156" t="s">
        <v>548</v>
      </c>
      <c r="C156">
        <v>0.74319999999999997</v>
      </c>
      <c r="D156">
        <v>1.042</v>
      </c>
      <c r="E156">
        <v>3.9820000000000003E-3</v>
      </c>
      <c r="F156" s="13">
        <v>7.4489999999999995E-4</v>
      </c>
      <c r="G156">
        <v>0.34039999999999998</v>
      </c>
      <c r="H156">
        <v>3.6989999999999998</v>
      </c>
      <c r="I156">
        <v>40001</v>
      </c>
      <c r="J156">
        <v>120000</v>
      </c>
    </row>
    <row r="157" spans="2:10" x14ac:dyDescent="0.25">
      <c r="B157" t="s">
        <v>549</v>
      </c>
      <c r="C157">
        <v>0.82620000000000005</v>
      </c>
      <c r="D157">
        <v>0.88360000000000005</v>
      </c>
      <c r="E157">
        <v>5.4429999999999999E-3</v>
      </c>
      <c r="F157">
        <v>1.8919999999999999E-2</v>
      </c>
      <c r="G157">
        <v>0.54400000000000004</v>
      </c>
      <c r="H157">
        <v>3.2469999999999999</v>
      </c>
      <c r="I157">
        <v>40001</v>
      </c>
      <c r="J157">
        <v>120000</v>
      </c>
    </row>
    <row r="158" spans="2:10" x14ac:dyDescent="0.25">
      <c r="B158" t="s">
        <v>550</v>
      </c>
      <c r="C158">
        <v>1.4139999999999999</v>
      </c>
      <c r="D158">
        <v>1.8220000000000001</v>
      </c>
      <c r="E158">
        <v>6.2950000000000002E-3</v>
      </c>
      <c r="F158">
        <v>1.64E-3</v>
      </c>
      <c r="G158">
        <v>0.73180000000000001</v>
      </c>
      <c r="H158">
        <v>6.4889999999999999</v>
      </c>
      <c r="I158">
        <v>40001</v>
      </c>
      <c r="J158">
        <v>120000</v>
      </c>
    </row>
    <row r="159" spans="2:10" x14ac:dyDescent="0.25">
      <c r="B159" t="s">
        <v>551</v>
      </c>
      <c r="C159">
        <v>1.165</v>
      </c>
      <c r="D159">
        <v>1.4990000000000001</v>
      </c>
      <c r="E159">
        <v>1.047E-2</v>
      </c>
      <c r="F159">
        <v>1.356E-3</v>
      </c>
      <c r="G159">
        <v>0.59589999999999999</v>
      </c>
      <c r="H159">
        <v>5.3789999999999996</v>
      </c>
      <c r="I159">
        <v>40001</v>
      </c>
      <c r="J159">
        <v>120000</v>
      </c>
    </row>
    <row r="160" spans="2:10" x14ac:dyDescent="0.25">
      <c r="B160" t="s">
        <v>552</v>
      </c>
      <c r="C160">
        <v>0.87109999999999999</v>
      </c>
      <c r="D160">
        <v>1.179</v>
      </c>
      <c r="E160">
        <v>9.5399999999999999E-3</v>
      </c>
      <c r="F160" s="13">
        <v>9.0300000000000005E-4</v>
      </c>
      <c r="G160">
        <v>0.42020000000000002</v>
      </c>
      <c r="H160">
        <v>4.2169999999999996</v>
      </c>
      <c r="I160">
        <v>40001</v>
      </c>
      <c r="J160">
        <v>120000</v>
      </c>
    </row>
    <row r="161" spans="2:10" x14ac:dyDescent="0.25">
      <c r="B161" t="s">
        <v>553</v>
      </c>
      <c r="C161">
        <v>0.82479999999999998</v>
      </c>
      <c r="D161">
        <v>1.0780000000000001</v>
      </c>
      <c r="E161">
        <v>6.3460000000000001E-3</v>
      </c>
      <c r="F161" s="13">
        <v>9.1750000000000002E-4</v>
      </c>
      <c r="G161">
        <v>0.41660000000000003</v>
      </c>
      <c r="H161">
        <v>3.875</v>
      </c>
      <c r="I161">
        <v>40001</v>
      </c>
      <c r="J161">
        <v>120000</v>
      </c>
    </row>
    <row r="162" spans="2:10" x14ac:dyDescent="0.25">
      <c r="B162" t="s">
        <v>554</v>
      </c>
      <c r="C162">
        <v>0.72899999999999998</v>
      </c>
      <c r="D162">
        <v>1.046</v>
      </c>
      <c r="E162">
        <v>4.4720000000000003E-3</v>
      </c>
      <c r="F162" s="13">
        <v>7.628E-4</v>
      </c>
      <c r="G162">
        <v>0.3281</v>
      </c>
      <c r="H162">
        <v>3.7309999999999999</v>
      </c>
      <c r="I162">
        <v>40001</v>
      </c>
      <c r="J162">
        <v>120000</v>
      </c>
    </row>
    <row r="163" spans="2:10" x14ac:dyDescent="0.25">
      <c r="B163" t="s">
        <v>555</v>
      </c>
      <c r="C163">
        <v>0.70540000000000003</v>
      </c>
      <c r="D163">
        <v>1.0109999999999999</v>
      </c>
      <c r="E163">
        <v>4.6230000000000004E-3</v>
      </c>
      <c r="F163" s="13">
        <v>6.5899999999999997E-4</v>
      </c>
      <c r="G163">
        <v>0.316</v>
      </c>
      <c r="H163">
        <v>3.6019999999999999</v>
      </c>
      <c r="I163">
        <v>40001</v>
      </c>
      <c r="J163">
        <v>120000</v>
      </c>
    </row>
    <row r="164" spans="2:10" x14ac:dyDescent="0.25">
      <c r="B164" t="s">
        <v>556</v>
      </c>
      <c r="C164">
        <v>0.69630000000000003</v>
      </c>
      <c r="D164">
        <v>0.96660000000000001</v>
      </c>
      <c r="E164">
        <v>5.7809999999999997E-3</v>
      </c>
      <c r="F164" s="13">
        <v>7.1060000000000003E-4</v>
      </c>
      <c r="G164">
        <v>0.32269999999999999</v>
      </c>
      <c r="H164">
        <v>3.4550000000000001</v>
      </c>
      <c r="I164">
        <v>40001</v>
      </c>
      <c r="J164">
        <v>120000</v>
      </c>
    </row>
    <row r="165" spans="2:10" x14ac:dyDescent="0.25">
      <c r="B165" t="s">
        <v>557</v>
      </c>
      <c r="C165">
        <v>0.6694</v>
      </c>
      <c r="D165">
        <v>0.9415</v>
      </c>
      <c r="E165">
        <v>3.0739999999999999E-3</v>
      </c>
      <c r="F165" s="13">
        <v>6.7599999999999995E-4</v>
      </c>
      <c r="G165">
        <v>0.30719999999999997</v>
      </c>
      <c r="H165">
        <v>3.3610000000000002</v>
      </c>
      <c r="I165">
        <v>40001</v>
      </c>
      <c r="J165">
        <v>120000</v>
      </c>
    </row>
    <row r="166" spans="2:10" x14ac:dyDescent="0.25">
      <c r="B166" t="s">
        <v>558</v>
      </c>
      <c r="C166">
        <v>0.50290000000000001</v>
      </c>
      <c r="D166">
        <v>0.71430000000000005</v>
      </c>
      <c r="E166">
        <v>2.5699999999999998E-3</v>
      </c>
      <c r="F166" s="13">
        <v>5.2030000000000002E-4</v>
      </c>
      <c r="G166">
        <v>0.22800000000000001</v>
      </c>
      <c r="H166">
        <v>2.5299999999999998</v>
      </c>
      <c r="I166">
        <v>40001</v>
      </c>
      <c r="J166">
        <v>120000</v>
      </c>
    </row>
    <row r="167" spans="2:10" x14ac:dyDescent="0.25">
      <c r="B167" t="s">
        <v>559</v>
      </c>
      <c r="C167">
        <v>0.80820000000000003</v>
      </c>
      <c r="D167">
        <v>1.143</v>
      </c>
      <c r="E167">
        <v>3.9150000000000001E-3</v>
      </c>
      <c r="F167" s="13">
        <v>8.2819999999999996E-4</v>
      </c>
      <c r="G167">
        <v>0.36820000000000003</v>
      </c>
      <c r="H167">
        <v>4.0590000000000002</v>
      </c>
      <c r="I167">
        <v>40001</v>
      </c>
      <c r="J167">
        <v>120000</v>
      </c>
    </row>
    <row r="168" spans="2:10" x14ac:dyDescent="0.25">
      <c r="B168" t="s">
        <v>560</v>
      </c>
      <c r="C168">
        <v>0.48280000000000001</v>
      </c>
      <c r="D168">
        <v>0.71930000000000005</v>
      </c>
      <c r="E168">
        <v>3.6329999999999999E-3</v>
      </c>
      <c r="F168" s="13">
        <v>4.3849999999999998E-4</v>
      </c>
      <c r="G168">
        <v>0.21</v>
      </c>
      <c r="H168">
        <v>2.5299999999999998</v>
      </c>
      <c r="I168">
        <v>40001</v>
      </c>
      <c r="J168">
        <v>120000</v>
      </c>
    </row>
    <row r="169" spans="2:10" x14ac:dyDescent="0.25">
      <c r="B169" t="s">
        <v>561</v>
      </c>
      <c r="C169">
        <v>1.3620000000000001</v>
      </c>
      <c r="D169">
        <v>1.65</v>
      </c>
      <c r="E169">
        <v>1.456E-2</v>
      </c>
      <c r="F169">
        <v>2.0010000000000002E-3</v>
      </c>
      <c r="G169">
        <v>0.76600000000000001</v>
      </c>
      <c r="H169">
        <v>5.899</v>
      </c>
      <c r="I169">
        <v>40001</v>
      </c>
      <c r="J169">
        <v>120000</v>
      </c>
    </row>
    <row r="170" spans="2:10" x14ac:dyDescent="0.25">
      <c r="B170" t="s">
        <v>562</v>
      </c>
      <c r="C170">
        <v>1.377</v>
      </c>
      <c r="D170">
        <v>1.6910000000000001</v>
      </c>
      <c r="E170">
        <v>1.338E-2</v>
      </c>
      <c r="F170">
        <v>1.879E-3</v>
      </c>
      <c r="G170">
        <v>0.75580000000000003</v>
      </c>
      <c r="H170">
        <v>6.0039999999999996</v>
      </c>
      <c r="I170">
        <v>40001</v>
      </c>
      <c r="J170">
        <v>120000</v>
      </c>
    </row>
    <row r="171" spans="2:10" x14ac:dyDescent="0.25">
      <c r="B171" t="s">
        <v>563</v>
      </c>
      <c r="C171">
        <v>0.87539999999999996</v>
      </c>
      <c r="D171">
        <v>1.2090000000000001</v>
      </c>
      <c r="E171">
        <v>6.5750000000000001E-3</v>
      </c>
      <c r="F171" s="13">
        <v>8.5910000000000001E-4</v>
      </c>
      <c r="G171">
        <v>0.40839999999999999</v>
      </c>
      <c r="H171">
        <v>4.2869999999999999</v>
      </c>
      <c r="I171">
        <v>40001</v>
      </c>
      <c r="J171">
        <v>120000</v>
      </c>
    </row>
    <row r="172" spans="2:10" x14ac:dyDescent="0.25">
      <c r="B172" t="s">
        <v>564</v>
      </c>
      <c r="C172">
        <v>0.64170000000000005</v>
      </c>
      <c r="D172">
        <v>0.92859999999999998</v>
      </c>
      <c r="E172">
        <v>6.5209999999999999E-3</v>
      </c>
      <c r="F172" s="13">
        <v>6.2770000000000002E-4</v>
      </c>
      <c r="G172">
        <v>0.28670000000000001</v>
      </c>
      <c r="H172">
        <v>3.254</v>
      </c>
      <c r="I172">
        <v>40001</v>
      </c>
      <c r="J172">
        <v>120000</v>
      </c>
    </row>
    <row r="173" spans="2:10" x14ac:dyDescent="0.25">
      <c r="B173" t="s">
        <v>565</v>
      </c>
      <c r="C173">
        <v>0.4829</v>
      </c>
      <c r="D173">
        <v>0.68559999999999999</v>
      </c>
      <c r="E173">
        <v>4.2890000000000003E-3</v>
      </c>
      <c r="F173" s="13">
        <v>4.9930000000000005E-4</v>
      </c>
      <c r="G173">
        <v>0.222</v>
      </c>
      <c r="H173">
        <v>2.39</v>
      </c>
      <c r="I173">
        <v>40001</v>
      </c>
      <c r="J173">
        <v>120000</v>
      </c>
    </row>
    <row r="174" spans="2:10" x14ac:dyDescent="0.25">
      <c r="B174" t="s">
        <v>566</v>
      </c>
      <c r="C174">
        <v>0.78769999999999996</v>
      </c>
      <c r="D174">
        <v>1.109</v>
      </c>
      <c r="E174">
        <v>3.7190000000000001E-3</v>
      </c>
      <c r="F174" s="13">
        <v>7.5900000000000002E-4</v>
      </c>
      <c r="G174">
        <v>0.35849999999999999</v>
      </c>
      <c r="H174">
        <v>3.9380000000000002</v>
      </c>
      <c r="I174">
        <v>40001</v>
      </c>
      <c r="J174">
        <v>120000</v>
      </c>
    </row>
    <row r="175" spans="2:10" x14ac:dyDescent="0.25">
      <c r="B175" t="s">
        <v>567</v>
      </c>
      <c r="C175">
        <v>0.69120000000000004</v>
      </c>
      <c r="D175">
        <v>0.97240000000000004</v>
      </c>
      <c r="E175">
        <v>3.1080000000000001E-3</v>
      </c>
      <c r="F175" s="13">
        <v>6.7549999999999999E-4</v>
      </c>
      <c r="G175">
        <v>0.31809999999999999</v>
      </c>
      <c r="H175">
        <v>3.4689999999999999</v>
      </c>
      <c r="I175">
        <v>40001</v>
      </c>
      <c r="J175">
        <v>120000</v>
      </c>
    </row>
    <row r="176" spans="2:10" x14ac:dyDescent="0.25">
      <c r="B176" t="s">
        <v>568</v>
      </c>
      <c r="C176">
        <v>0.55089999999999995</v>
      </c>
      <c r="D176">
        <v>0.75660000000000005</v>
      </c>
      <c r="E176">
        <v>3.6970000000000002E-3</v>
      </c>
      <c r="F176" s="13">
        <v>5.5769999999999995E-4</v>
      </c>
      <c r="G176">
        <v>0.2616</v>
      </c>
      <c r="H176">
        <v>2.6760000000000002</v>
      </c>
      <c r="I176">
        <v>40001</v>
      </c>
      <c r="J176">
        <v>120000</v>
      </c>
    </row>
    <row r="177" spans="2:10" x14ac:dyDescent="0.25">
      <c r="B177" t="s">
        <v>569</v>
      </c>
      <c r="C177">
        <v>0.61860000000000004</v>
      </c>
      <c r="D177">
        <v>0.8931</v>
      </c>
      <c r="E177">
        <v>5.9189999999999998E-3</v>
      </c>
      <c r="F177" s="13">
        <v>5.819E-4</v>
      </c>
      <c r="G177">
        <v>0.2757</v>
      </c>
      <c r="H177">
        <v>3.157</v>
      </c>
      <c r="I177">
        <v>40001</v>
      </c>
      <c r="J177">
        <v>120000</v>
      </c>
    </row>
    <row r="178" spans="2:10" x14ac:dyDescent="0.25">
      <c r="B178" t="s">
        <v>570</v>
      </c>
      <c r="C178">
        <v>0.7984</v>
      </c>
      <c r="D178">
        <v>1.1060000000000001</v>
      </c>
      <c r="E178">
        <v>6.0229999999999997E-3</v>
      </c>
      <c r="F178" s="13">
        <v>7.8509999999999995E-4</v>
      </c>
      <c r="G178">
        <v>0.36969999999999997</v>
      </c>
      <c r="H178">
        <v>3.9369999999999998</v>
      </c>
      <c r="I178">
        <v>40001</v>
      </c>
      <c r="J178">
        <v>120000</v>
      </c>
    </row>
    <row r="179" spans="2:10" x14ac:dyDescent="0.25">
      <c r="B179" t="s">
        <v>571</v>
      </c>
      <c r="C179">
        <v>1.3819999999999999</v>
      </c>
      <c r="D179">
        <v>1.8049999999999999</v>
      </c>
      <c r="E179">
        <v>5.633E-3</v>
      </c>
      <c r="F179">
        <v>1.5460000000000001E-3</v>
      </c>
      <c r="G179">
        <v>0.6976</v>
      </c>
      <c r="H179">
        <v>6.4770000000000003</v>
      </c>
      <c r="I179">
        <v>40001</v>
      </c>
      <c r="J179">
        <v>120000</v>
      </c>
    </row>
    <row r="180" spans="2:10" x14ac:dyDescent="0.25">
      <c r="B180" t="s">
        <v>572</v>
      </c>
      <c r="C180">
        <v>0.80110000000000003</v>
      </c>
      <c r="D180">
        <v>0.84319999999999995</v>
      </c>
      <c r="E180">
        <v>3.7910000000000001E-3</v>
      </c>
      <c r="F180">
        <v>1.8519999999999998E-2</v>
      </c>
      <c r="G180">
        <v>0.53590000000000004</v>
      </c>
      <c r="H180">
        <v>3.0979999999999999</v>
      </c>
      <c r="I180">
        <v>40001</v>
      </c>
      <c r="J180">
        <v>120000</v>
      </c>
    </row>
    <row r="181" spans="2:10" x14ac:dyDescent="0.25">
      <c r="B181" t="s">
        <v>573</v>
      </c>
      <c r="C181">
        <v>0.74309999999999998</v>
      </c>
      <c r="D181">
        <v>1.052</v>
      </c>
      <c r="E181">
        <v>4.4869999999999997E-3</v>
      </c>
      <c r="F181" s="13">
        <v>7.7590000000000005E-4</v>
      </c>
      <c r="G181">
        <v>0.33689999999999998</v>
      </c>
      <c r="H181">
        <v>3.7440000000000002</v>
      </c>
      <c r="I181">
        <v>40001</v>
      </c>
      <c r="J181">
        <v>120000</v>
      </c>
    </row>
    <row r="182" spans="2:10" x14ac:dyDescent="0.25">
      <c r="B182" t="s">
        <v>574</v>
      </c>
      <c r="C182">
        <v>0.82730000000000004</v>
      </c>
      <c r="D182">
        <v>1.0640000000000001</v>
      </c>
      <c r="E182">
        <v>6.2310000000000004E-3</v>
      </c>
      <c r="F182" s="13">
        <v>9.6699999999999998E-4</v>
      </c>
      <c r="G182">
        <v>0.42159999999999997</v>
      </c>
      <c r="H182">
        <v>3.8090000000000002</v>
      </c>
      <c r="I182">
        <v>40001</v>
      </c>
      <c r="J182">
        <v>120000</v>
      </c>
    </row>
    <row r="183" spans="2:10" x14ac:dyDescent="0.25">
      <c r="B183" t="s">
        <v>575</v>
      </c>
      <c r="C183">
        <v>0.71850000000000003</v>
      </c>
      <c r="D183">
        <v>1.028</v>
      </c>
      <c r="E183">
        <v>3.5019999999999999E-3</v>
      </c>
      <c r="F183" s="13">
        <v>7.0540000000000002E-4</v>
      </c>
      <c r="G183">
        <v>0.32140000000000002</v>
      </c>
      <c r="H183">
        <v>3.6509999999999998</v>
      </c>
      <c r="I183">
        <v>40001</v>
      </c>
      <c r="J183">
        <v>120000</v>
      </c>
    </row>
    <row r="184" spans="2:10" x14ac:dyDescent="0.25">
      <c r="B184" t="s">
        <v>576</v>
      </c>
      <c r="C184">
        <v>0.8831</v>
      </c>
      <c r="D184">
        <v>1.042</v>
      </c>
      <c r="E184">
        <v>5.9119999999999997E-3</v>
      </c>
      <c r="F184">
        <v>1.2199999999999999E-3</v>
      </c>
      <c r="G184">
        <v>0.51559999999999995</v>
      </c>
      <c r="H184">
        <v>3.7229999999999999</v>
      </c>
      <c r="I184">
        <v>40001</v>
      </c>
      <c r="J184">
        <v>120000</v>
      </c>
    </row>
    <row r="185" spans="2:10" x14ac:dyDescent="0.25">
      <c r="B185" t="s">
        <v>577</v>
      </c>
      <c r="C185">
        <v>0.8458</v>
      </c>
      <c r="D185">
        <v>1.1739999999999999</v>
      </c>
      <c r="E185">
        <v>6.5719999999999997E-3</v>
      </c>
      <c r="F185" s="13">
        <v>8.9590000000000004E-4</v>
      </c>
      <c r="G185">
        <v>0.3896</v>
      </c>
      <c r="H185">
        <v>4.2060000000000004</v>
      </c>
      <c r="I185">
        <v>40001</v>
      </c>
      <c r="J185">
        <v>120000</v>
      </c>
    </row>
    <row r="186" spans="2:10" x14ac:dyDescent="0.25">
      <c r="B186" t="s">
        <v>578</v>
      </c>
      <c r="C186">
        <v>1.101</v>
      </c>
      <c r="D186">
        <v>1.341</v>
      </c>
      <c r="E186">
        <v>9.4090000000000007E-3</v>
      </c>
      <c r="F186">
        <v>1.428E-3</v>
      </c>
      <c r="G186">
        <v>0.61070000000000002</v>
      </c>
      <c r="H186">
        <v>4.806</v>
      </c>
      <c r="I186">
        <v>40001</v>
      </c>
      <c r="J186">
        <v>120000</v>
      </c>
    </row>
    <row r="187" spans="2:10" x14ac:dyDescent="0.25">
      <c r="B187" t="s">
        <v>579</v>
      </c>
      <c r="C187">
        <v>0.9456</v>
      </c>
      <c r="D187">
        <v>1.282</v>
      </c>
      <c r="E187">
        <v>1.242E-2</v>
      </c>
      <c r="F187" s="13">
        <v>9.5850000000000004E-4</v>
      </c>
      <c r="G187">
        <v>0.4526</v>
      </c>
      <c r="H187">
        <v>4.6020000000000003</v>
      </c>
      <c r="I187">
        <v>40001</v>
      </c>
      <c r="J187">
        <v>120000</v>
      </c>
    </row>
    <row r="188" spans="2:10" x14ac:dyDescent="0.25">
      <c r="B188" t="s">
        <v>580</v>
      </c>
      <c r="C188">
        <v>0.77110000000000001</v>
      </c>
      <c r="D188">
        <v>1.109</v>
      </c>
      <c r="E188">
        <v>7.3359999999999996E-3</v>
      </c>
      <c r="F188" s="13">
        <v>7.6630000000000003E-4</v>
      </c>
      <c r="G188">
        <v>0.34749999999999998</v>
      </c>
      <c r="H188">
        <v>3.9089999999999998</v>
      </c>
      <c r="I188">
        <v>40001</v>
      </c>
      <c r="J188">
        <v>120000</v>
      </c>
    </row>
    <row r="189" spans="2:10" x14ac:dyDescent="0.25">
      <c r="B189" t="s">
        <v>581</v>
      </c>
      <c r="C189" s="13">
        <v>1.6670000000000001E-5</v>
      </c>
      <c r="D189">
        <v>4.0819999999999997E-3</v>
      </c>
      <c r="E189" s="13">
        <v>1.1790000000000001E-5</v>
      </c>
      <c r="F189">
        <v>0</v>
      </c>
      <c r="G189">
        <v>0</v>
      </c>
      <c r="H189">
        <v>0</v>
      </c>
      <c r="I189">
        <v>40001</v>
      </c>
      <c r="J189">
        <v>120000</v>
      </c>
    </row>
    <row r="190" spans="2:10" x14ac:dyDescent="0.25">
      <c r="B190" t="s">
        <v>582</v>
      </c>
      <c r="C190" s="13">
        <v>2.5000000000000001E-5</v>
      </c>
      <c r="D190">
        <v>5.0000000000000001E-3</v>
      </c>
      <c r="E190" s="13">
        <v>1.4430000000000001E-5</v>
      </c>
      <c r="F190">
        <v>0</v>
      </c>
      <c r="G190">
        <v>0</v>
      </c>
      <c r="H190">
        <v>0</v>
      </c>
      <c r="I190">
        <v>40001</v>
      </c>
      <c r="J190">
        <v>120000</v>
      </c>
    </row>
    <row r="191" spans="2:10" x14ac:dyDescent="0.25">
      <c r="B191" t="s">
        <v>583</v>
      </c>
      <c r="C191" s="13">
        <v>4.1669999999999999E-4</v>
      </c>
      <c r="D191">
        <v>2.0410000000000001E-2</v>
      </c>
      <c r="E191" s="13">
        <v>1.043E-4</v>
      </c>
      <c r="F191">
        <v>0</v>
      </c>
      <c r="G191">
        <v>0</v>
      </c>
      <c r="H191">
        <v>0</v>
      </c>
      <c r="I191">
        <v>40001</v>
      </c>
      <c r="J191">
        <v>120000</v>
      </c>
    </row>
    <row r="192" spans="2:10" x14ac:dyDescent="0.25">
      <c r="B192" t="s">
        <v>584</v>
      </c>
      <c r="C192">
        <v>2.4420000000000002E-3</v>
      </c>
      <c r="D192">
        <v>4.9349999999999998E-2</v>
      </c>
      <c r="E192" s="13">
        <v>3.0880000000000002E-4</v>
      </c>
      <c r="F192">
        <v>0</v>
      </c>
      <c r="G192">
        <v>0</v>
      </c>
      <c r="H192">
        <v>0</v>
      </c>
      <c r="I192">
        <v>40001</v>
      </c>
      <c r="J192">
        <v>120000</v>
      </c>
    </row>
    <row r="193" spans="2:10" x14ac:dyDescent="0.25">
      <c r="B193" t="s">
        <v>585</v>
      </c>
      <c r="C193">
        <v>1.2200000000000001E-2</v>
      </c>
      <c r="D193">
        <v>0.10979999999999999</v>
      </c>
      <c r="E193">
        <v>1.521E-3</v>
      </c>
      <c r="F193">
        <v>0</v>
      </c>
      <c r="G193">
        <v>0</v>
      </c>
      <c r="H193">
        <v>0</v>
      </c>
      <c r="I193">
        <v>40001</v>
      </c>
      <c r="J193">
        <v>120000</v>
      </c>
    </row>
    <row r="194" spans="2:10" x14ac:dyDescent="0.25">
      <c r="B194" t="s">
        <v>586</v>
      </c>
      <c r="C194">
        <v>4.2020000000000002E-2</v>
      </c>
      <c r="D194">
        <v>0.2006</v>
      </c>
      <c r="E194">
        <v>2.3289999999999999E-3</v>
      </c>
      <c r="F194">
        <v>0</v>
      </c>
      <c r="G194">
        <v>0</v>
      </c>
      <c r="H194">
        <v>1</v>
      </c>
      <c r="I194">
        <v>40001</v>
      </c>
      <c r="J194">
        <v>120000</v>
      </c>
    </row>
    <row r="195" spans="2:10" x14ac:dyDescent="0.25">
      <c r="B195" t="s">
        <v>587</v>
      </c>
      <c r="C195">
        <v>0.1525</v>
      </c>
      <c r="D195">
        <v>0.35949999999999999</v>
      </c>
      <c r="E195">
        <v>5.2570000000000004E-3</v>
      </c>
      <c r="F195">
        <v>0</v>
      </c>
      <c r="G195">
        <v>0</v>
      </c>
      <c r="H195">
        <v>1</v>
      </c>
      <c r="I195">
        <v>40001</v>
      </c>
      <c r="J195">
        <v>120000</v>
      </c>
    </row>
    <row r="196" spans="2:10" x14ac:dyDescent="0.25">
      <c r="B196" t="s">
        <v>588</v>
      </c>
      <c r="C196">
        <v>0.40679999999999999</v>
      </c>
      <c r="D196">
        <v>0.49120000000000003</v>
      </c>
      <c r="E196">
        <v>7.3709999999999999E-3</v>
      </c>
      <c r="F196">
        <v>0</v>
      </c>
      <c r="G196">
        <v>0</v>
      </c>
      <c r="H196">
        <v>1</v>
      </c>
      <c r="I196">
        <v>40001</v>
      </c>
      <c r="J196">
        <v>120000</v>
      </c>
    </row>
    <row r="197" spans="2:10" x14ac:dyDescent="0.25">
      <c r="B197" t="s">
        <v>589</v>
      </c>
      <c r="C197">
        <v>0.35959999999999998</v>
      </c>
      <c r="D197">
        <v>0.47989999999999999</v>
      </c>
      <c r="E197">
        <v>8.7650000000000002E-3</v>
      </c>
      <c r="F197">
        <v>0</v>
      </c>
      <c r="G197">
        <v>0</v>
      </c>
      <c r="H197">
        <v>1</v>
      </c>
      <c r="I197">
        <v>40001</v>
      </c>
      <c r="J197">
        <v>120000</v>
      </c>
    </row>
    <row r="198" spans="2:10" x14ac:dyDescent="0.25">
      <c r="B198" t="s">
        <v>590</v>
      </c>
      <c r="C198">
        <v>2.4E-2</v>
      </c>
      <c r="D198">
        <v>0.153</v>
      </c>
      <c r="E198">
        <v>1.5759999999999999E-3</v>
      </c>
      <c r="F198">
        <v>0</v>
      </c>
      <c r="G198">
        <v>0</v>
      </c>
      <c r="H198">
        <v>0</v>
      </c>
      <c r="I198">
        <v>40001</v>
      </c>
      <c r="J198">
        <v>120000</v>
      </c>
    </row>
    <row r="199" spans="2:10" x14ac:dyDescent="0.25">
      <c r="B199" t="s">
        <v>591</v>
      </c>
      <c r="C199" s="13">
        <v>1.8330000000000001E-4</v>
      </c>
      <c r="D199">
        <v>1.354E-2</v>
      </c>
      <c r="E199" s="13">
        <v>4.8130000000000002E-5</v>
      </c>
      <c r="F199">
        <v>0</v>
      </c>
      <c r="G199">
        <v>0</v>
      </c>
      <c r="H199">
        <v>0</v>
      </c>
      <c r="I199">
        <v>40001</v>
      </c>
      <c r="J199">
        <v>120000</v>
      </c>
    </row>
    <row r="200" spans="2:10" x14ac:dyDescent="0.25">
      <c r="B200" t="s">
        <v>592</v>
      </c>
      <c r="C200">
        <v>4.9420000000000002E-3</v>
      </c>
      <c r="D200">
        <v>7.0120000000000002E-2</v>
      </c>
      <c r="E200" s="13">
        <v>9.7689999999999995E-4</v>
      </c>
      <c r="F200">
        <v>0</v>
      </c>
      <c r="G200">
        <v>0</v>
      </c>
      <c r="H200">
        <v>0</v>
      </c>
      <c r="I200">
        <v>40001</v>
      </c>
      <c r="J200">
        <v>120000</v>
      </c>
    </row>
    <row r="201" spans="2:10" x14ac:dyDescent="0.25">
      <c r="B201" t="s">
        <v>593</v>
      </c>
      <c r="C201">
        <v>1.8849999999999999E-2</v>
      </c>
      <c r="D201">
        <v>0.13600000000000001</v>
      </c>
      <c r="E201">
        <v>1.4599999999999999E-3</v>
      </c>
      <c r="F201">
        <v>0</v>
      </c>
      <c r="G201">
        <v>0</v>
      </c>
      <c r="H201">
        <v>0</v>
      </c>
      <c r="I201">
        <v>40001</v>
      </c>
      <c r="J201">
        <v>120000</v>
      </c>
    </row>
    <row r="202" spans="2:10" x14ac:dyDescent="0.25">
      <c r="B202" t="s">
        <v>594</v>
      </c>
      <c r="C202">
        <v>6.676E-2</v>
      </c>
      <c r="D202">
        <v>0.24959999999999999</v>
      </c>
      <c r="E202">
        <v>3.2919999999999998E-3</v>
      </c>
      <c r="F202">
        <v>0</v>
      </c>
      <c r="G202">
        <v>0</v>
      </c>
      <c r="H202">
        <v>1</v>
      </c>
      <c r="I202">
        <v>40001</v>
      </c>
      <c r="J202">
        <v>120000</v>
      </c>
    </row>
    <row r="203" spans="2:10" x14ac:dyDescent="0.25">
      <c r="B203" t="s">
        <v>595</v>
      </c>
      <c r="C203">
        <v>0.16950000000000001</v>
      </c>
      <c r="D203">
        <v>0.37519999999999998</v>
      </c>
      <c r="E203">
        <v>5.1749999999999999E-3</v>
      </c>
      <c r="F203">
        <v>0</v>
      </c>
      <c r="G203">
        <v>0</v>
      </c>
      <c r="H203">
        <v>1</v>
      </c>
      <c r="I203">
        <v>40001</v>
      </c>
      <c r="J203">
        <v>120000</v>
      </c>
    </row>
    <row r="204" spans="2:10" x14ac:dyDescent="0.25">
      <c r="B204" t="s">
        <v>596</v>
      </c>
      <c r="C204">
        <v>0.29420000000000002</v>
      </c>
      <c r="D204">
        <v>0.45569999999999999</v>
      </c>
      <c r="E204">
        <v>5.6680000000000003E-3</v>
      </c>
      <c r="F204">
        <v>0</v>
      </c>
      <c r="G204">
        <v>0</v>
      </c>
      <c r="H204">
        <v>1</v>
      </c>
      <c r="I204">
        <v>40001</v>
      </c>
      <c r="J204">
        <v>120000</v>
      </c>
    </row>
    <row r="205" spans="2:10" x14ac:dyDescent="0.25">
      <c r="B205" t="s">
        <v>597</v>
      </c>
      <c r="C205">
        <v>0.30669999999999997</v>
      </c>
      <c r="D205">
        <v>0.46110000000000001</v>
      </c>
      <c r="E205">
        <v>6.672E-3</v>
      </c>
      <c r="F205">
        <v>0</v>
      </c>
      <c r="G205">
        <v>0</v>
      </c>
      <c r="H205">
        <v>1</v>
      </c>
      <c r="I205">
        <v>40001</v>
      </c>
      <c r="J205">
        <v>120000</v>
      </c>
    </row>
    <row r="206" spans="2:10" x14ac:dyDescent="0.25">
      <c r="B206" t="s">
        <v>598</v>
      </c>
      <c r="C206">
        <v>0.12180000000000001</v>
      </c>
      <c r="D206">
        <v>0.3271</v>
      </c>
      <c r="E206">
        <v>5.3550000000000004E-3</v>
      </c>
      <c r="F206">
        <v>0</v>
      </c>
      <c r="G206">
        <v>0</v>
      </c>
      <c r="H206">
        <v>1</v>
      </c>
      <c r="I206">
        <v>40001</v>
      </c>
      <c r="J206">
        <v>120000</v>
      </c>
    </row>
    <row r="207" spans="2:10" x14ac:dyDescent="0.25">
      <c r="B207" t="s">
        <v>599</v>
      </c>
      <c r="C207">
        <v>1.5699999999999999E-2</v>
      </c>
      <c r="D207">
        <v>0.12429999999999999</v>
      </c>
      <c r="E207">
        <v>1.3829999999999999E-3</v>
      </c>
      <c r="F207">
        <v>0</v>
      </c>
      <c r="G207">
        <v>0</v>
      </c>
      <c r="H207">
        <v>0</v>
      </c>
      <c r="I207">
        <v>40001</v>
      </c>
      <c r="J207">
        <v>120000</v>
      </c>
    </row>
    <row r="208" spans="2:10" x14ac:dyDescent="0.25">
      <c r="B208" t="s">
        <v>600</v>
      </c>
      <c r="C208">
        <v>1.358E-3</v>
      </c>
      <c r="D208">
        <v>3.6830000000000002E-2</v>
      </c>
      <c r="E208" s="13">
        <v>2.3729999999999999E-4</v>
      </c>
      <c r="F208">
        <v>0</v>
      </c>
      <c r="G208">
        <v>0</v>
      </c>
      <c r="H208">
        <v>0</v>
      </c>
      <c r="I208">
        <v>40001</v>
      </c>
      <c r="J208">
        <v>120000</v>
      </c>
    </row>
    <row r="209" spans="2:10" x14ac:dyDescent="0.25">
      <c r="B209" t="s">
        <v>601</v>
      </c>
      <c r="C209">
        <v>3.6339999999999997E-2</v>
      </c>
      <c r="D209">
        <v>0.18709999999999999</v>
      </c>
      <c r="E209">
        <v>2.8600000000000001E-3</v>
      </c>
      <c r="F209">
        <v>0</v>
      </c>
      <c r="G209">
        <v>0</v>
      </c>
      <c r="H209">
        <v>1</v>
      </c>
      <c r="I209">
        <v>40001</v>
      </c>
      <c r="J209">
        <v>120000</v>
      </c>
    </row>
    <row r="210" spans="2:10" x14ac:dyDescent="0.25">
      <c r="B210" t="s">
        <v>602</v>
      </c>
      <c r="C210">
        <v>0.15440000000000001</v>
      </c>
      <c r="D210">
        <v>0.36130000000000001</v>
      </c>
      <c r="E210">
        <v>5.3010000000000002E-3</v>
      </c>
      <c r="F210">
        <v>0</v>
      </c>
      <c r="G210">
        <v>0</v>
      </c>
      <c r="H210">
        <v>1</v>
      </c>
      <c r="I210">
        <v>40001</v>
      </c>
      <c r="J210">
        <v>120000</v>
      </c>
    </row>
    <row r="211" spans="2:10" x14ac:dyDescent="0.25">
      <c r="B211" t="s">
        <v>603</v>
      </c>
      <c r="C211">
        <v>0.28949999999999998</v>
      </c>
      <c r="D211">
        <v>0.45350000000000001</v>
      </c>
      <c r="E211">
        <v>6.1700000000000001E-3</v>
      </c>
      <c r="F211">
        <v>0</v>
      </c>
      <c r="G211">
        <v>0</v>
      </c>
      <c r="H211">
        <v>1</v>
      </c>
      <c r="I211">
        <v>40001</v>
      </c>
      <c r="J211">
        <v>120000</v>
      </c>
    </row>
    <row r="212" spans="2:10" x14ac:dyDescent="0.25">
      <c r="B212" t="s">
        <v>604</v>
      </c>
      <c r="C212">
        <v>0.2671</v>
      </c>
      <c r="D212">
        <v>0.44240000000000002</v>
      </c>
      <c r="E212">
        <v>5.3740000000000003E-3</v>
      </c>
      <c r="F212">
        <v>0</v>
      </c>
      <c r="G212">
        <v>0</v>
      </c>
      <c r="H212">
        <v>1</v>
      </c>
      <c r="I212">
        <v>40001</v>
      </c>
      <c r="J212">
        <v>120000</v>
      </c>
    </row>
    <row r="213" spans="2:10" x14ac:dyDescent="0.25">
      <c r="B213" t="s">
        <v>605</v>
      </c>
      <c r="C213">
        <v>0.15140000000000001</v>
      </c>
      <c r="D213">
        <v>0.3584</v>
      </c>
      <c r="E213">
        <v>4.5360000000000001E-3</v>
      </c>
      <c r="F213">
        <v>0</v>
      </c>
      <c r="G213">
        <v>0</v>
      </c>
      <c r="H213">
        <v>1</v>
      </c>
      <c r="I213">
        <v>40001</v>
      </c>
      <c r="J213">
        <v>120000</v>
      </c>
    </row>
    <row r="214" spans="2:10" x14ac:dyDescent="0.25">
      <c r="B214" t="s">
        <v>606</v>
      </c>
      <c r="C214">
        <v>6.7199999999999996E-2</v>
      </c>
      <c r="D214">
        <v>0.25040000000000001</v>
      </c>
      <c r="E214">
        <v>4.3350000000000003E-3</v>
      </c>
      <c r="F214">
        <v>0</v>
      </c>
      <c r="G214">
        <v>0</v>
      </c>
      <c r="H214">
        <v>1</v>
      </c>
      <c r="I214">
        <v>40001</v>
      </c>
      <c r="J214">
        <v>120000</v>
      </c>
    </row>
    <row r="215" spans="2:10" x14ac:dyDescent="0.25">
      <c r="B215" t="s">
        <v>607</v>
      </c>
      <c r="C215">
        <v>2.9270000000000001E-2</v>
      </c>
      <c r="D215">
        <v>0.1686</v>
      </c>
      <c r="E215">
        <v>4.1000000000000003E-3</v>
      </c>
      <c r="F215">
        <v>0</v>
      </c>
      <c r="G215">
        <v>0</v>
      </c>
      <c r="H215">
        <v>1</v>
      </c>
      <c r="I215">
        <v>40001</v>
      </c>
      <c r="J215">
        <v>120000</v>
      </c>
    </row>
    <row r="216" spans="2:10" x14ac:dyDescent="0.25">
      <c r="B216" t="s">
        <v>608</v>
      </c>
      <c r="C216">
        <v>4.5999999999999999E-3</v>
      </c>
      <c r="D216">
        <v>6.7669999999999994E-2</v>
      </c>
      <c r="E216" s="13">
        <v>9.7000000000000005E-4</v>
      </c>
      <c r="F216">
        <v>0</v>
      </c>
      <c r="G216">
        <v>0</v>
      </c>
      <c r="H216">
        <v>0</v>
      </c>
      <c r="I216">
        <v>40001</v>
      </c>
      <c r="J216">
        <v>120000</v>
      </c>
    </row>
    <row r="217" spans="2:10" x14ac:dyDescent="0.25">
      <c r="B217" t="s">
        <v>609</v>
      </c>
      <c r="C217" s="13">
        <v>2.0000000000000001E-4</v>
      </c>
      <c r="D217">
        <v>1.414E-2</v>
      </c>
      <c r="E217" s="13">
        <v>5.2200000000000002E-5</v>
      </c>
      <c r="F217">
        <v>0</v>
      </c>
      <c r="G217">
        <v>0</v>
      </c>
      <c r="H217">
        <v>0</v>
      </c>
      <c r="I217">
        <v>40001</v>
      </c>
      <c r="J217">
        <v>120000</v>
      </c>
    </row>
    <row r="218" spans="2:10" x14ac:dyDescent="0.25">
      <c r="B218" t="s">
        <v>610</v>
      </c>
      <c r="C218" s="13">
        <v>6.6669999999999997E-5</v>
      </c>
      <c r="D218">
        <v>8.1650000000000004E-3</v>
      </c>
      <c r="E218" s="13">
        <v>4.4119999999999998E-5</v>
      </c>
      <c r="F218">
        <v>0</v>
      </c>
      <c r="G218">
        <v>0</v>
      </c>
      <c r="H218">
        <v>0</v>
      </c>
      <c r="I218">
        <v>40001</v>
      </c>
      <c r="J218">
        <v>120000</v>
      </c>
    </row>
    <row r="219" spans="2:10" x14ac:dyDescent="0.25">
      <c r="B219" t="s">
        <v>611</v>
      </c>
      <c r="C219">
        <v>6.3380000000000006E-2</v>
      </c>
      <c r="D219">
        <v>0.24360000000000001</v>
      </c>
      <c r="E219">
        <v>3.9240000000000004E-3</v>
      </c>
      <c r="F219">
        <v>0</v>
      </c>
      <c r="G219">
        <v>0</v>
      </c>
      <c r="H219">
        <v>1</v>
      </c>
      <c r="I219">
        <v>40001</v>
      </c>
      <c r="J219">
        <v>120000</v>
      </c>
    </row>
    <row r="220" spans="2:10" x14ac:dyDescent="0.25">
      <c r="B220" t="s">
        <v>612</v>
      </c>
      <c r="C220">
        <v>0.14149999999999999</v>
      </c>
      <c r="D220">
        <v>0.34849999999999998</v>
      </c>
      <c r="E220">
        <v>5.1590000000000004E-3</v>
      </c>
      <c r="F220">
        <v>0</v>
      </c>
      <c r="G220">
        <v>0</v>
      </c>
      <c r="H220">
        <v>1</v>
      </c>
      <c r="I220">
        <v>40001</v>
      </c>
      <c r="J220">
        <v>120000</v>
      </c>
    </row>
    <row r="221" spans="2:10" x14ac:dyDescent="0.25">
      <c r="B221" t="s">
        <v>613</v>
      </c>
      <c r="C221">
        <v>0.1744</v>
      </c>
      <c r="D221">
        <v>0.3795</v>
      </c>
      <c r="E221">
        <v>5.4739999999999997E-3</v>
      </c>
      <c r="F221">
        <v>0</v>
      </c>
      <c r="G221">
        <v>0</v>
      </c>
      <c r="H221">
        <v>1</v>
      </c>
      <c r="I221">
        <v>40001</v>
      </c>
      <c r="J221">
        <v>120000</v>
      </c>
    </row>
    <row r="222" spans="2:10" x14ac:dyDescent="0.25">
      <c r="B222" t="s">
        <v>614</v>
      </c>
      <c r="C222">
        <v>0.1777</v>
      </c>
      <c r="D222">
        <v>0.38229999999999997</v>
      </c>
      <c r="E222">
        <v>5.1960000000000001E-3</v>
      </c>
      <c r="F222">
        <v>0</v>
      </c>
      <c r="G222">
        <v>0</v>
      </c>
      <c r="H222">
        <v>1</v>
      </c>
      <c r="I222">
        <v>40001</v>
      </c>
      <c r="J222">
        <v>120000</v>
      </c>
    </row>
    <row r="223" spans="2:10" x14ac:dyDescent="0.25">
      <c r="B223" t="s">
        <v>615</v>
      </c>
      <c r="C223">
        <v>0.151</v>
      </c>
      <c r="D223">
        <v>0.35809999999999997</v>
      </c>
      <c r="E223">
        <v>4.215E-3</v>
      </c>
      <c r="F223">
        <v>0</v>
      </c>
      <c r="G223">
        <v>0</v>
      </c>
      <c r="H223">
        <v>1</v>
      </c>
      <c r="I223">
        <v>40001</v>
      </c>
      <c r="J223">
        <v>120000</v>
      </c>
    </row>
    <row r="224" spans="2:10" x14ac:dyDescent="0.25">
      <c r="B224" t="s">
        <v>616</v>
      </c>
      <c r="C224">
        <v>0.1081</v>
      </c>
      <c r="D224">
        <v>0.3105</v>
      </c>
      <c r="E224">
        <v>3.6389999999999999E-3</v>
      </c>
      <c r="F224">
        <v>0</v>
      </c>
      <c r="G224">
        <v>0</v>
      </c>
      <c r="H224">
        <v>1</v>
      </c>
      <c r="I224">
        <v>40001</v>
      </c>
      <c r="J224">
        <v>120000</v>
      </c>
    </row>
    <row r="225" spans="2:10" x14ac:dyDescent="0.25">
      <c r="B225" t="s">
        <v>617</v>
      </c>
      <c r="C225">
        <v>8.2439999999999999E-2</v>
      </c>
      <c r="D225">
        <v>0.27500000000000002</v>
      </c>
      <c r="E225">
        <v>2.8930000000000002E-3</v>
      </c>
      <c r="F225">
        <v>0</v>
      </c>
      <c r="G225">
        <v>0</v>
      </c>
      <c r="H225">
        <v>1</v>
      </c>
      <c r="I225">
        <v>40001</v>
      </c>
      <c r="J225">
        <v>120000</v>
      </c>
    </row>
    <row r="226" spans="2:10" x14ac:dyDescent="0.25">
      <c r="B226" t="s">
        <v>618</v>
      </c>
      <c r="C226">
        <v>6.1850000000000002E-2</v>
      </c>
      <c r="D226">
        <v>0.2409</v>
      </c>
      <c r="E226">
        <v>3.7109999999999999E-3</v>
      </c>
      <c r="F226">
        <v>0</v>
      </c>
      <c r="G226">
        <v>0</v>
      </c>
      <c r="H226">
        <v>1</v>
      </c>
      <c r="I226">
        <v>40001</v>
      </c>
      <c r="J226">
        <v>120000</v>
      </c>
    </row>
    <row r="227" spans="2:10" x14ac:dyDescent="0.25">
      <c r="B227" t="s">
        <v>619</v>
      </c>
      <c r="C227">
        <v>3.0380000000000001E-2</v>
      </c>
      <c r="D227">
        <v>0.1716</v>
      </c>
      <c r="E227">
        <v>2.5590000000000001E-3</v>
      </c>
      <c r="F227">
        <v>0</v>
      </c>
      <c r="G227">
        <v>0</v>
      </c>
      <c r="H227">
        <v>1</v>
      </c>
      <c r="I227">
        <v>40001</v>
      </c>
      <c r="J227">
        <v>120000</v>
      </c>
    </row>
    <row r="228" spans="2:10" x14ac:dyDescent="0.25">
      <c r="B228" t="s">
        <v>620</v>
      </c>
      <c r="C228">
        <v>9.1830000000000002E-3</v>
      </c>
      <c r="D228">
        <v>9.5390000000000003E-2</v>
      </c>
      <c r="E228">
        <v>1.281E-3</v>
      </c>
      <c r="F228">
        <v>0</v>
      </c>
      <c r="G228">
        <v>0</v>
      </c>
      <c r="H228">
        <v>0</v>
      </c>
      <c r="I228">
        <v>40001</v>
      </c>
      <c r="J228">
        <v>120000</v>
      </c>
    </row>
    <row r="229" spans="2:10" x14ac:dyDescent="0.25">
      <c r="B229" t="s">
        <v>621</v>
      </c>
      <c r="C229">
        <v>3.6909999999999998E-2</v>
      </c>
      <c r="D229">
        <v>0.1885</v>
      </c>
      <c r="E229">
        <v>2.9910000000000002E-3</v>
      </c>
      <c r="F229">
        <v>0</v>
      </c>
      <c r="G229">
        <v>0</v>
      </c>
      <c r="H229">
        <v>1</v>
      </c>
      <c r="I229">
        <v>40001</v>
      </c>
      <c r="J229">
        <v>120000</v>
      </c>
    </row>
    <row r="230" spans="2:10" x14ac:dyDescent="0.25">
      <c r="B230" t="s">
        <v>622</v>
      </c>
      <c r="C230">
        <v>5.024E-2</v>
      </c>
      <c r="D230">
        <v>0.21840000000000001</v>
      </c>
      <c r="E230">
        <v>2.7390000000000001E-3</v>
      </c>
      <c r="F230">
        <v>0</v>
      </c>
      <c r="G230">
        <v>0</v>
      </c>
      <c r="H230">
        <v>1</v>
      </c>
      <c r="I230">
        <v>40001</v>
      </c>
      <c r="J230">
        <v>120000</v>
      </c>
    </row>
    <row r="231" spans="2:10" x14ac:dyDescent="0.25">
      <c r="B231" t="s">
        <v>623</v>
      </c>
      <c r="C231">
        <v>5.3310000000000003E-2</v>
      </c>
      <c r="D231">
        <v>0.22459999999999999</v>
      </c>
      <c r="E231">
        <v>2.2460000000000002E-3</v>
      </c>
      <c r="F231">
        <v>0</v>
      </c>
      <c r="G231">
        <v>0</v>
      </c>
      <c r="H231">
        <v>1</v>
      </c>
      <c r="I231">
        <v>40001</v>
      </c>
      <c r="J231">
        <v>120000</v>
      </c>
    </row>
    <row r="232" spans="2:10" x14ac:dyDescent="0.25">
      <c r="B232" t="s">
        <v>624</v>
      </c>
      <c r="C232">
        <v>5.3170000000000002E-2</v>
      </c>
      <c r="D232">
        <v>0.22439999999999999</v>
      </c>
      <c r="E232">
        <v>2.1640000000000001E-3</v>
      </c>
      <c r="F232">
        <v>0</v>
      </c>
      <c r="G232">
        <v>0</v>
      </c>
      <c r="H232">
        <v>1</v>
      </c>
      <c r="I232">
        <v>40001</v>
      </c>
      <c r="J232">
        <v>120000</v>
      </c>
    </row>
    <row r="233" spans="2:10" x14ac:dyDescent="0.25">
      <c r="B233" t="s">
        <v>625</v>
      </c>
      <c r="C233">
        <v>6.3329999999999997E-2</v>
      </c>
      <c r="D233">
        <v>0.24349999999999999</v>
      </c>
      <c r="E233">
        <v>2.8479999999999998E-3</v>
      </c>
      <c r="F233">
        <v>0</v>
      </c>
      <c r="G233">
        <v>0</v>
      </c>
      <c r="H233">
        <v>1</v>
      </c>
      <c r="I233">
        <v>40001</v>
      </c>
      <c r="J233">
        <v>120000</v>
      </c>
    </row>
    <row r="234" spans="2:10" x14ac:dyDescent="0.25">
      <c r="B234" t="s">
        <v>626</v>
      </c>
      <c r="C234">
        <v>7.8979999999999995E-2</v>
      </c>
      <c r="D234">
        <v>0.2697</v>
      </c>
      <c r="E234">
        <v>3.8800000000000002E-3</v>
      </c>
      <c r="F234">
        <v>0</v>
      </c>
      <c r="G234">
        <v>0</v>
      </c>
      <c r="H234">
        <v>1</v>
      </c>
      <c r="I234">
        <v>40001</v>
      </c>
      <c r="J234">
        <v>120000</v>
      </c>
    </row>
    <row r="235" spans="2:10" x14ac:dyDescent="0.25">
      <c r="B235" t="s">
        <v>627</v>
      </c>
      <c r="C235">
        <v>8.6889999999999995E-2</v>
      </c>
      <c r="D235">
        <v>0.28170000000000001</v>
      </c>
      <c r="E235">
        <v>3.2759999999999998E-3</v>
      </c>
      <c r="F235">
        <v>0</v>
      </c>
      <c r="G235">
        <v>0</v>
      </c>
      <c r="H235">
        <v>1</v>
      </c>
      <c r="I235">
        <v>40001</v>
      </c>
      <c r="J235">
        <v>120000</v>
      </c>
    </row>
    <row r="236" spans="2:10" x14ac:dyDescent="0.25">
      <c r="B236" t="s">
        <v>628</v>
      </c>
      <c r="C236">
        <v>0.1222</v>
      </c>
      <c r="D236">
        <v>0.32750000000000001</v>
      </c>
      <c r="E236">
        <v>4.1609999999999998E-3</v>
      </c>
      <c r="F236">
        <v>0</v>
      </c>
      <c r="G236">
        <v>0</v>
      </c>
      <c r="H236">
        <v>1</v>
      </c>
      <c r="I236">
        <v>40001</v>
      </c>
      <c r="J236">
        <v>120000</v>
      </c>
    </row>
    <row r="237" spans="2:10" x14ac:dyDescent="0.25">
      <c r="B237" t="s">
        <v>629</v>
      </c>
      <c r="C237">
        <v>0.155</v>
      </c>
      <c r="D237">
        <v>0.3619</v>
      </c>
      <c r="E237">
        <v>4.3870000000000003E-3</v>
      </c>
      <c r="F237">
        <v>0</v>
      </c>
      <c r="G237">
        <v>0</v>
      </c>
      <c r="H237">
        <v>1</v>
      </c>
      <c r="I237">
        <v>40001</v>
      </c>
      <c r="J237">
        <v>120000</v>
      </c>
    </row>
    <row r="238" spans="2:10" x14ac:dyDescent="0.25">
      <c r="B238" t="s">
        <v>630</v>
      </c>
      <c r="C238">
        <v>0.3</v>
      </c>
      <c r="D238">
        <v>0.45829999999999999</v>
      </c>
      <c r="E238">
        <v>8.9110000000000005E-3</v>
      </c>
      <c r="F238">
        <v>0</v>
      </c>
      <c r="G238">
        <v>0</v>
      </c>
      <c r="H238">
        <v>1</v>
      </c>
      <c r="I238">
        <v>40001</v>
      </c>
      <c r="J238">
        <v>120000</v>
      </c>
    </row>
    <row r="239" spans="2:10" x14ac:dyDescent="0.25">
      <c r="B239" t="s">
        <v>631</v>
      </c>
      <c r="C239">
        <v>0.30980000000000002</v>
      </c>
      <c r="D239">
        <v>0.46239999999999998</v>
      </c>
      <c r="E239">
        <v>8.5129999999999997E-3</v>
      </c>
      <c r="F239">
        <v>0</v>
      </c>
      <c r="G239">
        <v>0</v>
      </c>
      <c r="H239">
        <v>1</v>
      </c>
      <c r="I239">
        <v>40001</v>
      </c>
      <c r="J239">
        <v>120000</v>
      </c>
    </row>
    <row r="240" spans="2:10" x14ac:dyDescent="0.25">
      <c r="B240" t="s">
        <v>632</v>
      </c>
      <c r="C240">
        <v>0.21440000000000001</v>
      </c>
      <c r="D240">
        <v>0.41039999999999999</v>
      </c>
      <c r="E240">
        <v>5.8110000000000002E-3</v>
      </c>
      <c r="F240">
        <v>0</v>
      </c>
      <c r="G240">
        <v>0</v>
      </c>
      <c r="H240">
        <v>1</v>
      </c>
      <c r="I240">
        <v>40001</v>
      </c>
      <c r="J240">
        <v>120000</v>
      </c>
    </row>
    <row r="241" spans="2:10" x14ac:dyDescent="0.25">
      <c r="B241" t="s">
        <v>633</v>
      </c>
      <c r="C241">
        <v>0.1168</v>
      </c>
      <c r="D241">
        <v>0.32119999999999999</v>
      </c>
      <c r="E241">
        <v>3.2130000000000001E-3</v>
      </c>
      <c r="F241">
        <v>0</v>
      </c>
      <c r="G241">
        <v>0</v>
      </c>
      <c r="H241">
        <v>1</v>
      </c>
      <c r="I241">
        <v>40001</v>
      </c>
      <c r="J241">
        <v>120000</v>
      </c>
    </row>
    <row r="242" spans="2:10" x14ac:dyDescent="0.25">
      <c r="B242" t="s">
        <v>634</v>
      </c>
      <c r="C242">
        <v>8.72E-2</v>
      </c>
      <c r="D242">
        <v>0.28210000000000002</v>
      </c>
      <c r="E242">
        <v>3.571E-3</v>
      </c>
      <c r="F242">
        <v>0</v>
      </c>
      <c r="G242">
        <v>0</v>
      </c>
      <c r="H242">
        <v>1</v>
      </c>
      <c r="I242">
        <v>40001</v>
      </c>
      <c r="J242">
        <v>120000</v>
      </c>
    </row>
    <row r="243" spans="2:10" x14ac:dyDescent="0.25">
      <c r="B243" t="s">
        <v>635</v>
      </c>
      <c r="C243">
        <v>6.8080000000000002E-2</v>
      </c>
      <c r="D243">
        <v>0.25190000000000001</v>
      </c>
      <c r="E243">
        <v>2.8540000000000002E-3</v>
      </c>
      <c r="F243">
        <v>0</v>
      </c>
      <c r="G243">
        <v>0</v>
      </c>
      <c r="H243">
        <v>1</v>
      </c>
      <c r="I243">
        <v>40001</v>
      </c>
      <c r="J243">
        <v>120000</v>
      </c>
    </row>
    <row r="244" spans="2:10" x14ac:dyDescent="0.25">
      <c r="B244" t="s">
        <v>636</v>
      </c>
      <c r="C244">
        <v>4.9020000000000001E-2</v>
      </c>
      <c r="D244">
        <v>0.21590000000000001</v>
      </c>
      <c r="E244">
        <v>1.9300000000000001E-3</v>
      </c>
      <c r="F244">
        <v>0</v>
      </c>
      <c r="G244">
        <v>0</v>
      </c>
      <c r="H244">
        <v>1</v>
      </c>
      <c r="I244">
        <v>40001</v>
      </c>
      <c r="J244">
        <v>120000</v>
      </c>
    </row>
    <row r="245" spans="2:10" x14ac:dyDescent="0.25">
      <c r="B245" t="s">
        <v>637</v>
      </c>
      <c r="C245">
        <v>4.6980000000000001E-2</v>
      </c>
      <c r="D245">
        <v>0.21160000000000001</v>
      </c>
      <c r="E245">
        <v>2.1310000000000001E-3</v>
      </c>
      <c r="F245">
        <v>0</v>
      </c>
      <c r="G245">
        <v>0</v>
      </c>
      <c r="H245">
        <v>1</v>
      </c>
      <c r="I245">
        <v>40001</v>
      </c>
      <c r="J245">
        <v>120000</v>
      </c>
    </row>
    <row r="246" spans="2:10" x14ac:dyDescent="0.25">
      <c r="B246" t="s">
        <v>638</v>
      </c>
      <c r="C246">
        <v>4.3029999999999999E-2</v>
      </c>
      <c r="D246">
        <v>0.2029</v>
      </c>
      <c r="E246">
        <v>2.1459999999999999E-3</v>
      </c>
      <c r="F246">
        <v>0</v>
      </c>
      <c r="G246">
        <v>0</v>
      </c>
      <c r="H246">
        <v>1</v>
      </c>
      <c r="I246">
        <v>40001</v>
      </c>
      <c r="J246">
        <v>120000</v>
      </c>
    </row>
    <row r="247" spans="2:10" x14ac:dyDescent="0.25">
      <c r="B247" t="s">
        <v>639</v>
      </c>
      <c r="C247">
        <v>3.8120000000000001E-2</v>
      </c>
      <c r="D247">
        <v>0.1915</v>
      </c>
      <c r="E247">
        <v>2.7079999999999999E-3</v>
      </c>
      <c r="F247">
        <v>0</v>
      </c>
      <c r="G247">
        <v>0</v>
      </c>
      <c r="H247">
        <v>1</v>
      </c>
      <c r="I247">
        <v>40001</v>
      </c>
      <c r="J247">
        <v>120000</v>
      </c>
    </row>
    <row r="248" spans="2:10" x14ac:dyDescent="0.25">
      <c r="B248" t="s">
        <v>640</v>
      </c>
      <c r="C248">
        <v>2.6620000000000001E-2</v>
      </c>
      <c r="D248">
        <v>0.161</v>
      </c>
      <c r="E248">
        <v>2.2569999999999999E-3</v>
      </c>
      <c r="F248">
        <v>0</v>
      </c>
      <c r="G248">
        <v>0</v>
      </c>
      <c r="H248">
        <v>1</v>
      </c>
      <c r="I248">
        <v>40001</v>
      </c>
      <c r="J248">
        <v>120000</v>
      </c>
    </row>
    <row r="249" spans="2:10" x14ac:dyDescent="0.25">
      <c r="B249" t="s">
        <v>641</v>
      </c>
      <c r="C249">
        <v>0.4118</v>
      </c>
      <c r="D249">
        <v>0.49220000000000003</v>
      </c>
      <c r="E249">
        <v>8.7810000000000006E-3</v>
      </c>
      <c r="F249">
        <v>0</v>
      </c>
      <c r="G249">
        <v>0</v>
      </c>
      <c r="H249">
        <v>1</v>
      </c>
      <c r="I249">
        <v>40001</v>
      </c>
      <c r="J249">
        <v>120000</v>
      </c>
    </row>
    <row r="250" spans="2:10" x14ac:dyDescent="0.25">
      <c r="B250" t="s">
        <v>642</v>
      </c>
      <c r="C250">
        <v>0.20899999999999999</v>
      </c>
      <c r="D250">
        <v>0.40660000000000002</v>
      </c>
      <c r="E250">
        <v>5.378E-3</v>
      </c>
      <c r="F250">
        <v>0</v>
      </c>
      <c r="G250">
        <v>0</v>
      </c>
      <c r="H250">
        <v>1</v>
      </c>
      <c r="I250">
        <v>40001</v>
      </c>
      <c r="J250">
        <v>120000</v>
      </c>
    </row>
    <row r="251" spans="2:10" x14ac:dyDescent="0.25">
      <c r="B251" t="s">
        <v>643</v>
      </c>
      <c r="C251">
        <v>0.10979999999999999</v>
      </c>
      <c r="D251">
        <v>0.31259999999999999</v>
      </c>
      <c r="E251">
        <v>3.0999999999999999E-3</v>
      </c>
      <c r="F251">
        <v>0</v>
      </c>
      <c r="G251">
        <v>0</v>
      </c>
      <c r="H251">
        <v>1</v>
      </c>
      <c r="I251">
        <v>40001</v>
      </c>
      <c r="J251">
        <v>120000</v>
      </c>
    </row>
    <row r="252" spans="2:10" x14ac:dyDescent="0.25">
      <c r="B252" t="s">
        <v>644</v>
      </c>
      <c r="C252">
        <v>8.2309999999999994E-2</v>
      </c>
      <c r="D252">
        <v>0.27479999999999999</v>
      </c>
      <c r="E252">
        <v>3.8159999999999999E-3</v>
      </c>
      <c r="F252">
        <v>0</v>
      </c>
      <c r="G252">
        <v>0</v>
      </c>
      <c r="H252">
        <v>1</v>
      </c>
      <c r="I252">
        <v>40001</v>
      </c>
      <c r="J252">
        <v>120000</v>
      </c>
    </row>
    <row r="253" spans="2:10" x14ac:dyDescent="0.25">
      <c r="B253" t="s">
        <v>645</v>
      </c>
      <c r="C253">
        <v>6.173E-2</v>
      </c>
      <c r="D253">
        <v>0.2407</v>
      </c>
      <c r="E253">
        <v>2.5490000000000001E-3</v>
      </c>
      <c r="F253">
        <v>0</v>
      </c>
      <c r="G253">
        <v>0</v>
      </c>
      <c r="H253">
        <v>1</v>
      </c>
      <c r="I253">
        <v>40001</v>
      </c>
      <c r="J253">
        <v>120000</v>
      </c>
    </row>
    <row r="254" spans="2:10" x14ac:dyDescent="0.25">
      <c r="B254" t="s">
        <v>646</v>
      </c>
      <c r="C254">
        <v>4.3650000000000001E-2</v>
      </c>
      <c r="D254">
        <v>0.20430000000000001</v>
      </c>
      <c r="E254">
        <v>2.2469999999999999E-3</v>
      </c>
      <c r="F254">
        <v>0</v>
      </c>
      <c r="G254">
        <v>0</v>
      </c>
      <c r="H254">
        <v>1</v>
      </c>
      <c r="I254">
        <v>40001</v>
      </c>
      <c r="J254">
        <v>120000</v>
      </c>
    </row>
    <row r="255" spans="2:10" x14ac:dyDescent="0.25">
      <c r="B255" t="s">
        <v>647</v>
      </c>
      <c r="C255">
        <v>3.1949999999999999E-2</v>
      </c>
      <c r="D255">
        <v>0.1759</v>
      </c>
      <c r="E255">
        <v>1.464E-3</v>
      </c>
      <c r="F255">
        <v>0</v>
      </c>
      <c r="G255">
        <v>0</v>
      </c>
      <c r="H255">
        <v>1</v>
      </c>
      <c r="I255">
        <v>40001</v>
      </c>
      <c r="J255">
        <v>120000</v>
      </c>
    </row>
    <row r="256" spans="2:10" x14ac:dyDescent="0.25">
      <c r="B256" t="s">
        <v>648</v>
      </c>
      <c r="C256">
        <v>2.4369999999999999E-2</v>
      </c>
      <c r="D256">
        <v>0.1542</v>
      </c>
      <c r="E256">
        <v>1.423E-3</v>
      </c>
      <c r="F256">
        <v>0</v>
      </c>
      <c r="G256">
        <v>0</v>
      </c>
      <c r="H256">
        <v>0</v>
      </c>
      <c r="I256">
        <v>40001</v>
      </c>
      <c r="J256">
        <v>120000</v>
      </c>
    </row>
    <row r="257" spans="2:10" x14ac:dyDescent="0.25">
      <c r="B257" t="s">
        <v>649</v>
      </c>
      <c r="C257">
        <v>1.7680000000000001E-2</v>
      </c>
      <c r="D257">
        <v>0.1318</v>
      </c>
      <c r="E257">
        <v>1.3240000000000001E-3</v>
      </c>
      <c r="F257">
        <v>0</v>
      </c>
      <c r="G257">
        <v>0</v>
      </c>
      <c r="H257">
        <v>0</v>
      </c>
      <c r="I257">
        <v>40001</v>
      </c>
      <c r="J257">
        <v>120000</v>
      </c>
    </row>
    <row r="258" spans="2:10" x14ac:dyDescent="0.25">
      <c r="B258" t="s">
        <v>650</v>
      </c>
      <c r="C258">
        <v>7.7999999999999996E-3</v>
      </c>
      <c r="D258">
        <v>8.7970000000000007E-2</v>
      </c>
      <c r="E258" s="13">
        <v>5.6760000000000003E-4</v>
      </c>
      <c r="F258">
        <v>0</v>
      </c>
      <c r="G258">
        <v>0</v>
      </c>
      <c r="H258">
        <v>0</v>
      </c>
      <c r="I258">
        <v>40001</v>
      </c>
      <c r="J258">
        <v>120000</v>
      </c>
    </row>
    <row r="259" spans="2:10" x14ac:dyDescent="0.25">
      <c r="B259" t="s">
        <v>651</v>
      </c>
      <c r="C259">
        <v>0.1336</v>
      </c>
      <c r="D259">
        <v>0.3402</v>
      </c>
      <c r="E259">
        <v>5.4660000000000004E-3</v>
      </c>
      <c r="F259">
        <v>0</v>
      </c>
      <c r="G259">
        <v>0</v>
      </c>
      <c r="H259">
        <v>1</v>
      </c>
      <c r="I259">
        <v>40001</v>
      </c>
      <c r="J259">
        <v>120000</v>
      </c>
    </row>
    <row r="260" spans="2:10" x14ac:dyDescent="0.25">
      <c r="B260" t="s">
        <v>652</v>
      </c>
      <c r="C260">
        <v>0.18529999999999999</v>
      </c>
      <c r="D260">
        <v>0.38850000000000001</v>
      </c>
      <c r="E260">
        <v>5.8589999999999996E-3</v>
      </c>
      <c r="F260">
        <v>0</v>
      </c>
      <c r="G260">
        <v>0</v>
      </c>
      <c r="H260">
        <v>1</v>
      </c>
      <c r="I260">
        <v>40001</v>
      </c>
      <c r="J260">
        <v>120000</v>
      </c>
    </row>
    <row r="261" spans="2:10" x14ac:dyDescent="0.25">
      <c r="B261" t="s">
        <v>653</v>
      </c>
      <c r="C261">
        <v>0.15429999999999999</v>
      </c>
      <c r="D261">
        <v>0.36130000000000001</v>
      </c>
      <c r="E261">
        <v>5.0759999999999998E-3</v>
      </c>
      <c r="F261">
        <v>0</v>
      </c>
      <c r="G261">
        <v>0</v>
      </c>
      <c r="H261">
        <v>1</v>
      </c>
      <c r="I261">
        <v>40001</v>
      </c>
      <c r="J261">
        <v>120000</v>
      </c>
    </row>
    <row r="262" spans="2:10" x14ac:dyDescent="0.25">
      <c r="B262" t="s">
        <v>654</v>
      </c>
      <c r="C262">
        <v>0.122</v>
      </c>
      <c r="D262">
        <v>0.32729999999999998</v>
      </c>
      <c r="E262">
        <v>3.7680000000000001E-3</v>
      </c>
      <c r="F262">
        <v>0</v>
      </c>
      <c r="G262">
        <v>0</v>
      </c>
      <c r="H262">
        <v>1</v>
      </c>
      <c r="I262">
        <v>40001</v>
      </c>
      <c r="J262">
        <v>120000</v>
      </c>
    </row>
    <row r="263" spans="2:10" x14ac:dyDescent="0.25">
      <c r="B263" t="s">
        <v>655</v>
      </c>
      <c r="C263">
        <v>0.1143</v>
      </c>
      <c r="D263">
        <v>0.31809999999999999</v>
      </c>
      <c r="E263">
        <v>3.6579999999999998E-3</v>
      </c>
      <c r="F263">
        <v>0</v>
      </c>
      <c r="G263">
        <v>0</v>
      </c>
      <c r="H263">
        <v>1</v>
      </c>
      <c r="I263">
        <v>40001</v>
      </c>
      <c r="J263">
        <v>120000</v>
      </c>
    </row>
    <row r="264" spans="2:10" x14ac:dyDescent="0.25">
      <c r="B264" t="s">
        <v>656</v>
      </c>
      <c r="C264">
        <v>9.3490000000000004E-2</v>
      </c>
      <c r="D264">
        <v>0.29110000000000003</v>
      </c>
      <c r="E264">
        <v>3.7399999999999998E-3</v>
      </c>
      <c r="F264">
        <v>0</v>
      </c>
      <c r="G264">
        <v>0</v>
      </c>
      <c r="H264">
        <v>1</v>
      </c>
      <c r="I264">
        <v>40001</v>
      </c>
      <c r="J264">
        <v>120000</v>
      </c>
    </row>
    <row r="265" spans="2:10" x14ac:dyDescent="0.25">
      <c r="B265" t="s">
        <v>657</v>
      </c>
      <c r="C265">
        <v>7.0440000000000003E-2</v>
      </c>
      <c r="D265">
        <v>0.25590000000000002</v>
      </c>
      <c r="E265">
        <v>2.4499999999999999E-3</v>
      </c>
      <c r="F265">
        <v>0</v>
      </c>
      <c r="G265">
        <v>0</v>
      </c>
      <c r="H265">
        <v>1</v>
      </c>
      <c r="I265">
        <v>40001</v>
      </c>
      <c r="J265">
        <v>120000</v>
      </c>
    </row>
    <row r="266" spans="2:10" x14ac:dyDescent="0.25">
      <c r="B266" t="s">
        <v>658</v>
      </c>
      <c r="C266">
        <v>6.1069999999999999E-2</v>
      </c>
      <c r="D266">
        <v>0.23949999999999999</v>
      </c>
      <c r="E266">
        <v>3.065E-3</v>
      </c>
      <c r="F266">
        <v>0</v>
      </c>
      <c r="G266">
        <v>0</v>
      </c>
      <c r="H266">
        <v>1</v>
      </c>
      <c r="I266">
        <v>40001</v>
      </c>
      <c r="J266">
        <v>120000</v>
      </c>
    </row>
    <row r="267" spans="2:10" x14ac:dyDescent="0.25">
      <c r="B267" t="s">
        <v>659</v>
      </c>
      <c r="C267">
        <v>3.9419999999999997E-2</v>
      </c>
      <c r="D267">
        <v>0.1946</v>
      </c>
      <c r="E267">
        <v>2.392E-3</v>
      </c>
      <c r="F267">
        <v>0</v>
      </c>
      <c r="G267">
        <v>0</v>
      </c>
      <c r="H267">
        <v>1</v>
      </c>
      <c r="I267">
        <v>40001</v>
      </c>
      <c r="J267">
        <v>120000</v>
      </c>
    </row>
    <row r="268" spans="2:10" x14ac:dyDescent="0.25">
      <c r="B268" t="s">
        <v>660</v>
      </c>
      <c r="C268">
        <v>2.613E-2</v>
      </c>
      <c r="D268">
        <v>0.1595</v>
      </c>
      <c r="E268">
        <v>3.0439999999999998E-3</v>
      </c>
      <c r="F268">
        <v>0</v>
      </c>
      <c r="G268">
        <v>0</v>
      </c>
      <c r="H268">
        <v>1</v>
      </c>
      <c r="I268">
        <v>40001</v>
      </c>
      <c r="J268">
        <v>120000</v>
      </c>
    </row>
    <row r="269" spans="2:10" x14ac:dyDescent="0.25">
      <c r="B269" t="s">
        <v>661</v>
      </c>
      <c r="C269">
        <v>0</v>
      </c>
      <c r="D269">
        <v>0</v>
      </c>
      <c r="E269" s="13">
        <v>1.6670000000000001E-13</v>
      </c>
      <c r="F269">
        <v>0</v>
      </c>
      <c r="G269">
        <v>0</v>
      </c>
      <c r="H269">
        <v>0</v>
      </c>
      <c r="I269">
        <v>40001</v>
      </c>
      <c r="J269">
        <v>120000</v>
      </c>
    </row>
    <row r="270" spans="2:10" x14ac:dyDescent="0.25">
      <c r="B270" t="s">
        <v>662</v>
      </c>
      <c r="C270" s="13">
        <v>4.1669999999999999E-5</v>
      </c>
      <c r="D270">
        <v>6.4549999999999998E-3</v>
      </c>
      <c r="E270" s="13">
        <v>3.4400000000000003E-5</v>
      </c>
      <c r="F270">
        <v>0</v>
      </c>
      <c r="G270">
        <v>0</v>
      </c>
      <c r="H270">
        <v>0</v>
      </c>
      <c r="I270">
        <v>40001</v>
      </c>
      <c r="J270">
        <v>120000</v>
      </c>
    </row>
    <row r="271" spans="2:10" x14ac:dyDescent="0.25">
      <c r="B271" t="s">
        <v>663</v>
      </c>
      <c r="C271" s="13">
        <v>1.6670000000000001E-4</v>
      </c>
      <c r="D271">
        <v>1.291E-2</v>
      </c>
      <c r="E271" s="13">
        <v>5.2389999999999998E-5</v>
      </c>
      <c r="F271">
        <v>0</v>
      </c>
      <c r="G271">
        <v>0</v>
      </c>
      <c r="H271">
        <v>0</v>
      </c>
      <c r="I271">
        <v>40001</v>
      </c>
      <c r="J271">
        <v>120000</v>
      </c>
    </row>
    <row r="272" spans="2:10" x14ac:dyDescent="0.25">
      <c r="B272" t="s">
        <v>664</v>
      </c>
      <c r="C272" s="13">
        <v>5.0000000000000001E-4</v>
      </c>
      <c r="D272">
        <v>2.2360000000000001E-2</v>
      </c>
      <c r="E272" s="13">
        <v>8.6819999999999999E-5</v>
      </c>
      <c r="F272">
        <v>0</v>
      </c>
      <c r="G272">
        <v>0</v>
      </c>
      <c r="H272">
        <v>0</v>
      </c>
      <c r="I272">
        <v>40001</v>
      </c>
      <c r="J272">
        <v>120000</v>
      </c>
    </row>
    <row r="273" spans="2:10" x14ac:dyDescent="0.25">
      <c r="B273" t="s">
        <v>665</v>
      </c>
      <c r="C273">
        <v>2.0669999999999998E-3</v>
      </c>
      <c r="D273">
        <v>4.5409999999999999E-2</v>
      </c>
      <c r="E273" s="13">
        <v>2.3230000000000001E-4</v>
      </c>
      <c r="F273">
        <v>0</v>
      </c>
      <c r="G273">
        <v>0</v>
      </c>
      <c r="H273">
        <v>0</v>
      </c>
      <c r="I273">
        <v>40001</v>
      </c>
      <c r="J273">
        <v>120000</v>
      </c>
    </row>
    <row r="274" spans="2:10" x14ac:dyDescent="0.25">
      <c r="B274" t="s">
        <v>666</v>
      </c>
      <c r="C274">
        <v>6.0169999999999998E-3</v>
      </c>
      <c r="D274">
        <v>7.7329999999999996E-2</v>
      </c>
      <c r="E274" s="13">
        <v>6.9419999999999996E-4</v>
      </c>
      <c r="F274">
        <v>0</v>
      </c>
      <c r="G274">
        <v>0</v>
      </c>
      <c r="H274">
        <v>0</v>
      </c>
      <c r="I274">
        <v>40001</v>
      </c>
      <c r="J274">
        <v>120000</v>
      </c>
    </row>
    <row r="275" spans="2:10" x14ac:dyDescent="0.25">
      <c r="B275" t="s">
        <v>667</v>
      </c>
      <c r="C275">
        <v>1.6459999999999999E-2</v>
      </c>
      <c r="D275">
        <v>0.12720000000000001</v>
      </c>
      <c r="E275">
        <v>1.405E-3</v>
      </c>
      <c r="F275">
        <v>0</v>
      </c>
      <c r="G275">
        <v>0</v>
      </c>
      <c r="H275">
        <v>0</v>
      </c>
      <c r="I275">
        <v>40001</v>
      </c>
      <c r="J275">
        <v>120000</v>
      </c>
    </row>
    <row r="276" spans="2:10" x14ac:dyDescent="0.25">
      <c r="B276" t="s">
        <v>668</v>
      </c>
      <c r="C276">
        <v>5.978E-2</v>
      </c>
      <c r="D276">
        <v>0.23710000000000001</v>
      </c>
      <c r="E276">
        <v>2.797E-3</v>
      </c>
      <c r="F276">
        <v>0</v>
      </c>
      <c r="G276">
        <v>0</v>
      </c>
      <c r="H276">
        <v>1</v>
      </c>
      <c r="I276">
        <v>40001</v>
      </c>
      <c r="J276">
        <v>120000</v>
      </c>
    </row>
    <row r="277" spans="2:10" x14ac:dyDescent="0.25">
      <c r="B277" t="s">
        <v>669</v>
      </c>
      <c r="C277">
        <v>0.31640000000000001</v>
      </c>
      <c r="D277">
        <v>0.46510000000000001</v>
      </c>
      <c r="E277">
        <v>7.8910000000000004E-3</v>
      </c>
      <c r="F277">
        <v>0</v>
      </c>
      <c r="G277">
        <v>0</v>
      </c>
      <c r="H277">
        <v>1</v>
      </c>
      <c r="I277">
        <v>40001</v>
      </c>
      <c r="J277">
        <v>120000</v>
      </c>
    </row>
    <row r="278" spans="2:10" x14ac:dyDescent="0.25">
      <c r="B278" t="s">
        <v>670</v>
      </c>
      <c r="C278">
        <v>0.59860000000000002</v>
      </c>
      <c r="D278">
        <v>0.49020000000000002</v>
      </c>
      <c r="E278">
        <v>9.2149999999999992E-3</v>
      </c>
      <c r="F278">
        <v>0</v>
      </c>
      <c r="G278">
        <v>1</v>
      </c>
      <c r="H278">
        <v>1</v>
      </c>
      <c r="I278">
        <v>40001</v>
      </c>
      <c r="J278">
        <v>120000</v>
      </c>
    </row>
    <row r="279" spans="2:10" x14ac:dyDescent="0.25">
      <c r="B279" t="s">
        <v>671</v>
      </c>
      <c r="C279">
        <v>8.0669999999999995E-3</v>
      </c>
      <c r="D279">
        <v>8.9450000000000002E-2</v>
      </c>
      <c r="E279" s="13">
        <v>8.4550000000000001E-4</v>
      </c>
      <c r="F279">
        <v>0</v>
      </c>
      <c r="G279">
        <v>0</v>
      </c>
      <c r="H279">
        <v>0</v>
      </c>
      <c r="I279">
        <v>40001</v>
      </c>
      <c r="J279">
        <v>120000</v>
      </c>
    </row>
    <row r="280" spans="2:10" x14ac:dyDescent="0.25">
      <c r="B280" t="s">
        <v>672</v>
      </c>
      <c r="C280">
        <v>4.0189999999999997E-2</v>
      </c>
      <c r="D280">
        <v>0.19639999999999999</v>
      </c>
      <c r="E280">
        <v>3.4889999999999999E-3</v>
      </c>
      <c r="F280">
        <v>0</v>
      </c>
      <c r="G280">
        <v>0</v>
      </c>
      <c r="H280">
        <v>1</v>
      </c>
      <c r="I280">
        <v>40001</v>
      </c>
      <c r="J280">
        <v>120000</v>
      </c>
    </row>
    <row r="281" spans="2:10" x14ac:dyDescent="0.25">
      <c r="B281" t="s">
        <v>673</v>
      </c>
      <c r="C281">
        <v>8.2549999999999998E-2</v>
      </c>
      <c r="D281">
        <v>0.2752</v>
      </c>
      <c r="E281">
        <v>4.0759999999999998E-3</v>
      </c>
      <c r="F281">
        <v>0</v>
      </c>
      <c r="G281">
        <v>0</v>
      </c>
      <c r="H281">
        <v>1</v>
      </c>
      <c r="I281">
        <v>40001</v>
      </c>
      <c r="J281">
        <v>120000</v>
      </c>
    </row>
    <row r="282" spans="2:10" x14ac:dyDescent="0.25">
      <c r="B282" t="s">
        <v>674</v>
      </c>
      <c r="C282">
        <v>0.14080000000000001</v>
      </c>
      <c r="D282">
        <v>0.3478</v>
      </c>
      <c r="E282">
        <v>4.4479999999999997E-3</v>
      </c>
      <c r="F282">
        <v>0</v>
      </c>
      <c r="G282">
        <v>0</v>
      </c>
      <c r="H282">
        <v>1</v>
      </c>
      <c r="I282">
        <v>40001</v>
      </c>
      <c r="J282">
        <v>120000</v>
      </c>
    </row>
    <row r="283" spans="2:10" x14ac:dyDescent="0.25">
      <c r="B283" t="s">
        <v>675</v>
      </c>
      <c r="C283">
        <v>0.2064</v>
      </c>
      <c r="D283">
        <v>0.40479999999999999</v>
      </c>
      <c r="E283">
        <v>5.4679999999999998E-3</v>
      </c>
      <c r="F283">
        <v>0</v>
      </c>
      <c r="G283">
        <v>0</v>
      </c>
      <c r="H283">
        <v>1</v>
      </c>
      <c r="I283">
        <v>40001</v>
      </c>
      <c r="J283">
        <v>120000</v>
      </c>
    </row>
    <row r="284" spans="2:10" x14ac:dyDescent="0.25">
      <c r="B284" t="s">
        <v>676</v>
      </c>
      <c r="C284">
        <v>0.21729999999999999</v>
      </c>
      <c r="D284">
        <v>0.41239999999999999</v>
      </c>
      <c r="E284">
        <v>5.5209999999999999E-3</v>
      </c>
      <c r="F284">
        <v>0</v>
      </c>
      <c r="G284">
        <v>0</v>
      </c>
      <c r="H284">
        <v>1</v>
      </c>
      <c r="I284">
        <v>40001</v>
      </c>
      <c r="J284">
        <v>120000</v>
      </c>
    </row>
    <row r="285" spans="2:10" x14ac:dyDescent="0.25">
      <c r="B285" t="s">
        <v>677</v>
      </c>
      <c r="C285">
        <v>0.1764</v>
      </c>
      <c r="D285">
        <v>0.38109999999999999</v>
      </c>
      <c r="E285">
        <v>5.6249999999999998E-3</v>
      </c>
      <c r="F285">
        <v>0</v>
      </c>
      <c r="G285">
        <v>0</v>
      </c>
      <c r="H285">
        <v>1</v>
      </c>
      <c r="I285">
        <v>40001</v>
      </c>
      <c r="J285">
        <v>120000</v>
      </c>
    </row>
    <row r="286" spans="2:10" x14ac:dyDescent="0.25">
      <c r="B286" t="s">
        <v>678</v>
      </c>
      <c r="C286">
        <v>9.4500000000000001E-2</v>
      </c>
      <c r="D286">
        <v>0.29249999999999998</v>
      </c>
      <c r="E286">
        <v>4.0720000000000001E-3</v>
      </c>
      <c r="F286">
        <v>0</v>
      </c>
      <c r="G286">
        <v>0</v>
      </c>
      <c r="H286">
        <v>1</v>
      </c>
      <c r="I286">
        <v>40001</v>
      </c>
      <c r="J286">
        <v>120000</v>
      </c>
    </row>
    <row r="287" spans="2:10" x14ac:dyDescent="0.25">
      <c r="B287" t="s">
        <v>679</v>
      </c>
      <c r="C287">
        <v>2.7490000000000001E-2</v>
      </c>
      <c r="D287">
        <v>0.16350000000000001</v>
      </c>
      <c r="E287">
        <v>2.2039999999999998E-3</v>
      </c>
      <c r="F287">
        <v>0</v>
      </c>
      <c r="G287">
        <v>0</v>
      </c>
      <c r="H287">
        <v>1</v>
      </c>
      <c r="I287">
        <v>40001</v>
      </c>
      <c r="J287">
        <v>120000</v>
      </c>
    </row>
    <row r="288" spans="2:10" x14ac:dyDescent="0.25">
      <c r="B288" t="s">
        <v>680</v>
      </c>
      <c r="C288">
        <v>6.2830000000000004E-3</v>
      </c>
      <c r="D288">
        <v>7.9020000000000007E-2</v>
      </c>
      <c r="E288">
        <v>1.0989999999999999E-3</v>
      </c>
      <c r="F288">
        <v>0</v>
      </c>
      <c r="G288">
        <v>0</v>
      </c>
      <c r="H288">
        <v>0</v>
      </c>
      <c r="I288">
        <v>40001</v>
      </c>
      <c r="J288">
        <v>120000</v>
      </c>
    </row>
    <row r="289" spans="2:10" x14ac:dyDescent="0.25">
      <c r="B289" t="s">
        <v>681</v>
      </c>
      <c r="C289">
        <v>1.3720000000000001</v>
      </c>
      <c r="D289">
        <v>1.599</v>
      </c>
      <c r="E289">
        <v>5.555E-3</v>
      </c>
      <c r="F289">
        <v>6.9849999999999995E-2</v>
      </c>
      <c r="G289">
        <v>0.78949999999999998</v>
      </c>
      <c r="H289">
        <v>5.9080000000000004</v>
      </c>
      <c r="I289">
        <v>40001</v>
      </c>
      <c r="J289">
        <v>120000</v>
      </c>
    </row>
    <row r="290" spans="2:10" x14ac:dyDescent="0.25">
      <c r="B290" t="s">
        <v>682</v>
      </c>
      <c r="C290">
        <v>1.5720000000000001</v>
      </c>
      <c r="D290">
        <v>1.6379999999999999</v>
      </c>
      <c r="E290">
        <v>1.6500000000000001E-2</v>
      </c>
      <c r="F290">
        <v>3.8670000000000003E-2</v>
      </c>
      <c r="G290">
        <v>1.048</v>
      </c>
      <c r="H290">
        <v>5.976</v>
      </c>
      <c r="I290">
        <v>40001</v>
      </c>
      <c r="J290">
        <v>120000</v>
      </c>
    </row>
    <row r="291" spans="2:10" x14ac:dyDescent="0.25">
      <c r="B291" t="s">
        <v>683</v>
      </c>
      <c r="C291">
        <v>1.4059999999999999</v>
      </c>
      <c r="D291">
        <v>1.548</v>
      </c>
      <c r="E291">
        <v>9.7789999999999995E-3</v>
      </c>
      <c r="F291">
        <v>2.9870000000000001E-2</v>
      </c>
      <c r="G291">
        <v>0.90359999999999996</v>
      </c>
      <c r="H291">
        <v>5.6879999999999997</v>
      </c>
      <c r="I291">
        <v>40001</v>
      </c>
      <c r="J291">
        <v>120000</v>
      </c>
    </row>
    <row r="292" spans="2:10" x14ac:dyDescent="0.25">
      <c r="B292" t="s">
        <v>684</v>
      </c>
      <c r="C292">
        <v>1.44</v>
      </c>
      <c r="D292">
        <v>1.5669999999999999</v>
      </c>
      <c r="E292">
        <v>1.1860000000000001E-2</v>
      </c>
      <c r="F292">
        <v>3.2770000000000001E-2</v>
      </c>
      <c r="G292">
        <v>0.9405</v>
      </c>
      <c r="H292">
        <v>5.7320000000000002</v>
      </c>
      <c r="I292">
        <v>40001</v>
      </c>
      <c r="J292">
        <v>120000</v>
      </c>
    </row>
    <row r="293" spans="2:10" x14ac:dyDescent="0.25">
      <c r="B293" t="s">
        <v>685</v>
      </c>
      <c r="C293">
        <v>1.2210000000000001</v>
      </c>
      <c r="D293">
        <v>1.4770000000000001</v>
      </c>
      <c r="E293">
        <v>5.522E-3</v>
      </c>
      <c r="F293">
        <v>2.137E-2</v>
      </c>
      <c r="G293">
        <v>0.6976</v>
      </c>
      <c r="H293">
        <v>5.391</v>
      </c>
      <c r="I293">
        <v>40001</v>
      </c>
      <c r="J293">
        <v>120000</v>
      </c>
    </row>
    <row r="294" spans="2:10" x14ac:dyDescent="0.25">
      <c r="B294" t="s">
        <v>686</v>
      </c>
      <c r="C294">
        <v>1.226</v>
      </c>
      <c r="D294">
        <v>1.4870000000000001</v>
      </c>
      <c r="E294">
        <v>5.8650000000000004E-3</v>
      </c>
      <c r="F294">
        <v>2.1180000000000001E-2</v>
      </c>
      <c r="G294">
        <v>0.70050000000000001</v>
      </c>
      <c r="H294">
        <v>5.4160000000000004</v>
      </c>
      <c r="I294">
        <v>40001</v>
      </c>
      <c r="J294">
        <v>120000</v>
      </c>
    </row>
    <row r="295" spans="2:10" x14ac:dyDescent="0.25">
      <c r="B295" t="s">
        <v>687</v>
      </c>
      <c r="C295">
        <v>1.2549999999999999</v>
      </c>
      <c r="D295">
        <v>1.542</v>
      </c>
      <c r="E295">
        <v>6.2789999999999999E-3</v>
      </c>
      <c r="F295">
        <v>2.4490000000000001E-2</v>
      </c>
      <c r="G295">
        <v>0.70689999999999997</v>
      </c>
      <c r="H295">
        <v>5.6390000000000002</v>
      </c>
      <c r="I295">
        <v>40001</v>
      </c>
      <c r="J295">
        <v>120000</v>
      </c>
    </row>
    <row r="296" spans="2:10" x14ac:dyDescent="0.25">
      <c r="B296" t="s">
        <v>688</v>
      </c>
      <c r="C296">
        <v>2.1339999999999999</v>
      </c>
      <c r="D296">
        <v>1.7470000000000001</v>
      </c>
      <c r="E296">
        <v>2.0410000000000001E-2</v>
      </c>
      <c r="F296">
        <v>0.13439999999999999</v>
      </c>
      <c r="G296">
        <v>1.71</v>
      </c>
      <c r="H296">
        <v>6.6390000000000002</v>
      </c>
      <c r="I296">
        <v>40001</v>
      </c>
      <c r="J296">
        <v>120000</v>
      </c>
    </row>
    <row r="297" spans="2:10" x14ac:dyDescent="0.25">
      <c r="B297" t="s">
        <v>689</v>
      </c>
      <c r="C297">
        <v>1.335</v>
      </c>
      <c r="D297">
        <v>1.506</v>
      </c>
      <c r="E297">
        <v>7.6010000000000001E-3</v>
      </c>
      <c r="F297">
        <v>2.998E-2</v>
      </c>
      <c r="G297">
        <v>0.83360000000000001</v>
      </c>
      <c r="H297">
        <v>5.5090000000000003</v>
      </c>
      <c r="I297">
        <v>40001</v>
      </c>
      <c r="J297">
        <v>120000</v>
      </c>
    </row>
    <row r="298" spans="2:10" x14ac:dyDescent="0.25">
      <c r="B298" t="s">
        <v>690</v>
      </c>
      <c r="C298">
        <v>2.1589999999999998</v>
      </c>
      <c r="D298">
        <v>1.7190000000000001</v>
      </c>
      <c r="E298">
        <v>1.26E-2</v>
      </c>
      <c r="F298">
        <v>0.41370000000000001</v>
      </c>
      <c r="G298">
        <v>1.6559999999999999</v>
      </c>
      <c r="H298">
        <v>6.8949999999999996</v>
      </c>
      <c r="I298">
        <v>40001</v>
      </c>
      <c r="J298">
        <v>120000</v>
      </c>
    </row>
    <row r="299" spans="2:10" x14ac:dyDescent="0.25">
      <c r="B299" t="s">
        <v>691</v>
      </c>
      <c r="C299">
        <v>5.1360000000000001</v>
      </c>
      <c r="D299">
        <v>1.891</v>
      </c>
      <c r="E299">
        <v>2.3769999999999999E-2</v>
      </c>
      <c r="F299">
        <v>2.4</v>
      </c>
      <c r="G299">
        <v>4.8099999999999996</v>
      </c>
      <c r="H299">
        <v>9.8620000000000001</v>
      </c>
      <c r="I299">
        <v>40001</v>
      </c>
      <c r="J299">
        <v>120000</v>
      </c>
    </row>
    <row r="300" spans="2:10" x14ac:dyDescent="0.25">
      <c r="B300" t="s">
        <v>692</v>
      </c>
      <c r="C300">
        <v>2.0680000000000001</v>
      </c>
      <c r="D300">
        <v>2.0339999999999998</v>
      </c>
      <c r="E300">
        <v>2.5780000000000001E-2</v>
      </c>
      <c r="F300">
        <v>5.2810000000000003E-2</v>
      </c>
      <c r="G300">
        <v>1.4630000000000001</v>
      </c>
      <c r="H300">
        <v>7.53</v>
      </c>
      <c r="I300">
        <v>40001</v>
      </c>
      <c r="J300">
        <v>120000</v>
      </c>
    </row>
    <row r="301" spans="2:10" x14ac:dyDescent="0.25">
      <c r="B301" t="s">
        <v>693</v>
      </c>
      <c r="C301">
        <v>2.0609999999999999</v>
      </c>
      <c r="D301">
        <v>2.0609999999999999</v>
      </c>
      <c r="E301">
        <v>2.8709999999999999E-2</v>
      </c>
      <c r="F301">
        <v>5.3760000000000002E-2</v>
      </c>
      <c r="G301">
        <v>1.4259999999999999</v>
      </c>
      <c r="H301">
        <v>7.5380000000000003</v>
      </c>
      <c r="I301">
        <v>40001</v>
      </c>
      <c r="J301">
        <v>120000</v>
      </c>
    </row>
    <row r="302" spans="2:10" x14ac:dyDescent="0.25">
      <c r="B302" t="s">
        <v>694</v>
      </c>
      <c r="C302">
        <v>2.6789999999999998</v>
      </c>
      <c r="D302">
        <v>1.621</v>
      </c>
      <c r="E302">
        <v>1.34E-2</v>
      </c>
      <c r="F302">
        <v>0.85880000000000001</v>
      </c>
      <c r="G302">
        <v>2.2570000000000001</v>
      </c>
      <c r="H302">
        <v>7.05</v>
      </c>
      <c r="I302">
        <v>40001</v>
      </c>
      <c r="J302">
        <v>120000</v>
      </c>
    </row>
    <row r="303" spans="2:10" x14ac:dyDescent="0.25">
      <c r="B303" t="s">
        <v>695</v>
      </c>
      <c r="C303">
        <v>2.6440000000000001</v>
      </c>
      <c r="D303">
        <v>2.032</v>
      </c>
      <c r="E303">
        <v>2.7820000000000001E-2</v>
      </c>
      <c r="F303">
        <v>0.13600000000000001</v>
      </c>
      <c r="G303">
        <v>2.194</v>
      </c>
      <c r="H303">
        <v>7.681</v>
      </c>
      <c r="I303">
        <v>40001</v>
      </c>
      <c r="J303">
        <v>120000</v>
      </c>
    </row>
    <row r="304" spans="2:10" x14ac:dyDescent="0.25">
      <c r="B304" t="s">
        <v>696</v>
      </c>
      <c r="C304">
        <v>1.3720000000000001</v>
      </c>
      <c r="D304">
        <v>1.528</v>
      </c>
      <c r="E304">
        <v>9.1730000000000006E-3</v>
      </c>
      <c r="F304">
        <v>3.4340000000000002E-2</v>
      </c>
      <c r="G304">
        <v>0.88239999999999996</v>
      </c>
      <c r="H304">
        <v>5.6390000000000002</v>
      </c>
      <c r="I304">
        <v>40001</v>
      </c>
      <c r="J304">
        <v>120000</v>
      </c>
    </row>
    <row r="305" spans="2:10" x14ac:dyDescent="0.25">
      <c r="B305" t="s">
        <v>697</v>
      </c>
      <c r="C305">
        <v>1.218</v>
      </c>
      <c r="D305">
        <v>1.496</v>
      </c>
      <c r="E305">
        <v>5.8209999999999998E-3</v>
      </c>
      <c r="F305">
        <v>2.2839999999999999E-2</v>
      </c>
      <c r="G305">
        <v>0.68510000000000004</v>
      </c>
      <c r="H305">
        <v>5.4139999999999997</v>
      </c>
      <c r="I305">
        <v>40001</v>
      </c>
      <c r="J305">
        <v>120000</v>
      </c>
    </row>
    <row r="306" spans="2:10" x14ac:dyDescent="0.25">
      <c r="B306" t="s">
        <v>698</v>
      </c>
      <c r="C306">
        <v>2.0699999999999998</v>
      </c>
      <c r="D306">
        <v>2.0779999999999998</v>
      </c>
      <c r="E306">
        <v>2.6280000000000001E-2</v>
      </c>
      <c r="F306">
        <v>5.1880000000000003E-2</v>
      </c>
      <c r="G306">
        <v>1.43</v>
      </c>
      <c r="H306">
        <v>7.641</v>
      </c>
      <c r="I306">
        <v>40001</v>
      </c>
      <c r="J306">
        <v>120000</v>
      </c>
    </row>
    <row r="307" spans="2:10" x14ac:dyDescent="0.25">
      <c r="B307" t="s">
        <v>699</v>
      </c>
      <c r="C307">
        <v>2.4609999999999999</v>
      </c>
      <c r="D307">
        <v>1.6970000000000001</v>
      </c>
      <c r="E307">
        <v>1.4749999999999999E-2</v>
      </c>
      <c r="F307">
        <v>0.34410000000000002</v>
      </c>
      <c r="G307">
        <v>2.0779999999999998</v>
      </c>
      <c r="H307">
        <v>6.8659999999999997</v>
      </c>
      <c r="I307">
        <v>40001</v>
      </c>
      <c r="J307">
        <v>120000</v>
      </c>
    </row>
    <row r="308" spans="2:10" x14ac:dyDescent="0.25">
      <c r="B308" t="s">
        <v>700</v>
      </c>
      <c r="C308">
        <v>1.8460000000000001</v>
      </c>
      <c r="D308">
        <v>1.65</v>
      </c>
      <c r="E308">
        <v>7.8209999999999998E-3</v>
      </c>
      <c r="F308">
        <v>0.37559999999999999</v>
      </c>
      <c r="G308">
        <v>1.2849999999999999</v>
      </c>
      <c r="H308">
        <v>6.4630000000000001</v>
      </c>
      <c r="I308">
        <v>40001</v>
      </c>
      <c r="J308">
        <v>120000</v>
      </c>
    </row>
    <row r="309" spans="2:10" x14ac:dyDescent="0.25">
      <c r="B309" t="s">
        <v>701</v>
      </c>
      <c r="C309">
        <v>1.4419999999999999</v>
      </c>
      <c r="D309">
        <v>1.5780000000000001</v>
      </c>
      <c r="E309">
        <v>1.172E-2</v>
      </c>
      <c r="F309">
        <v>3.3079999999999998E-2</v>
      </c>
      <c r="G309">
        <v>0.93169999999999997</v>
      </c>
      <c r="H309">
        <v>5.782</v>
      </c>
      <c r="I309">
        <v>40001</v>
      </c>
      <c r="J309">
        <v>120000</v>
      </c>
    </row>
    <row r="310" spans="2:10" x14ac:dyDescent="0.25">
      <c r="B310" t="s">
        <v>702</v>
      </c>
      <c r="C310">
        <v>3.9169999999999998</v>
      </c>
      <c r="D310">
        <v>1.768</v>
      </c>
      <c r="E310">
        <v>2.0389999999999998E-2</v>
      </c>
      <c r="F310">
        <v>1.57</v>
      </c>
      <c r="G310">
        <v>3.577</v>
      </c>
      <c r="H310">
        <v>8.4179999999999993</v>
      </c>
      <c r="I310">
        <v>40001</v>
      </c>
      <c r="J310">
        <v>120000</v>
      </c>
    </row>
    <row r="311" spans="2:10" x14ac:dyDescent="0.25">
      <c r="B311" t="s">
        <v>703</v>
      </c>
      <c r="C311">
        <v>1.216</v>
      </c>
      <c r="D311">
        <v>1.528</v>
      </c>
      <c r="E311">
        <v>4.9160000000000002E-3</v>
      </c>
      <c r="F311">
        <v>2.5590000000000002E-2</v>
      </c>
      <c r="G311">
        <v>0.65490000000000004</v>
      </c>
      <c r="H311">
        <v>5.5339999999999998</v>
      </c>
      <c r="I311">
        <v>40001</v>
      </c>
      <c r="J311">
        <v>120000</v>
      </c>
    </row>
    <row r="312" spans="2:10" x14ac:dyDescent="0.25">
      <c r="B312" t="s">
        <v>704</v>
      </c>
      <c r="C312">
        <v>4.1740000000000004</v>
      </c>
      <c r="D312">
        <v>1.9890000000000001</v>
      </c>
      <c r="E312">
        <v>2.3879999999999998E-2</v>
      </c>
      <c r="F312">
        <v>1.038</v>
      </c>
      <c r="G312">
        <v>3.9020000000000001</v>
      </c>
      <c r="H312">
        <v>8.9269999999999996</v>
      </c>
      <c r="I312">
        <v>40001</v>
      </c>
      <c r="J312">
        <v>120000</v>
      </c>
    </row>
    <row r="313" spans="2:10" x14ac:dyDescent="0.25">
      <c r="B313" t="s">
        <v>705</v>
      </c>
      <c r="C313">
        <v>2.3780000000000001</v>
      </c>
      <c r="D313">
        <v>1.651</v>
      </c>
      <c r="E313">
        <v>7.3080000000000003E-3</v>
      </c>
      <c r="F313">
        <v>0.82930000000000004</v>
      </c>
      <c r="G313">
        <v>1.829</v>
      </c>
      <c r="H313">
        <v>6.9459999999999997</v>
      </c>
      <c r="I313">
        <v>40001</v>
      </c>
      <c r="J313">
        <v>120000</v>
      </c>
    </row>
    <row r="314" spans="2:10" x14ac:dyDescent="0.25">
      <c r="B314" t="s">
        <v>706</v>
      </c>
      <c r="C314">
        <v>1.222</v>
      </c>
      <c r="D314">
        <v>1.607</v>
      </c>
      <c r="E314">
        <v>4.8310000000000002E-3</v>
      </c>
      <c r="F314">
        <v>1.9009999999999999E-2</v>
      </c>
      <c r="G314">
        <v>0.60970000000000002</v>
      </c>
      <c r="H314">
        <v>5.7949999999999999</v>
      </c>
      <c r="I314">
        <v>40001</v>
      </c>
      <c r="J314">
        <v>120000</v>
      </c>
    </row>
    <row r="315" spans="2:10" x14ac:dyDescent="0.25">
      <c r="B315" t="s">
        <v>707</v>
      </c>
      <c r="C315">
        <v>1.5820000000000001</v>
      </c>
      <c r="D315">
        <v>1.6279999999999999</v>
      </c>
      <c r="E315">
        <v>6.8240000000000002E-3</v>
      </c>
      <c r="F315">
        <v>0.158</v>
      </c>
      <c r="G315">
        <v>1.0189999999999999</v>
      </c>
      <c r="H315">
        <v>6.1760000000000002</v>
      </c>
      <c r="I315">
        <v>40001</v>
      </c>
      <c r="J315">
        <v>120000</v>
      </c>
    </row>
    <row r="316" spans="2:10" x14ac:dyDescent="0.25">
      <c r="B316" t="s">
        <v>708</v>
      </c>
      <c r="C316">
        <v>2.0950000000000002</v>
      </c>
      <c r="D316">
        <v>2.0760000000000001</v>
      </c>
      <c r="E316">
        <v>2.7140000000000001E-2</v>
      </c>
      <c r="F316">
        <v>5.491E-2</v>
      </c>
      <c r="G316">
        <v>1.46</v>
      </c>
      <c r="H316">
        <v>7.7080000000000002</v>
      </c>
      <c r="I316">
        <v>40001</v>
      </c>
      <c r="J316">
        <v>120000</v>
      </c>
    </row>
    <row r="317" spans="2:10" x14ac:dyDescent="0.25">
      <c r="B317" t="s">
        <v>709</v>
      </c>
      <c r="C317">
        <v>1.2909999999999999</v>
      </c>
      <c r="D317">
        <v>1.5169999999999999</v>
      </c>
      <c r="E317">
        <v>6.953E-3</v>
      </c>
      <c r="F317">
        <v>2.6089999999999999E-2</v>
      </c>
      <c r="G317">
        <v>0.7792</v>
      </c>
      <c r="H317">
        <v>5.48</v>
      </c>
      <c r="I317">
        <v>40001</v>
      </c>
      <c r="J317">
        <v>120000</v>
      </c>
    </row>
    <row r="318" spans="2:10" x14ac:dyDescent="0.25">
      <c r="B318" t="s">
        <v>710</v>
      </c>
      <c r="C318">
        <v>2.2400000000000002</v>
      </c>
      <c r="D318">
        <v>1.6559999999999999</v>
      </c>
      <c r="E318">
        <v>9.4839999999999994E-3</v>
      </c>
      <c r="F318">
        <v>0.62780000000000002</v>
      </c>
      <c r="G318">
        <v>1.7210000000000001</v>
      </c>
      <c r="H318">
        <v>6.8479999999999999</v>
      </c>
      <c r="I318">
        <v>40001</v>
      </c>
      <c r="J318">
        <v>120000</v>
      </c>
    </row>
    <row r="319" spans="2:10" x14ac:dyDescent="0.25">
      <c r="B319" t="s">
        <v>711</v>
      </c>
      <c r="C319">
        <v>2.036</v>
      </c>
      <c r="D319">
        <v>1.724</v>
      </c>
      <c r="E319">
        <v>1.9089999999999999E-2</v>
      </c>
      <c r="F319">
        <v>0.1056</v>
      </c>
      <c r="G319">
        <v>1.593</v>
      </c>
      <c r="H319">
        <v>6.5510000000000002</v>
      </c>
      <c r="I319">
        <v>40001</v>
      </c>
      <c r="J319">
        <v>120000</v>
      </c>
    </row>
    <row r="320" spans="2:10" x14ac:dyDescent="0.25">
      <c r="B320" t="s">
        <v>712</v>
      </c>
      <c r="C320">
        <v>1.554</v>
      </c>
      <c r="D320">
        <v>1.5720000000000001</v>
      </c>
      <c r="E320">
        <v>9.9649999999999999E-3</v>
      </c>
      <c r="F320">
        <v>5.5359999999999999E-2</v>
      </c>
      <c r="G320">
        <v>1.083</v>
      </c>
      <c r="H320">
        <v>5.8819999999999997</v>
      </c>
      <c r="I320">
        <v>40001</v>
      </c>
      <c r="J320">
        <v>120000</v>
      </c>
    </row>
    <row r="321" spans="2:10" x14ac:dyDescent="0.25">
      <c r="B321" t="s">
        <v>713</v>
      </c>
      <c r="C321">
        <v>1.4019999999999999</v>
      </c>
      <c r="D321">
        <v>1.5469999999999999</v>
      </c>
      <c r="E321">
        <v>9.7370000000000009E-3</v>
      </c>
      <c r="F321">
        <v>3.1969999999999998E-2</v>
      </c>
      <c r="G321">
        <v>0.90259999999999996</v>
      </c>
      <c r="H321">
        <v>5.6859999999999999</v>
      </c>
      <c r="I321">
        <v>40001</v>
      </c>
      <c r="J321">
        <v>120000</v>
      </c>
    </row>
    <row r="322" spans="2:10" x14ac:dyDescent="0.25">
      <c r="B322" t="s">
        <v>714</v>
      </c>
      <c r="C322">
        <v>1.1719999999999999</v>
      </c>
      <c r="D322">
        <v>1.4710000000000001</v>
      </c>
      <c r="E322">
        <v>5.1060000000000003E-3</v>
      </c>
      <c r="F322">
        <v>1.823E-2</v>
      </c>
      <c r="G322">
        <v>0.6391</v>
      </c>
      <c r="H322">
        <v>5.3250000000000002</v>
      </c>
      <c r="I322">
        <v>40001</v>
      </c>
      <c r="J322">
        <v>120000</v>
      </c>
    </row>
    <row r="323" spans="2:10" x14ac:dyDescent="0.25">
      <c r="B323" t="s">
        <v>715</v>
      </c>
      <c r="C323">
        <v>1.2909999999999999</v>
      </c>
      <c r="D323">
        <v>1.502</v>
      </c>
      <c r="E323">
        <v>6.7130000000000002E-3</v>
      </c>
      <c r="F323">
        <v>3.3550000000000003E-2</v>
      </c>
      <c r="G323">
        <v>0.77449999999999997</v>
      </c>
      <c r="H323">
        <v>5.5039999999999996</v>
      </c>
      <c r="I323">
        <v>40001</v>
      </c>
      <c r="J323">
        <v>120000</v>
      </c>
    </row>
    <row r="324" spans="2:10" x14ac:dyDescent="0.25">
      <c r="B324" t="s">
        <v>716</v>
      </c>
      <c r="C324">
        <v>2.7389999999999999</v>
      </c>
      <c r="D324">
        <v>2.0329999999999999</v>
      </c>
      <c r="E324">
        <v>2.6919999999999999E-2</v>
      </c>
      <c r="F324">
        <v>0.17499999999999999</v>
      </c>
      <c r="G324">
        <v>2.327</v>
      </c>
      <c r="H324">
        <v>7.8230000000000004</v>
      </c>
      <c r="I324">
        <v>40001</v>
      </c>
      <c r="J324">
        <v>120000</v>
      </c>
    </row>
    <row r="325" spans="2:10" x14ac:dyDescent="0.25">
      <c r="B325" t="s">
        <v>717</v>
      </c>
      <c r="C325">
        <v>1.5169999999999999</v>
      </c>
      <c r="D325">
        <v>1.569</v>
      </c>
      <c r="E325">
        <v>1.24E-2</v>
      </c>
      <c r="F325">
        <v>4.3220000000000001E-2</v>
      </c>
      <c r="G325">
        <v>1.036</v>
      </c>
      <c r="H325">
        <v>5.8010000000000002</v>
      </c>
      <c r="I325">
        <v>40001</v>
      </c>
      <c r="J325">
        <v>120000</v>
      </c>
    </row>
    <row r="326" spans="2:10" x14ac:dyDescent="0.25">
      <c r="B326" t="s">
        <v>718</v>
      </c>
      <c r="C326">
        <v>1.2709999999999999</v>
      </c>
      <c r="D326">
        <v>1.4870000000000001</v>
      </c>
      <c r="E326">
        <v>7.1009999999999997E-3</v>
      </c>
      <c r="F326">
        <v>2.4510000000000001E-2</v>
      </c>
      <c r="G326">
        <v>0.76100000000000001</v>
      </c>
      <c r="H326">
        <v>5.4539999999999997</v>
      </c>
      <c r="I326">
        <v>40001</v>
      </c>
      <c r="J326">
        <v>120000</v>
      </c>
    </row>
    <row r="327" spans="2:10" x14ac:dyDescent="0.25">
      <c r="B327" t="s">
        <v>719</v>
      </c>
      <c r="C327">
        <v>1.242</v>
      </c>
      <c r="D327">
        <v>1.484</v>
      </c>
      <c r="E327">
        <v>6.0819999999999997E-3</v>
      </c>
      <c r="F327">
        <v>2.282E-2</v>
      </c>
      <c r="G327">
        <v>0.73180000000000001</v>
      </c>
      <c r="H327">
        <v>5.4290000000000003</v>
      </c>
      <c r="I327">
        <v>40001</v>
      </c>
      <c r="J327">
        <v>120000</v>
      </c>
    </row>
    <row r="328" spans="2:10" x14ac:dyDescent="0.25">
      <c r="B328" t="s">
        <v>720</v>
      </c>
      <c r="C328">
        <v>1.417</v>
      </c>
      <c r="D328">
        <v>1.5469999999999999</v>
      </c>
      <c r="E328">
        <v>1.124E-2</v>
      </c>
      <c r="F328">
        <v>3.1660000000000001E-2</v>
      </c>
      <c r="G328">
        <v>0.92849999999999999</v>
      </c>
      <c r="H328">
        <v>5.6719999999999997</v>
      </c>
      <c r="I328">
        <v>40001</v>
      </c>
      <c r="J328">
        <v>120000</v>
      </c>
    </row>
    <row r="329" spans="2:10" x14ac:dyDescent="0.25">
      <c r="B329" t="s">
        <v>721</v>
      </c>
      <c r="C329">
        <v>2.1829999999999998</v>
      </c>
      <c r="D329">
        <v>1.6459999999999999</v>
      </c>
      <c r="E329">
        <v>6.6959999999999997E-3</v>
      </c>
      <c r="F329">
        <v>0.69610000000000005</v>
      </c>
      <c r="G329">
        <v>1.6160000000000001</v>
      </c>
      <c r="H329">
        <v>6.83</v>
      </c>
      <c r="I329">
        <v>40001</v>
      </c>
      <c r="J329">
        <v>120000</v>
      </c>
    </row>
    <row r="330" spans="2:10" x14ac:dyDescent="0.25">
      <c r="B330" t="s">
        <v>722</v>
      </c>
      <c r="C330">
        <v>1.57</v>
      </c>
      <c r="D330">
        <v>1.5469999999999999</v>
      </c>
      <c r="E330">
        <v>9.8049999999999995E-3</v>
      </c>
      <c r="F330">
        <v>7.7240000000000003E-2</v>
      </c>
      <c r="G330">
        <v>1.1060000000000001</v>
      </c>
      <c r="H330">
        <v>5.859</v>
      </c>
      <c r="I330">
        <v>40001</v>
      </c>
      <c r="J330">
        <v>120000</v>
      </c>
    </row>
    <row r="331" spans="2:10" x14ac:dyDescent="0.25">
      <c r="B331" t="s">
        <v>723</v>
      </c>
      <c r="C331">
        <v>1.6020000000000001</v>
      </c>
      <c r="D331">
        <v>1.5680000000000001</v>
      </c>
      <c r="E331">
        <v>8.4169999999999991E-3</v>
      </c>
      <c r="F331">
        <v>0.1439</v>
      </c>
      <c r="G331">
        <v>1.0980000000000001</v>
      </c>
      <c r="H331">
        <v>6</v>
      </c>
      <c r="I331">
        <v>40001</v>
      </c>
      <c r="J331">
        <v>120000</v>
      </c>
    </row>
    <row r="332" spans="2:10" x14ac:dyDescent="0.25">
      <c r="B332" t="s">
        <v>724</v>
      </c>
      <c r="C332">
        <v>1.9470000000000001</v>
      </c>
      <c r="D332">
        <v>1.6419999999999999</v>
      </c>
      <c r="E332">
        <v>1.4930000000000001E-2</v>
      </c>
      <c r="F332">
        <v>0.13089999999999999</v>
      </c>
      <c r="G332">
        <v>1.528</v>
      </c>
      <c r="H332">
        <v>6.2939999999999996</v>
      </c>
      <c r="I332">
        <v>40001</v>
      </c>
      <c r="J332">
        <v>120000</v>
      </c>
    </row>
    <row r="333" spans="2:10" x14ac:dyDescent="0.25">
      <c r="B333" t="s">
        <v>725</v>
      </c>
      <c r="C333">
        <v>1.7170000000000001</v>
      </c>
      <c r="D333">
        <v>1.72</v>
      </c>
      <c r="E333">
        <v>1.907E-2</v>
      </c>
      <c r="F333">
        <v>4.6440000000000002E-2</v>
      </c>
      <c r="G333">
        <v>1.1910000000000001</v>
      </c>
      <c r="H333">
        <v>6.399</v>
      </c>
      <c r="I333">
        <v>40001</v>
      </c>
      <c r="J333">
        <v>120000</v>
      </c>
    </row>
    <row r="334" spans="2:10" x14ac:dyDescent="0.25">
      <c r="B334" t="s">
        <v>726</v>
      </c>
      <c r="C334">
        <v>8.1219999999999999</v>
      </c>
      <c r="D334">
        <v>0.96030000000000004</v>
      </c>
      <c r="E334">
        <v>1.839E-2</v>
      </c>
      <c r="F334">
        <v>6</v>
      </c>
      <c r="G334">
        <v>8</v>
      </c>
      <c r="H334">
        <v>9</v>
      </c>
      <c r="I334">
        <v>40001</v>
      </c>
      <c r="J334">
        <v>120000</v>
      </c>
    </row>
    <row r="335" spans="2:10" x14ac:dyDescent="0.25">
      <c r="B335" t="s">
        <v>727</v>
      </c>
      <c r="C335">
        <v>6.2229999999999999</v>
      </c>
      <c r="D335">
        <v>1.264</v>
      </c>
      <c r="E335">
        <v>2.4670000000000001E-2</v>
      </c>
      <c r="F335">
        <v>4</v>
      </c>
      <c r="G335">
        <v>6</v>
      </c>
      <c r="H335">
        <v>8</v>
      </c>
      <c r="I335">
        <v>40001</v>
      </c>
      <c r="J335">
        <v>120000</v>
      </c>
    </row>
    <row r="336" spans="2:10" x14ac:dyDescent="0.25">
      <c r="B336" t="s">
        <v>728</v>
      </c>
      <c r="C336">
        <v>3.6859999999999999</v>
      </c>
      <c r="D336">
        <v>1.3779999999999999</v>
      </c>
      <c r="E336">
        <v>3.0280000000000001E-2</v>
      </c>
      <c r="F336">
        <v>1</v>
      </c>
      <c r="G336">
        <v>4</v>
      </c>
      <c r="H336">
        <v>7</v>
      </c>
      <c r="I336">
        <v>40001</v>
      </c>
      <c r="J336">
        <v>120000</v>
      </c>
    </row>
    <row r="337" spans="1:10" x14ac:dyDescent="0.25">
      <c r="B337" t="s">
        <v>729</v>
      </c>
      <c r="C337">
        <v>4.4210000000000003</v>
      </c>
      <c r="D337">
        <v>2.13</v>
      </c>
      <c r="E337">
        <v>4.3799999999999999E-2</v>
      </c>
      <c r="F337">
        <v>1</v>
      </c>
      <c r="G337">
        <v>4</v>
      </c>
      <c r="H337">
        <v>9</v>
      </c>
      <c r="I337">
        <v>40001</v>
      </c>
      <c r="J337">
        <v>120000</v>
      </c>
    </row>
    <row r="338" spans="1:10" x14ac:dyDescent="0.25">
      <c r="B338" t="s">
        <v>730</v>
      </c>
      <c r="C338">
        <v>7.2809999999999997</v>
      </c>
      <c r="D338">
        <v>2.7589999999999999</v>
      </c>
      <c r="E338">
        <v>5.577E-2</v>
      </c>
      <c r="F338">
        <v>1</v>
      </c>
      <c r="G338">
        <v>8</v>
      </c>
      <c r="H338">
        <v>10</v>
      </c>
      <c r="I338">
        <v>40001</v>
      </c>
      <c r="J338">
        <v>120000</v>
      </c>
    </row>
    <row r="339" spans="1:10" x14ac:dyDescent="0.25">
      <c r="B339" t="s">
        <v>731</v>
      </c>
      <c r="C339">
        <v>3.355</v>
      </c>
      <c r="D339">
        <v>2.5750000000000002</v>
      </c>
      <c r="E339">
        <v>5.1950000000000003E-2</v>
      </c>
      <c r="F339">
        <v>1</v>
      </c>
      <c r="G339">
        <v>2</v>
      </c>
      <c r="H339">
        <v>10</v>
      </c>
      <c r="I339">
        <v>40001</v>
      </c>
      <c r="J339">
        <v>120000</v>
      </c>
    </row>
    <row r="340" spans="1:10" x14ac:dyDescent="0.25">
      <c r="B340" t="s">
        <v>732</v>
      </c>
      <c r="C340">
        <v>2.7149999999999999</v>
      </c>
      <c r="D340">
        <v>2.153</v>
      </c>
      <c r="E340">
        <v>3.7269999999999998E-2</v>
      </c>
      <c r="F340">
        <v>1</v>
      </c>
      <c r="G340">
        <v>2</v>
      </c>
      <c r="H340">
        <v>9</v>
      </c>
      <c r="I340">
        <v>40001</v>
      </c>
      <c r="J340">
        <v>120000</v>
      </c>
    </row>
    <row r="341" spans="1:10" x14ac:dyDescent="0.25">
      <c r="B341" t="s">
        <v>733</v>
      </c>
      <c r="C341">
        <v>4.1849999999999996</v>
      </c>
      <c r="D341">
        <v>2.468</v>
      </c>
      <c r="E341">
        <v>5.0450000000000002E-2</v>
      </c>
      <c r="F341">
        <v>1</v>
      </c>
      <c r="G341">
        <v>4</v>
      </c>
      <c r="H341">
        <v>10</v>
      </c>
      <c r="I341">
        <v>40001</v>
      </c>
      <c r="J341">
        <v>120000</v>
      </c>
    </row>
    <row r="342" spans="1:10" x14ac:dyDescent="0.25">
      <c r="B342" t="s">
        <v>734</v>
      </c>
      <c r="C342">
        <v>9.4760000000000009</v>
      </c>
      <c r="D342">
        <v>0.7782</v>
      </c>
      <c r="E342">
        <v>1.3469999999999999E-2</v>
      </c>
      <c r="F342">
        <v>7</v>
      </c>
      <c r="G342">
        <v>10</v>
      </c>
      <c r="H342">
        <v>10</v>
      </c>
      <c r="I342">
        <v>40001</v>
      </c>
      <c r="J342">
        <v>120000</v>
      </c>
    </row>
    <row r="343" spans="1:10" x14ac:dyDescent="0.25">
      <c r="B343" t="s">
        <v>735</v>
      </c>
      <c r="C343">
        <v>5.5359999999999996</v>
      </c>
      <c r="D343">
        <v>1.7450000000000001</v>
      </c>
      <c r="E343">
        <v>3.5920000000000001E-2</v>
      </c>
      <c r="F343">
        <v>2</v>
      </c>
      <c r="G343">
        <v>6</v>
      </c>
      <c r="H343">
        <v>9</v>
      </c>
      <c r="I343">
        <v>40001</v>
      </c>
      <c r="J343">
        <v>120000</v>
      </c>
    </row>
    <row r="344" spans="1:10" x14ac:dyDescent="0.25">
      <c r="B344" t="s">
        <v>812</v>
      </c>
      <c r="C344">
        <v>0.22919999999999999</v>
      </c>
      <c r="D344">
        <v>0.17369999999999999</v>
      </c>
      <c r="E344">
        <v>4.6020000000000002E-3</v>
      </c>
      <c r="F344">
        <v>7.7229999999999998E-3</v>
      </c>
      <c r="G344">
        <v>0.1958</v>
      </c>
      <c r="H344">
        <v>0.64080000000000004</v>
      </c>
      <c r="I344">
        <v>40001</v>
      </c>
      <c r="J344">
        <v>120000</v>
      </c>
    </row>
    <row r="345" spans="1:10" x14ac:dyDescent="0.25">
      <c r="B345" t="s">
        <v>736</v>
      </c>
      <c r="C345">
        <v>84.89</v>
      </c>
      <c r="D345">
        <v>11.19</v>
      </c>
      <c r="E345">
        <v>9.4969999999999999E-2</v>
      </c>
      <c r="F345">
        <v>64.86</v>
      </c>
      <c r="G345">
        <v>84.22</v>
      </c>
      <c r="H345">
        <v>108.6</v>
      </c>
      <c r="I345">
        <v>40001</v>
      </c>
      <c r="J345">
        <v>120000</v>
      </c>
    </row>
    <row r="346" spans="1:10" x14ac:dyDescent="0.25">
      <c r="A346" t="s">
        <v>737</v>
      </c>
    </row>
    <row r="348" spans="1:10" x14ac:dyDescent="0.25">
      <c r="A348" t="s">
        <v>738</v>
      </c>
    </row>
    <row r="349" spans="1:10" x14ac:dyDescent="0.25">
      <c r="A349" t="s">
        <v>739</v>
      </c>
    </row>
    <row r="350" spans="1:10" x14ac:dyDescent="0.25">
      <c r="B350" t="s">
        <v>740</v>
      </c>
      <c r="C350" t="s">
        <v>741</v>
      </c>
      <c r="D350" t="s">
        <v>742</v>
      </c>
      <c r="E350" t="s">
        <v>738</v>
      </c>
    </row>
    <row r="351" spans="1:10" x14ac:dyDescent="0.25">
      <c r="A351" t="s">
        <v>743</v>
      </c>
      <c r="B351">
        <v>311.86200000000002</v>
      </c>
      <c r="C351">
        <v>256.58600000000001</v>
      </c>
      <c r="D351">
        <v>55.276000000000003</v>
      </c>
      <c r="E351">
        <v>367.137</v>
      </c>
    </row>
    <row r="352" spans="1:10" x14ac:dyDescent="0.25">
      <c r="A352" t="s">
        <v>744</v>
      </c>
      <c r="B352">
        <v>311.86200000000002</v>
      </c>
      <c r="C352">
        <v>256.58600000000001</v>
      </c>
      <c r="D352">
        <v>55.276000000000003</v>
      </c>
      <c r="E352">
        <v>367.137</v>
      </c>
    </row>
    <row r="353" spans="1:1" x14ac:dyDescent="0.25">
      <c r="A353" t="s">
        <v>745</v>
      </c>
    </row>
    <row r="355" spans="1:1" x14ac:dyDescent="0.25">
      <c r="A355" t="s">
        <v>746</v>
      </c>
    </row>
    <row r="357" spans="1:1" x14ac:dyDescent="0.25">
      <c r="A357" t="s">
        <v>747</v>
      </c>
    </row>
    <row r="359" spans="1:1" x14ac:dyDescent="0.25">
      <c r="A359" t="s">
        <v>748</v>
      </c>
    </row>
    <row r="361" spans="1:1" x14ac:dyDescent="0.25">
      <c r="A361" t="s">
        <v>885</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61"/>
  <sheetViews>
    <sheetView showGridLines="0" topLeftCell="A31" workbookViewId="0">
      <selection activeCell="L16" sqref="L16"/>
    </sheetView>
  </sheetViews>
  <sheetFormatPr defaultRowHeight="15" x14ac:dyDescent="0.25"/>
  <sheetData>
    <row r="1" spans="1:1" hidden="1" x14ac:dyDescent="0.25">
      <c r="A1" t="s">
        <v>394</v>
      </c>
    </row>
    <row r="2" spans="1:1" hidden="1" x14ac:dyDescent="0.25">
      <c r="A2" t="s">
        <v>806</v>
      </c>
    </row>
    <row r="3" spans="1:1" hidden="1" x14ac:dyDescent="0.25">
      <c r="A3" t="s">
        <v>401</v>
      </c>
    </row>
    <row r="4" spans="1:1" hidden="1" x14ac:dyDescent="0.25">
      <c r="A4" t="s">
        <v>402</v>
      </c>
    </row>
    <row r="5" spans="1:1" hidden="1" x14ac:dyDescent="0.25">
      <c r="A5" t="s">
        <v>403</v>
      </c>
    </row>
    <row r="6" spans="1:1" hidden="1" x14ac:dyDescent="0.25">
      <c r="A6" t="s">
        <v>404</v>
      </c>
    </row>
    <row r="7" spans="1:1" hidden="1" x14ac:dyDescent="0.25">
      <c r="A7" t="s">
        <v>403</v>
      </c>
    </row>
    <row r="8" spans="1:1" hidden="1" x14ac:dyDescent="0.25">
      <c r="A8" t="s">
        <v>21</v>
      </c>
    </row>
    <row r="9" spans="1:1" hidden="1" x14ac:dyDescent="0.25">
      <c r="A9" t="s">
        <v>405</v>
      </c>
    </row>
    <row r="10" spans="1:1" hidden="1" x14ac:dyDescent="0.25">
      <c r="A10" t="s">
        <v>807</v>
      </c>
    </row>
    <row r="11" spans="1:1" hidden="1" x14ac:dyDescent="0.25">
      <c r="A11" t="s">
        <v>808</v>
      </c>
    </row>
    <row r="12" spans="1:1" hidden="1" x14ac:dyDescent="0.25">
      <c r="A12" t="s">
        <v>809</v>
      </c>
    </row>
    <row r="13" spans="1:1" hidden="1" x14ac:dyDescent="0.25">
      <c r="A13" t="s">
        <v>808</v>
      </c>
    </row>
    <row r="14" spans="1:1" hidden="1" x14ac:dyDescent="0.25">
      <c r="A14" t="s">
        <v>810</v>
      </c>
    </row>
    <row r="15" spans="1:1" hidden="1" x14ac:dyDescent="0.25">
      <c r="A15" t="s">
        <v>808</v>
      </c>
    </row>
    <row r="16" spans="1:1" hidden="1" x14ac:dyDescent="0.25">
      <c r="A16" t="s">
        <v>23</v>
      </c>
    </row>
    <row r="17" spans="1:1" hidden="1" x14ac:dyDescent="0.25">
      <c r="A17" t="s">
        <v>811</v>
      </c>
    </row>
    <row r="18" spans="1:1" hidden="1" x14ac:dyDescent="0.25">
      <c r="A18" t="s">
        <v>398</v>
      </c>
    </row>
    <row r="19" spans="1:1" hidden="1" x14ac:dyDescent="0.25">
      <c r="A19" t="s">
        <v>411</v>
      </c>
    </row>
    <row r="20" spans="1:1" hidden="1" x14ac:dyDescent="0.25">
      <c r="A20" t="s">
        <v>412</v>
      </c>
    </row>
    <row r="21" spans="1:1" hidden="1" x14ac:dyDescent="0.25">
      <c r="A21" t="s">
        <v>413</v>
      </c>
    </row>
    <row r="22" spans="1:1" hidden="1" x14ac:dyDescent="0.25">
      <c r="A22" t="s">
        <v>414</v>
      </c>
    </row>
    <row r="23" spans="1:1" hidden="1" x14ac:dyDescent="0.25">
      <c r="A23" t="s">
        <v>415</v>
      </c>
    </row>
    <row r="24" spans="1:1" hidden="1" x14ac:dyDescent="0.25">
      <c r="A24" t="s">
        <v>416</v>
      </c>
    </row>
    <row r="25" spans="1:1" hidden="1" x14ac:dyDescent="0.25">
      <c r="A25" t="s">
        <v>417</v>
      </c>
    </row>
    <row r="26" spans="1:1" hidden="1" x14ac:dyDescent="0.25">
      <c r="A26" t="s">
        <v>197</v>
      </c>
    </row>
    <row r="27" spans="1:1" hidden="1" x14ac:dyDescent="0.25">
      <c r="A27" t="s">
        <v>199</v>
      </c>
    </row>
    <row r="28" spans="1:1" hidden="1" x14ac:dyDescent="0.25">
      <c r="A28" t="s">
        <v>261</v>
      </c>
    </row>
    <row r="29" spans="1:1" hidden="1" x14ac:dyDescent="0.25">
      <c r="A29" t="s">
        <v>398</v>
      </c>
    </row>
    <row r="30" spans="1:1" hidden="1" x14ac:dyDescent="0.25">
      <c r="A30" t="s">
        <v>399</v>
      </c>
    </row>
    <row r="32" spans="1:1" x14ac:dyDescent="0.25">
      <c r="A32" t="s">
        <v>418</v>
      </c>
    </row>
    <row r="33" spans="2:10" x14ac:dyDescent="0.25">
      <c r="B33" t="s">
        <v>419</v>
      </c>
      <c r="C33" t="s">
        <v>420</v>
      </c>
      <c r="D33" t="s">
        <v>421</v>
      </c>
      <c r="E33" t="s">
        <v>422</v>
      </c>
      <c r="F33" s="12">
        <v>2.5000000000000001E-2</v>
      </c>
      <c r="G33" t="s">
        <v>423</v>
      </c>
      <c r="H33" s="12">
        <v>0.97499999999999998</v>
      </c>
      <c r="I33" t="s">
        <v>424</v>
      </c>
      <c r="J33" t="s">
        <v>425</v>
      </c>
    </row>
    <row r="34" spans="2:10" x14ac:dyDescent="0.25">
      <c r="B34" t="s">
        <v>426</v>
      </c>
      <c r="C34">
        <v>0.70099999999999996</v>
      </c>
      <c r="D34">
        <v>0.19189999999999999</v>
      </c>
      <c r="E34">
        <v>5.4050000000000001E-3</v>
      </c>
      <c r="F34">
        <v>0.40429999999999999</v>
      </c>
      <c r="G34">
        <v>0.67700000000000005</v>
      </c>
      <c r="H34">
        <v>1.159</v>
      </c>
      <c r="I34">
        <v>40001</v>
      </c>
      <c r="J34">
        <v>120000</v>
      </c>
    </row>
    <row r="35" spans="2:10" x14ac:dyDescent="0.25">
      <c r="B35" t="s">
        <v>427</v>
      </c>
      <c r="C35">
        <v>0.42459999999999998</v>
      </c>
      <c r="D35">
        <v>0.13880000000000001</v>
      </c>
      <c r="E35">
        <v>3.7750000000000001E-3</v>
      </c>
      <c r="F35">
        <v>0.2147</v>
      </c>
      <c r="G35">
        <v>0.40460000000000002</v>
      </c>
      <c r="H35">
        <v>0.75170000000000003</v>
      </c>
      <c r="I35">
        <v>40001</v>
      </c>
      <c r="J35">
        <v>120000</v>
      </c>
    </row>
    <row r="36" spans="2:10" x14ac:dyDescent="0.25">
      <c r="B36" t="s">
        <v>428</v>
      </c>
      <c r="C36">
        <v>0.52149999999999996</v>
      </c>
      <c r="D36">
        <v>0.2863</v>
      </c>
      <c r="E36">
        <v>7.0559999999999998E-3</v>
      </c>
      <c r="F36">
        <v>0.17080000000000001</v>
      </c>
      <c r="G36">
        <v>0.45579999999999998</v>
      </c>
      <c r="H36">
        <v>1.2649999999999999</v>
      </c>
      <c r="I36">
        <v>40001</v>
      </c>
      <c r="J36">
        <v>120000</v>
      </c>
    </row>
    <row r="37" spans="2:10" x14ac:dyDescent="0.25">
      <c r="B37" t="s">
        <v>429</v>
      </c>
      <c r="C37">
        <v>1.6080000000000001</v>
      </c>
      <c r="D37">
        <v>3.56</v>
      </c>
      <c r="E37">
        <v>9.1639999999999999E-2</v>
      </c>
      <c r="F37">
        <v>0.1658</v>
      </c>
      <c r="G37">
        <v>0.996</v>
      </c>
      <c r="H37">
        <v>6.3949999999999996</v>
      </c>
      <c r="I37">
        <v>40001</v>
      </c>
      <c r="J37">
        <v>120000</v>
      </c>
    </row>
    <row r="38" spans="2:10" x14ac:dyDescent="0.25">
      <c r="B38" t="s">
        <v>430</v>
      </c>
      <c r="C38">
        <v>0.432</v>
      </c>
      <c r="D38">
        <v>0.44929999999999998</v>
      </c>
      <c r="E38">
        <v>9.606E-3</v>
      </c>
      <c r="F38">
        <v>5.7520000000000002E-2</v>
      </c>
      <c r="G38">
        <v>0.30570000000000003</v>
      </c>
      <c r="H38">
        <v>1.554</v>
      </c>
      <c r="I38">
        <v>40001</v>
      </c>
      <c r="J38">
        <v>120000</v>
      </c>
    </row>
    <row r="39" spans="2:10" x14ac:dyDescent="0.25">
      <c r="B39" t="s">
        <v>431</v>
      </c>
      <c r="C39">
        <v>0.3382</v>
      </c>
      <c r="D39">
        <v>0.31130000000000002</v>
      </c>
      <c r="E39">
        <v>6.5929999999999999E-3</v>
      </c>
      <c r="F39">
        <v>4.7169999999999997E-2</v>
      </c>
      <c r="G39">
        <v>0.2492</v>
      </c>
      <c r="H39">
        <v>1.159</v>
      </c>
      <c r="I39">
        <v>40001</v>
      </c>
      <c r="J39">
        <v>120000</v>
      </c>
    </row>
    <row r="40" spans="2:10" x14ac:dyDescent="0.25">
      <c r="B40" t="s">
        <v>432</v>
      </c>
      <c r="C40">
        <v>0.52380000000000004</v>
      </c>
      <c r="D40">
        <v>0.36280000000000001</v>
      </c>
      <c r="E40">
        <v>8.8769999999999995E-3</v>
      </c>
      <c r="F40">
        <v>0.1125</v>
      </c>
      <c r="G40">
        <v>0.43109999999999998</v>
      </c>
      <c r="H40">
        <v>1.47</v>
      </c>
      <c r="I40">
        <v>40001</v>
      </c>
      <c r="J40">
        <v>120000</v>
      </c>
    </row>
    <row r="41" spans="2:10" x14ac:dyDescent="0.25">
      <c r="B41" t="s">
        <v>433</v>
      </c>
      <c r="C41">
        <v>1.5980000000000001</v>
      </c>
      <c r="D41">
        <v>0.44450000000000001</v>
      </c>
      <c r="E41">
        <v>1.038E-2</v>
      </c>
      <c r="F41">
        <v>0.91080000000000005</v>
      </c>
      <c r="G41">
        <v>1.5389999999999999</v>
      </c>
      <c r="H41">
        <v>2.6389999999999998</v>
      </c>
      <c r="I41">
        <v>40001</v>
      </c>
      <c r="J41">
        <v>120000</v>
      </c>
    </row>
    <row r="42" spans="2:10" x14ac:dyDescent="0.25">
      <c r="B42" t="s">
        <v>434</v>
      </c>
      <c r="C42">
        <v>0.6361</v>
      </c>
      <c r="D42">
        <v>0.22270000000000001</v>
      </c>
      <c r="E42">
        <v>5.7670000000000004E-3</v>
      </c>
      <c r="F42">
        <v>0.3009</v>
      </c>
      <c r="G42">
        <v>0.59970000000000001</v>
      </c>
      <c r="H42">
        <v>1.1579999999999999</v>
      </c>
      <c r="I42">
        <v>40001</v>
      </c>
      <c r="J42">
        <v>120000</v>
      </c>
    </row>
    <row r="43" spans="2:10" x14ac:dyDescent="0.25">
      <c r="B43" t="s">
        <v>435</v>
      </c>
      <c r="C43">
        <v>0.63239999999999996</v>
      </c>
      <c r="D43">
        <v>0.22320000000000001</v>
      </c>
      <c r="E43">
        <v>5.8950000000000001E-3</v>
      </c>
      <c r="F43">
        <v>0.30230000000000001</v>
      </c>
      <c r="G43">
        <v>0.59770000000000001</v>
      </c>
      <c r="H43">
        <v>1.17</v>
      </c>
      <c r="I43">
        <v>40001</v>
      </c>
      <c r="J43">
        <v>120000</v>
      </c>
    </row>
    <row r="44" spans="2:10" x14ac:dyDescent="0.25">
      <c r="B44" t="s">
        <v>436</v>
      </c>
      <c r="C44">
        <v>0.78159999999999996</v>
      </c>
      <c r="D44">
        <v>0.45279999999999998</v>
      </c>
      <c r="E44">
        <v>1.0959999999999999E-2</v>
      </c>
      <c r="F44">
        <v>0.23760000000000001</v>
      </c>
      <c r="G44">
        <v>0.67930000000000001</v>
      </c>
      <c r="H44">
        <v>1.9610000000000001</v>
      </c>
      <c r="I44">
        <v>40001</v>
      </c>
      <c r="J44">
        <v>120000</v>
      </c>
    </row>
    <row r="45" spans="2:10" x14ac:dyDescent="0.25">
      <c r="B45" t="s">
        <v>437</v>
      </c>
      <c r="C45">
        <v>2.2450000000000001</v>
      </c>
      <c r="D45">
        <v>3.5019999999999998</v>
      </c>
      <c r="E45">
        <v>8.8520000000000001E-2</v>
      </c>
      <c r="F45">
        <v>0.26729999999999998</v>
      </c>
      <c r="G45">
        <v>1.4770000000000001</v>
      </c>
      <c r="H45">
        <v>8.6639999999999997</v>
      </c>
      <c r="I45">
        <v>40001</v>
      </c>
      <c r="J45">
        <v>120000</v>
      </c>
    </row>
    <row r="46" spans="2:10" x14ac:dyDescent="0.25">
      <c r="B46" t="s">
        <v>438</v>
      </c>
      <c r="C46">
        <v>0.64410000000000001</v>
      </c>
      <c r="D46">
        <v>0.67730000000000001</v>
      </c>
      <c r="E46">
        <v>1.439E-2</v>
      </c>
      <c r="F46">
        <v>8.4199999999999997E-2</v>
      </c>
      <c r="G46">
        <v>0.45519999999999999</v>
      </c>
      <c r="H46">
        <v>2.3130000000000002</v>
      </c>
      <c r="I46">
        <v>40001</v>
      </c>
      <c r="J46">
        <v>120000</v>
      </c>
    </row>
    <row r="47" spans="2:10" x14ac:dyDescent="0.25">
      <c r="B47" t="s">
        <v>439</v>
      </c>
      <c r="C47">
        <v>0.48149999999999998</v>
      </c>
      <c r="D47">
        <v>0.40460000000000002</v>
      </c>
      <c r="E47">
        <v>8.4180000000000001E-3</v>
      </c>
      <c r="F47">
        <v>7.5749999999999998E-2</v>
      </c>
      <c r="G47">
        <v>0.37019999999999997</v>
      </c>
      <c r="H47">
        <v>1.544</v>
      </c>
      <c r="I47">
        <v>40001</v>
      </c>
      <c r="J47">
        <v>120000</v>
      </c>
    </row>
    <row r="48" spans="2:10" x14ac:dyDescent="0.25">
      <c r="B48" t="s">
        <v>440</v>
      </c>
      <c r="C48">
        <v>0.74960000000000004</v>
      </c>
      <c r="D48">
        <v>0.46839999999999998</v>
      </c>
      <c r="E48">
        <v>1.038E-2</v>
      </c>
      <c r="F48">
        <v>0.18690000000000001</v>
      </c>
      <c r="G48">
        <v>0.64149999999999996</v>
      </c>
      <c r="H48">
        <v>1.9219999999999999</v>
      </c>
      <c r="I48">
        <v>40001</v>
      </c>
      <c r="J48">
        <v>120000</v>
      </c>
    </row>
    <row r="49" spans="2:10" x14ac:dyDescent="0.25">
      <c r="B49" t="s">
        <v>441</v>
      </c>
      <c r="C49">
        <v>2.4319999999999999</v>
      </c>
      <c r="D49">
        <v>0.91020000000000001</v>
      </c>
      <c r="E49">
        <v>2.3269999999999999E-2</v>
      </c>
      <c r="F49">
        <v>1.117</v>
      </c>
      <c r="G49">
        <v>2.2789999999999999</v>
      </c>
      <c r="H49">
        <v>4.6120000000000001</v>
      </c>
      <c r="I49">
        <v>40001</v>
      </c>
      <c r="J49">
        <v>120000</v>
      </c>
    </row>
    <row r="50" spans="2:10" x14ac:dyDescent="0.25">
      <c r="B50" t="s">
        <v>442</v>
      </c>
      <c r="C50">
        <v>0.9365</v>
      </c>
      <c r="D50">
        <v>0.31919999999999998</v>
      </c>
      <c r="E50">
        <v>7.7790000000000003E-3</v>
      </c>
      <c r="F50">
        <v>0.46200000000000002</v>
      </c>
      <c r="G50">
        <v>0.88800000000000001</v>
      </c>
      <c r="H50">
        <v>1.7010000000000001</v>
      </c>
      <c r="I50">
        <v>40001</v>
      </c>
      <c r="J50">
        <v>120000</v>
      </c>
    </row>
    <row r="51" spans="2:10" x14ac:dyDescent="0.25">
      <c r="B51" t="s">
        <v>443</v>
      </c>
      <c r="C51">
        <v>1.254</v>
      </c>
      <c r="D51">
        <v>0.59130000000000005</v>
      </c>
      <c r="E51">
        <v>1.3820000000000001E-2</v>
      </c>
      <c r="F51">
        <v>0.47939999999999999</v>
      </c>
      <c r="G51">
        <v>1.131</v>
      </c>
      <c r="H51">
        <v>2.7639999999999998</v>
      </c>
      <c r="I51">
        <v>40001</v>
      </c>
      <c r="J51">
        <v>120000</v>
      </c>
    </row>
    <row r="52" spans="2:10" x14ac:dyDescent="0.25">
      <c r="B52" t="s">
        <v>444</v>
      </c>
      <c r="C52">
        <v>3.9409999999999998</v>
      </c>
      <c r="D52">
        <v>5.9370000000000003</v>
      </c>
      <c r="E52">
        <v>0.14299999999999999</v>
      </c>
      <c r="F52">
        <v>0.38940000000000002</v>
      </c>
      <c r="G52">
        <v>2.4630000000000001</v>
      </c>
      <c r="H52">
        <v>16.14</v>
      </c>
      <c r="I52">
        <v>40001</v>
      </c>
      <c r="J52">
        <v>120000</v>
      </c>
    </row>
    <row r="53" spans="2:10" x14ac:dyDescent="0.25">
      <c r="B53" t="s">
        <v>445</v>
      </c>
      <c r="C53">
        <v>1.0249999999999999</v>
      </c>
      <c r="D53">
        <v>0.98119999999999996</v>
      </c>
      <c r="E53">
        <v>2.0820000000000002E-2</v>
      </c>
      <c r="F53">
        <v>0.16400000000000001</v>
      </c>
      <c r="G53">
        <v>0.75929999999999997</v>
      </c>
      <c r="H53">
        <v>3.4660000000000002</v>
      </c>
      <c r="I53">
        <v>40001</v>
      </c>
      <c r="J53">
        <v>120000</v>
      </c>
    </row>
    <row r="54" spans="2:10" x14ac:dyDescent="0.25">
      <c r="B54" t="s">
        <v>446</v>
      </c>
      <c r="C54">
        <v>0.85570000000000002</v>
      </c>
      <c r="D54">
        <v>0.83450000000000002</v>
      </c>
      <c r="E54">
        <v>1.7170000000000001E-2</v>
      </c>
      <c r="F54">
        <v>0.1114</v>
      </c>
      <c r="G54">
        <v>0.62260000000000004</v>
      </c>
      <c r="H54">
        <v>3.0129999999999999</v>
      </c>
      <c r="I54">
        <v>40001</v>
      </c>
      <c r="J54">
        <v>120000</v>
      </c>
    </row>
    <row r="55" spans="2:10" x14ac:dyDescent="0.25">
      <c r="B55" t="s">
        <v>447</v>
      </c>
      <c r="C55">
        <v>1.329</v>
      </c>
      <c r="D55">
        <v>0.99650000000000005</v>
      </c>
      <c r="E55">
        <v>2.3E-2</v>
      </c>
      <c r="F55">
        <v>0.2606</v>
      </c>
      <c r="G55">
        <v>1.0780000000000001</v>
      </c>
      <c r="H55">
        <v>3.847</v>
      </c>
      <c r="I55">
        <v>40001</v>
      </c>
      <c r="J55">
        <v>120000</v>
      </c>
    </row>
    <row r="56" spans="2:10" x14ac:dyDescent="0.25">
      <c r="B56" t="s">
        <v>448</v>
      </c>
      <c r="C56">
        <v>4.1050000000000004</v>
      </c>
      <c r="D56">
        <v>1.6220000000000001</v>
      </c>
      <c r="E56">
        <v>4.3540000000000002E-2</v>
      </c>
      <c r="F56">
        <v>1.804</v>
      </c>
      <c r="G56">
        <v>3.8279999999999998</v>
      </c>
      <c r="H56">
        <v>8.0459999999999994</v>
      </c>
      <c r="I56">
        <v>40001</v>
      </c>
      <c r="J56">
        <v>120000</v>
      </c>
    </row>
    <row r="57" spans="2:10" x14ac:dyDescent="0.25">
      <c r="B57" t="s">
        <v>449</v>
      </c>
      <c r="C57">
        <v>1.6020000000000001</v>
      </c>
      <c r="D57">
        <v>0.65010000000000001</v>
      </c>
      <c r="E57">
        <v>1.6969999999999999E-2</v>
      </c>
      <c r="F57">
        <v>0.68769999999999998</v>
      </c>
      <c r="G57">
        <v>1.4870000000000001</v>
      </c>
      <c r="H57">
        <v>3.177</v>
      </c>
      <c r="I57">
        <v>40001</v>
      </c>
      <c r="J57">
        <v>120000</v>
      </c>
    </row>
    <row r="58" spans="2:10" x14ac:dyDescent="0.25">
      <c r="B58" t="s">
        <v>450</v>
      </c>
      <c r="C58">
        <v>3.835</v>
      </c>
      <c r="D58">
        <v>7.4459999999999997</v>
      </c>
      <c r="E58">
        <v>0.1855</v>
      </c>
      <c r="F58">
        <v>0.28660000000000002</v>
      </c>
      <c r="G58">
        <v>2.1629999999999998</v>
      </c>
      <c r="H58">
        <v>17.579999999999998</v>
      </c>
      <c r="I58">
        <v>40001</v>
      </c>
      <c r="J58">
        <v>120000</v>
      </c>
    </row>
    <row r="59" spans="2:10" x14ac:dyDescent="0.25">
      <c r="B59" t="s">
        <v>451</v>
      </c>
      <c r="C59">
        <v>0.99009999999999998</v>
      </c>
      <c r="D59">
        <v>1.143</v>
      </c>
      <c r="E59">
        <v>2.3810000000000001E-2</v>
      </c>
      <c r="F59">
        <v>0.1147</v>
      </c>
      <c r="G59">
        <v>0.67069999999999996</v>
      </c>
      <c r="H59">
        <v>3.7709999999999999</v>
      </c>
      <c r="I59">
        <v>40001</v>
      </c>
      <c r="J59">
        <v>120000</v>
      </c>
    </row>
    <row r="60" spans="2:10" x14ac:dyDescent="0.25">
      <c r="B60" t="s">
        <v>452</v>
      </c>
      <c r="C60">
        <v>0.81840000000000002</v>
      </c>
      <c r="D60">
        <v>0.98880000000000001</v>
      </c>
      <c r="E60">
        <v>1.9210000000000001E-2</v>
      </c>
      <c r="F60">
        <v>8.2089999999999996E-2</v>
      </c>
      <c r="G60">
        <v>0.5423</v>
      </c>
      <c r="H60">
        <v>3.23</v>
      </c>
      <c r="I60">
        <v>40001</v>
      </c>
      <c r="J60">
        <v>120000</v>
      </c>
    </row>
    <row r="61" spans="2:10" x14ac:dyDescent="0.25">
      <c r="B61" t="s">
        <v>453</v>
      </c>
      <c r="C61">
        <v>1.2729999999999999</v>
      </c>
      <c r="D61">
        <v>1.204</v>
      </c>
      <c r="E61">
        <v>2.7560000000000001E-2</v>
      </c>
      <c r="F61">
        <v>0.189</v>
      </c>
      <c r="G61">
        <v>0.94430000000000003</v>
      </c>
      <c r="H61">
        <v>4.2880000000000003</v>
      </c>
      <c r="I61">
        <v>40001</v>
      </c>
      <c r="J61">
        <v>120000</v>
      </c>
    </row>
    <row r="62" spans="2:10" x14ac:dyDescent="0.25">
      <c r="B62" t="s">
        <v>454</v>
      </c>
      <c r="C62">
        <v>3.9119999999999999</v>
      </c>
      <c r="D62">
        <v>2.323</v>
      </c>
      <c r="E62">
        <v>5.6219999999999999E-2</v>
      </c>
      <c r="F62">
        <v>1.1160000000000001</v>
      </c>
      <c r="G62">
        <v>3.3610000000000002</v>
      </c>
      <c r="H62">
        <v>10.029999999999999</v>
      </c>
      <c r="I62">
        <v>40001</v>
      </c>
      <c r="J62">
        <v>120000</v>
      </c>
    </row>
    <row r="63" spans="2:10" x14ac:dyDescent="0.25">
      <c r="B63" t="s">
        <v>455</v>
      </c>
      <c r="C63">
        <v>1.532</v>
      </c>
      <c r="D63">
        <v>0.94689999999999996</v>
      </c>
      <c r="E63">
        <v>2.264E-2</v>
      </c>
      <c r="F63">
        <v>0.433</v>
      </c>
      <c r="G63">
        <v>1.304</v>
      </c>
      <c r="H63">
        <v>4.032</v>
      </c>
      <c r="I63">
        <v>40001</v>
      </c>
      <c r="J63">
        <v>120000</v>
      </c>
    </row>
    <row r="64" spans="2:10" x14ac:dyDescent="0.25">
      <c r="B64" t="s">
        <v>456</v>
      </c>
      <c r="C64">
        <v>0.64800000000000002</v>
      </c>
      <c r="D64">
        <v>1.244</v>
      </c>
      <c r="E64">
        <v>2.445E-2</v>
      </c>
      <c r="F64">
        <v>2.8400000000000002E-2</v>
      </c>
      <c r="G64">
        <v>0.30459999999999998</v>
      </c>
      <c r="H64">
        <v>3.3439999999999999</v>
      </c>
      <c r="I64">
        <v>40001</v>
      </c>
      <c r="J64">
        <v>120000</v>
      </c>
    </row>
    <row r="65" spans="2:10" x14ac:dyDescent="0.25">
      <c r="B65" t="s">
        <v>457</v>
      </c>
      <c r="C65">
        <v>0.4652</v>
      </c>
      <c r="D65">
        <v>0.72440000000000004</v>
      </c>
      <c r="E65">
        <v>1.3979999999999999E-2</v>
      </c>
      <c r="F65">
        <v>2.3630000000000002E-2</v>
      </c>
      <c r="G65">
        <v>0.247</v>
      </c>
      <c r="H65">
        <v>2.2400000000000002</v>
      </c>
      <c r="I65">
        <v>40001</v>
      </c>
      <c r="J65">
        <v>120000</v>
      </c>
    </row>
    <row r="66" spans="2:10" x14ac:dyDescent="0.25">
      <c r="B66" t="s">
        <v>458</v>
      </c>
      <c r="C66">
        <v>0.75239999999999996</v>
      </c>
      <c r="D66">
        <v>1.181</v>
      </c>
      <c r="E66">
        <v>2.6939999999999999E-2</v>
      </c>
      <c r="F66">
        <v>5.5030000000000003E-2</v>
      </c>
      <c r="G66">
        <v>0.42859999999999998</v>
      </c>
      <c r="H66">
        <v>3.3290000000000002</v>
      </c>
      <c r="I66">
        <v>40001</v>
      </c>
      <c r="J66">
        <v>120000</v>
      </c>
    </row>
    <row r="67" spans="2:10" x14ac:dyDescent="0.25">
      <c r="B67" t="s">
        <v>459</v>
      </c>
      <c r="C67">
        <v>2.407</v>
      </c>
      <c r="D67">
        <v>2.9489999999999998</v>
      </c>
      <c r="E67">
        <v>6.7769999999999997E-2</v>
      </c>
      <c r="F67">
        <v>0.2286</v>
      </c>
      <c r="G67">
        <v>1.5409999999999999</v>
      </c>
      <c r="H67">
        <v>10.01</v>
      </c>
      <c r="I67">
        <v>40001</v>
      </c>
      <c r="J67">
        <v>120000</v>
      </c>
    </row>
    <row r="68" spans="2:10" x14ac:dyDescent="0.25">
      <c r="B68" t="s">
        <v>460</v>
      </c>
      <c r="C68">
        <v>0.9395</v>
      </c>
      <c r="D68">
        <v>1.1539999999999999</v>
      </c>
      <c r="E68">
        <v>2.666E-2</v>
      </c>
      <c r="F68">
        <v>9.0050000000000005E-2</v>
      </c>
      <c r="G68">
        <v>0.6048</v>
      </c>
      <c r="H68">
        <v>3.8530000000000002</v>
      </c>
      <c r="I68">
        <v>40001</v>
      </c>
      <c r="J68">
        <v>120000</v>
      </c>
    </row>
    <row r="69" spans="2:10" x14ac:dyDescent="0.25">
      <c r="B69" t="s">
        <v>461</v>
      </c>
      <c r="C69">
        <v>1.544</v>
      </c>
      <c r="D69">
        <v>2.5329999999999999</v>
      </c>
      <c r="E69">
        <v>5.432E-2</v>
      </c>
      <c r="F69">
        <v>8.6639999999999995E-2</v>
      </c>
      <c r="G69">
        <v>0.80700000000000005</v>
      </c>
      <c r="H69">
        <v>7.6219999999999999</v>
      </c>
      <c r="I69">
        <v>40001</v>
      </c>
      <c r="J69">
        <v>120000</v>
      </c>
    </row>
    <row r="70" spans="2:10" x14ac:dyDescent="0.25">
      <c r="B70" t="s">
        <v>462</v>
      </c>
      <c r="C70">
        <v>2.3959999999999999</v>
      </c>
      <c r="D70">
        <v>3.44</v>
      </c>
      <c r="E70">
        <v>8.4790000000000004E-2</v>
      </c>
      <c r="F70">
        <v>0.18440000000000001</v>
      </c>
      <c r="G70">
        <v>1.3859999999999999</v>
      </c>
      <c r="H70">
        <v>10.85</v>
      </c>
      <c r="I70">
        <v>40001</v>
      </c>
      <c r="J70">
        <v>120000</v>
      </c>
    </row>
    <row r="71" spans="2:10" x14ac:dyDescent="0.25">
      <c r="B71" t="s">
        <v>463</v>
      </c>
      <c r="C71">
        <v>7.29</v>
      </c>
      <c r="D71">
        <v>7.7850000000000001</v>
      </c>
      <c r="E71">
        <v>0.17150000000000001</v>
      </c>
      <c r="F71">
        <v>0.9556</v>
      </c>
      <c r="G71">
        <v>5.0369999999999999</v>
      </c>
      <c r="H71">
        <v>28.3</v>
      </c>
      <c r="I71">
        <v>40001</v>
      </c>
      <c r="J71">
        <v>120000</v>
      </c>
    </row>
    <row r="72" spans="2:10" x14ac:dyDescent="0.25">
      <c r="B72" t="s">
        <v>464</v>
      </c>
      <c r="C72">
        <v>2.8559999999999999</v>
      </c>
      <c r="D72">
        <v>3.1190000000000002</v>
      </c>
      <c r="E72">
        <v>6.9459999999999994E-2</v>
      </c>
      <c r="F72">
        <v>0.36770000000000003</v>
      </c>
      <c r="G72">
        <v>1.9490000000000001</v>
      </c>
      <c r="H72">
        <v>11.14</v>
      </c>
      <c r="I72">
        <v>40001</v>
      </c>
      <c r="J72">
        <v>120000</v>
      </c>
    </row>
    <row r="73" spans="2:10" x14ac:dyDescent="0.25">
      <c r="B73" t="s">
        <v>465</v>
      </c>
      <c r="C73">
        <v>2.8210000000000002</v>
      </c>
      <c r="D73">
        <v>3.8809999999999998</v>
      </c>
      <c r="E73">
        <v>7.7509999999999996E-2</v>
      </c>
      <c r="F73">
        <v>0.26140000000000002</v>
      </c>
      <c r="G73">
        <v>1.7230000000000001</v>
      </c>
      <c r="H73">
        <v>11.93</v>
      </c>
      <c r="I73">
        <v>40001</v>
      </c>
      <c r="J73">
        <v>120000</v>
      </c>
    </row>
    <row r="74" spans="2:10" x14ac:dyDescent="0.25">
      <c r="B74" t="s">
        <v>466</v>
      </c>
      <c r="C74">
        <v>9.2059999999999995</v>
      </c>
      <c r="D74">
        <v>11.73</v>
      </c>
      <c r="E74">
        <v>0.25</v>
      </c>
      <c r="F74">
        <v>1.2669999999999999</v>
      </c>
      <c r="G74">
        <v>6.1349999999999998</v>
      </c>
      <c r="H74">
        <v>34.979999999999997</v>
      </c>
      <c r="I74">
        <v>40001</v>
      </c>
      <c r="J74">
        <v>120000</v>
      </c>
    </row>
    <row r="75" spans="2:10" x14ac:dyDescent="0.25">
      <c r="B75" t="s">
        <v>467</v>
      </c>
      <c r="C75">
        <v>3.5209999999999999</v>
      </c>
      <c r="D75">
        <v>4.4450000000000003</v>
      </c>
      <c r="E75">
        <v>8.8719999999999993E-2</v>
      </c>
      <c r="F75">
        <v>0.50770000000000004</v>
      </c>
      <c r="G75">
        <v>2.4049999999999998</v>
      </c>
      <c r="H75">
        <v>13.11</v>
      </c>
      <c r="I75">
        <v>40001</v>
      </c>
      <c r="J75">
        <v>120000</v>
      </c>
    </row>
    <row r="76" spans="2:10" x14ac:dyDescent="0.25">
      <c r="B76" t="s">
        <v>468</v>
      </c>
      <c r="C76">
        <v>4.625</v>
      </c>
      <c r="D76">
        <v>3.798</v>
      </c>
      <c r="E76">
        <v>9.2149999999999996E-2</v>
      </c>
      <c r="F76">
        <v>0.9486</v>
      </c>
      <c r="G76">
        <v>3.5960000000000001</v>
      </c>
      <c r="H76">
        <v>14.68</v>
      </c>
      <c r="I76">
        <v>40001</v>
      </c>
      <c r="J76">
        <v>120000</v>
      </c>
    </row>
    <row r="77" spans="2:10" x14ac:dyDescent="0.25">
      <c r="B77" t="s">
        <v>469</v>
      </c>
      <c r="C77">
        <v>1.772</v>
      </c>
      <c r="D77">
        <v>1.379</v>
      </c>
      <c r="E77">
        <v>3.202E-2</v>
      </c>
      <c r="F77">
        <v>0.3821</v>
      </c>
      <c r="G77">
        <v>1.3959999999999999</v>
      </c>
      <c r="H77">
        <v>5.4359999999999999</v>
      </c>
      <c r="I77">
        <v>40001</v>
      </c>
      <c r="J77">
        <v>120000</v>
      </c>
    </row>
    <row r="78" spans="2:10" x14ac:dyDescent="0.25">
      <c r="B78" t="s">
        <v>470</v>
      </c>
      <c r="C78">
        <v>0.42399999999999999</v>
      </c>
      <c r="D78">
        <v>0.184</v>
      </c>
      <c r="E78">
        <v>4.764E-3</v>
      </c>
      <c r="F78">
        <v>0.17199999999999999</v>
      </c>
      <c r="G78">
        <v>0.38919999999999999</v>
      </c>
      <c r="H78">
        <v>0.87180000000000002</v>
      </c>
      <c r="I78">
        <v>40001</v>
      </c>
      <c r="J78">
        <v>120000</v>
      </c>
    </row>
    <row r="79" spans="2:10" x14ac:dyDescent="0.25">
      <c r="B79" t="s">
        <v>471</v>
      </c>
      <c r="C79">
        <v>0.20569999999999999</v>
      </c>
      <c r="D79">
        <v>0.10580000000000001</v>
      </c>
      <c r="E79">
        <v>2.421E-3</v>
      </c>
      <c r="F79">
        <v>0</v>
      </c>
      <c r="G79">
        <v>0.22220000000000001</v>
      </c>
      <c r="H79">
        <v>0.44440000000000002</v>
      </c>
      <c r="I79">
        <v>40001</v>
      </c>
      <c r="J79">
        <v>120000</v>
      </c>
    </row>
    <row r="80" spans="2:10" x14ac:dyDescent="0.25">
      <c r="B80" t="s">
        <v>472</v>
      </c>
      <c r="C80">
        <v>0.41410000000000002</v>
      </c>
      <c r="D80">
        <v>0.13730000000000001</v>
      </c>
      <c r="E80">
        <v>2.872E-3</v>
      </c>
      <c r="F80">
        <v>0.22220000000000001</v>
      </c>
      <c r="G80">
        <v>0.44440000000000002</v>
      </c>
      <c r="H80">
        <v>0.66669999999999996</v>
      </c>
      <c r="I80">
        <v>40001</v>
      </c>
      <c r="J80">
        <v>120000</v>
      </c>
    </row>
    <row r="81" spans="2:10" x14ac:dyDescent="0.25">
      <c r="B81" t="s">
        <v>473</v>
      </c>
      <c r="C81">
        <v>0.71279999999999999</v>
      </c>
      <c r="D81">
        <v>0.1464</v>
      </c>
      <c r="E81">
        <v>3.2599999999999999E-3</v>
      </c>
      <c r="F81">
        <v>0.44440000000000002</v>
      </c>
      <c r="G81">
        <v>0.77780000000000005</v>
      </c>
      <c r="H81">
        <v>1</v>
      </c>
      <c r="I81">
        <v>40001</v>
      </c>
      <c r="J81">
        <v>120000</v>
      </c>
    </row>
    <row r="82" spans="2:10" x14ac:dyDescent="0.25">
      <c r="B82" t="s">
        <v>474</v>
      </c>
      <c r="C82">
        <v>0.622</v>
      </c>
      <c r="D82">
        <v>0.2316</v>
      </c>
      <c r="E82">
        <v>5.4169999999999999E-3</v>
      </c>
      <c r="F82">
        <v>0.1111</v>
      </c>
      <c r="G82">
        <v>0.66669999999999996</v>
      </c>
      <c r="H82">
        <v>1</v>
      </c>
      <c r="I82">
        <v>40001</v>
      </c>
      <c r="J82">
        <v>120000</v>
      </c>
    </row>
    <row r="83" spans="2:10" x14ac:dyDescent="0.25">
      <c r="B83" t="s">
        <v>475</v>
      </c>
      <c r="C83">
        <v>0.29609999999999997</v>
      </c>
      <c r="D83">
        <v>0.30709999999999998</v>
      </c>
      <c r="E83">
        <v>7.0689999999999998E-3</v>
      </c>
      <c r="F83">
        <v>0</v>
      </c>
      <c r="G83">
        <v>0.22220000000000001</v>
      </c>
      <c r="H83">
        <v>1</v>
      </c>
      <c r="I83">
        <v>40001</v>
      </c>
      <c r="J83">
        <v>120000</v>
      </c>
    </row>
    <row r="84" spans="2:10" x14ac:dyDescent="0.25">
      <c r="B84" t="s">
        <v>476</v>
      </c>
      <c r="C84">
        <v>0.74590000000000001</v>
      </c>
      <c r="D84">
        <v>0.27460000000000001</v>
      </c>
      <c r="E84">
        <v>6.0800000000000003E-3</v>
      </c>
      <c r="F84">
        <v>0.1111</v>
      </c>
      <c r="G84">
        <v>0.88890000000000002</v>
      </c>
      <c r="H84">
        <v>1</v>
      </c>
      <c r="I84">
        <v>40001</v>
      </c>
      <c r="J84">
        <v>120000</v>
      </c>
    </row>
    <row r="85" spans="2:10" x14ac:dyDescent="0.25">
      <c r="B85" t="s">
        <v>477</v>
      </c>
      <c r="C85">
        <v>0.8196</v>
      </c>
      <c r="D85">
        <v>0.23230000000000001</v>
      </c>
      <c r="E85">
        <v>4.7920000000000003E-3</v>
      </c>
      <c r="F85">
        <v>0.22220000000000001</v>
      </c>
      <c r="G85">
        <v>0.88890000000000002</v>
      </c>
      <c r="H85">
        <v>1</v>
      </c>
      <c r="I85">
        <v>40001</v>
      </c>
      <c r="J85">
        <v>120000</v>
      </c>
    </row>
    <row r="86" spans="2:10" x14ac:dyDescent="0.25">
      <c r="B86" t="s">
        <v>478</v>
      </c>
      <c r="C86">
        <v>0.64270000000000005</v>
      </c>
      <c r="D86">
        <v>0.26479999999999998</v>
      </c>
      <c r="E86">
        <v>6.1279999999999998E-3</v>
      </c>
      <c r="F86">
        <v>0.1111</v>
      </c>
      <c r="G86">
        <v>0.66669999999999996</v>
      </c>
      <c r="H86">
        <v>1</v>
      </c>
      <c r="I86">
        <v>40001</v>
      </c>
      <c r="J86">
        <v>120000</v>
      </c>
    </row>
    <row r="87" spans="2:10" x14ac:dyDescent="0.25">
      <c r="B87" t="s">
        <v>479</v>
      </c>
      <c r="C87">
        <v>5.323E-2</v>
      </c>
      <c r="D87">
        <v>7.9829999999999998E-2</v>
      </c>
      <c r="E87">
        <v>1.7080000000000001E-3</v>
      </c>
      <c r="F87">
        <v>0</v>
      </c>
      <c r="G87">
        <v>0</v>
      </c>
      <c r="H87">
        <v>0.22220000000000001</v>
      </c>
      <c r="I87">
        <v>40001</v>
      </c>
      <c r="J87">
        <v>120000</v>
      </c>
    </row>
    <row r="88" spans="2:10" x14ac:dyDescent="0.25">
      <c r="B88" t="s">
        <v>480</v>
      </c>
      <c r="C88">
        <v>0.48799999999999999</v>
      </c>
      <c r="D88">
        <v>0.18640000000000001</v>
      </c>
      <c r="E88">
        <v>4.3379999999999998E-3</v>
      </c>
      <c r="F88">
        <v>0.1111</v>
      </c>
      <c r="G88">
        <v>0.44440000000000002</v>
      </c>
      <c r="H88">
        <v>0.88890000000000002</v>
      </c>
      <c r="I88">
        <v>40001</v>
      </c>
      <c r="J88">
        <v>120000</v>
      </c>
    </row>
    <row r="89" spans="2:10" x14ac:dyDescent="0.25">
      <c r="B89" t="s">
        <v>481</v>
      </c>
      <c r="C89">
        <v>0</v>
      </c>
      <c r="D89">
        <v>0</v>
      </c>
      <c r="E89" s="13">
        <v>1.6670000000000001E-13</v>
      </c>
      <c r="F89">
        <v>0</v>
      </c>
      <c r="G89">
        <v>0</v>
      </c>
      <c r="H89">
        <v>0</v>
      </c>
      <c r="I89">
        <v>40001</v>
      </c>
      <c r="J89">
        <v>120000</v>
      </c>
    </row>
    <row r="90" spans="2:10" x14ac:dyDescent="0.25">
      <c r="B90" t="s">
        <v>482</v>
      </c>
      <c r="C90" s="13">
        <v>5.0000000000000002E-5</v>
      </c>
      <c r="D90">
        <v>7.071E-3</v>
      </c>
      <c r="E90" s="13">
        <v>3.731E-5</v>
      </c>
      <c r="F90">
        <v>0</v>
      </c>
      <c r="G90">
        <v>0</v>
      </c>
      <c r="H90">
        <v>0</v>
      </c>
      <c r="I90">
        <v>40001</v>
      </c>
      <c r="J90">
        <v>120000</v>
      </c>
    </row>
    <row r="91" spans="2:10" x14ac:dyDescent="0.25">
      <c r="B91" t="s">
        <v>483</v>
      </c>
      <c r="C91">
        <v>3.7909999999999999E-2</v>
      </c>
      <c r="D91">
        <v>0.191</v>
      </c>
      <c r="E91">
        <v>2.859E-3</v>
      </c>
      <c r="F91">
        <v>0</v>
      </c>
      <c r="G91">
        <v>0</v>
      </c>
      <c r="H91">
        <v>1</v>
      </c>
      <c r="I91">
        <v>40001</v>
      </c>
      <c r="J91">
        <v>120000</v>
      </c>
    </row>
    <row r="92" spans="2:10" x14ac:dyDescent="0.25">
      <c r="B92" t="s">
        <v>484</v>
      </c>
      <c r="C92">
        <v>6.3030000000000003E-2</v>
      </c>
      <c r="D92">
        <v>0.24299999999999999</v>
      </c>
      <c r="E92">
        <v>4.0699999999999998E-3</v>
      </c>
      <c r="F92">
        <v>0</v>
      </c>
      <c r="G92">
        <v>0</v>
      </c>
      <c r="H92">
        <v>1</v>
      </c>
      <c r="I92">
        <v>40001</v>
      </c>
      <c r="J92">
        <v>120000</v>
      </c>
    </row>
    <row r="93" spans="2:10" x14ac:dyDescent="0.25">
      <c r="B93" t="s">
        <v>485</v>
      </c>
      <c r="C93">
        <v>3.5279999999999999E-2</v>
      </c>
      <c r="D93">
        <v>0.1845</v>
      </c>
      <c r="E93">
        <v>3.1080000000000001E-3</v>
      </c>
      <c r="F93">
        <v>0</v>
      </c>
      <c r="G93">
        <v>0</v>
      </c>
      <c r="H93">
        <v>1</v>
      </c>
      <c r="I93">
        <v>40001</v>
      </c>
      <c r="J93">
        <v>120000</v>
      </c>
    </row>
    <row r="94" spans="2:10" x14ac:dyDescent="0.25">
      <c r="B94" t="s">
        <v>486</v>
      </c>
      <c r="C94">
        <v>0.30609999999999998</v>
      </c>
      <c r="D94">
        <v>0.46089999999999998</v>
      </c>
      <c r="E94">
        <v>9.2169999999999995E-3</v>
      </c>
      <c r="F94">
        <v>0</v>
      </c>
      <c r="G94">
        <v>0</v>
      </c>
      <c r="H94">
        <v>1</v>
      </c>
      <c r="I94">
        <v>40001</v>
      </c>
      <c r="J94">
        <v>120000</v>
      </c>
    </row>
    <row r="95" spans="2:10" x14ac:dyDescent="0.25">
      <c r="B95" t="s">
        <v>487</v>
      </c>
      <c r="C95">
        <v>0.4264</v>
      </c>
      <c r="D95">
        <v>0.49459999999999998</v>
      </c>
      <c r="E95">
        <v>9.5320000000000005E-3</v>
      </c>
      <c r="F95">
        <v>0</v>
      </c>
      <c r="G95">
        <v>0</v>
      </c>
      <c r="H95">
        <v>1</v>
      </c>
      <c r="I95">
        <v>40001</v>
      </c>
      <c r="J95">
        <v>120000</v>
      </c>
    </row>
    <row r="96" spans="2:10" x14ac:dyDescent="0.25">
      <c r="B96" t="s">
        <v>488</v>
      </c>
      <c r="C96">
        <v>0.12429999999999999</v>
      </c>
      <c r="D96">
        <v>0.32990000000000003</v>
      </c>
      <c r="E96">
        <v>6.2719999999999998E-3</v>
      </c>
      <c r="F96">
        <v>0</v>
      </c>
      <c r="G96">
        <v>0</v>
      </c>
      <c r="H96">
        <v>1</v>
      </c>
      <c r="I96">
        <v>40001</v>
      </c>
      <c r="J96">
        <v>120000</v>
      </c>
    </row>
    <row r="97" spans="2:10" x14ac:dyDescent="0.25">
      <c r="B97" t="s">
        <v>489</v>
      </c>
      <c r="C97">
        <v>0</v>
      </c>
      <c r="D97">
        <v>0</v>
      </c>
      <c r="E97" s="13">
        <v>1.6670000000000001E-13</v>
      </c>
      <c r="F97">
        <v>0</v>
      </c>
      <c r="G97">
        <v>0</v>
      </c>
      <c r="H97">
        <v>0</v>
      </c>
      <c r="I97">
        <v>40001</v>
      </c>
      <c r="J97">
        <v>120000</v>
      </c>
    </row>
    <row r="98" spans="2:10" x14ac:dyDescent="0.25">
      <c r="B98" t="s">
        <v>490</v>
      </c>
      <c r="C98">
        <v>6.9170000000000004E-3</v>
      </c>
      <c r="D98">
        <v>8.2879999999999995E-2</v>
      </c>
      <c r="E98">
        <v>1.0809999999999999E-3</v>
      </c>
      <c r="F98">
        <v>0</v>
      </c>
      <c r="G98">
        <v>0</v>
      </c>
      <c r="H98">
        <v>0</v>
      </c>
      <c r="I98">
        <v>40001</v>
      </c>
      <c r="J98">
        <v>120000</v>
      </c>
    </row>
    <row r="99" spans="2:10" x14ac:dyDescent="0.25">
      <c r="B99" t="s">
        <v>491</v>
      </c>
      <c r="C99">
        <v>0.58589999999999998</v>
      </c>
      <c r="D99">
        <v>0.82379999999999998</v>
      </c>
      <c r="E99">
        <v>2.7560000000000002E-3</v>
      </c>
      <c r="F99" s="13">
        <v>5.8339999999999998E-4</v>
      </c>
      <c r="G99">
        <v>0.26829999999999998</v>
      </c>
      <c r="H99">
        <v>2.9049999999999998</v>
      </c>
      <c r="I99">
        <v>40001</v>
      </c>
      <c r="J99">
        <v>120000</v>
      </c>
    </row>
    <row r="100" spans="2:10" x14ac:dyDescent="0.25">
      <c r="B100" t="s">
        <v>492</v>
      </c>
      <c r="C100">
        <v>0.78920000000000001</v>
      </c>
      <c r="D100">
        <v>1.024</v>
      </c>
      <c r="E100">
        <v>3.7290000000000001E-3</v>
      </c>
      <c r="F100" s="13">
        <v>8.2969999999999995E-4</v>
      </c>
      <c r="G100">
        <v>0.40189999999999998</v>
      </c>
      <c r="H100">
        <v>3.6709999999999998</v>
      </c>
      <c r="I100">
        <v>40001</v>
      </c>
      <c r="J100">
        <v>120000</v>
      </c>
    </row>
    <row r="101" spans="2:10" x14ac:dyDescent="0.25">
      <c r="B101" t="s">
        <v>493</v>
      </c>
      <c r="C101">
        <v>0.73429999999999995</v>
      </c>
      <c r="D101">
        <v>1.0469999999999999</v>
      </c>
      <c r="E101">
        <v>6.2750000000000002E-3</v>
      </c>
      <c r="F101" s="13">
        <v>7.5310000000000004E-4</v>
      </c>
      <c r="G101">
        <v>0.33260000000000001</v>
      </c>
      <c r="H101">
        <v>3.7149999999999999</v>
      </c>
      <c r="I101">
        <v>40001</v>
      </c>
      <c r="J101">
        <v>120000</v>
      </c>
    </row>
    <row r="102" spans="2:10" x14ac:dyDescent="0.25">
      <c r="B102" t="s">
        <v>494</v>
      </c>
      <c r="C102">
        <v>0.76719999999999999</v>
      </c>
      <c r="D102">
        <v>1.077</v>
      </c>
      <c r="E102">
        <v>7.8670000000000007E-3</v>
      </c>
      <c r="F102" s="13">
        <v>7.6499999999999995E-4</v>
      </c>
      <c r="G102">
        <v>0.35210000000000002</v>
      </c>
      <c r="H102">
        <v>3.8439999999999999</v>
      </c>
      <c r="I102">
        <v>40001</v>
      </c>
      <c r="J102">
        <v>120000</v>
      </c>
    </row>
    <row r="103" spans="2:10" x14ac:dyDescent="0.25">
      <c r="B103" t="s">
        <v>495</v>
      </c>
      <c r="C103">
        <v>0.78200000000000003</v>
      </c>
      <c r="D103">
        <v>1.099</v>
      </c>
      <c r="E103">
        <v>4.6449999999999998E-3</v>
      </c>
      <c r="F103" s="13">
        <v>7.8950000000000005E-4</v>
      </c>
      <c r="G103">
        <v>0.3589</v>
      </c>
      <c r="H103">
        <v>3.91</v>
      </c>
      <c r="I103">
        <v>40001</v>
      </c>
      <c r="J103">
        <v>120000</v>
      </c>
    </row>
    <row r="104" spans="2:10" x14ac:dyDescent="0.25">
      <c r="B104" t="s">
        <v>496</v>
      </c>
      <c r="C104">
        <v>0.56169999999999998</v>
      </c>
      <c r="D104">
        <v>0.77869999999999995</v>
      </c>
      <c r="E104">
        <v>6.0540000000000004E-3</v>
      </c>
      <c r="F104" s="13">
        <v>5.2260000000000002E-4</v>
      </c>
      <c r="G104">
        <v>0.26119999999999999</v>
      </c>
      <c r="H104">
        <v>2.7629999999999999</v>
      </c>
      <c r="I104">
        <v>40001</v>
      </c>
      <c r="J104">
        <v>120000</v>
      </c>
    </row>
    <row r="105" spans="2:10" x14ac:dyDescent="0.25">
      <c r="B105" t="s">
        <v>497</v>
      </c>
      <c r="C105">
        <v>0.58150000000000002</v>
      </c>
      <c r="D105">
        <v>0.83960000000000001</v>
      </c>
      <c r="E105">
        <v>4.6930000000000001E-3</v>
      </c>
      <c r="F105" s="13">
        <v>5.9949999999999999E-4</v>
      </c>
      <c r="G105">
        <v>0.26050000000000001</v>
      </c>
      <c r="H105">
        <v>2.9660000000000002</v>
      </c>
      <c r="I105">
        <v>40001</v>
      </c>
      <c r="J105">
        <v>120000</v>
      </c>
    </row>
    <row r="106" spans="2:10" x14ac:dyDescent="0.25">
      <c r="B106" t="s">
        <v>498</v>
      </c>
      <c r="C106">
        <v>0.78990000000000005</v>
      </c>
      <c r="D106">
        <v>1.077</v>
      </c>
      <c r="E106">
        <v>6.3200000000000001E-3</v>
      </c>
      <c r="F106" s="13">
        <v>8.0579999999999996E-4</v>
      </c>
      <c r="G106">
        <v>0.37490000000000001</v>
      </c>
      <c r="H106">
        <v>3.85</v>
      </c>
      <c r="I106">
        <v>40001</v>
      </c>
      <c r="J106">
        <v>120000</v>
      </c>
    </row>
    <row r="107" spans="2:10" x14ac:dyDescent="0.25">
      <c r="B107" t="s">
        <v>499</v>
      </c>
      <c r="C107">
        <v>0.67369999999999997</v>
      </c>
      <c r="D107">
        <v>0.94750000000000001</v>
      </c>
      <c r="E107">
        <v>3.1180000000000001E-3</v>
      </c>
      <c r="F107" s="13">
        <v>6.5240000000000003E-4</v>
      </c>
      <c r="G107">
        <v>0.30909999999999999</v>
      </c>
      <c r="H107">
        <v>3.3660000000000001</v>
      </c>
      <c r="I107">
        <v>40001</v>
      </c>
      <c r="J107">
        <v>120000</v>
      </c>
    </row>
    <row r="108" spans="2:10" x14ac:dyDescent="0.25">
      <c r="B108" t="s">
        <v>500</v>
      </c>
      <c r="C108">
        <v>0.51149999999999995</v>
      </c>
      <c r="D108">
        <v>0.71950000000000003</v>
      </c>
      <c r="E108">
        <v>3.1350000000000002E-3</v>
      </c>
      <c r="F108" s="13">
        <v>4.5790000000000002E-4</v>
      </c>
      <c r="G108">
        <v>0.23519999999999999</v>
      </c>
      <c r="H108">
        <v>2.528</v>
      </c>
      <c r="I108">
        <v>40001</v>
      </c>
      <c r="J108">
        <v>120000</v>
      </c>
    </row>
    <row r="109" spans="2:10" x14ac:dyDescent="0.25">
      <c r="B109" t="s">
        <v>501</v>
      </c>
      <c r="C109">
        <v>0.67620000000000002</v>
      </c>
      <c r="D109">
        <v>0.95389999999999997</v>
      </c>
      <c r="E109">
        <v>3.0130000000000001E-3</v>
      </c>
      <c r="F109" s="13">
        <v>6.8090000000000002E-4</v>
      </c>
      <c r="G109">
        <v>0.30940000000000001</v>
      </c>
      <c r="H109">
        <v>3.36</v>
      </c>
      <c r="I109">
        <v>40001</v>
      </c>
      <c r="J109">
        <v>120000</v>
      </c>
    </row>
    <row r="110" spans="2:10" x14ac:dyDescent="0.25">
      <c r="B110" t="s">
        <v>502</v>
      </c>
      <c r="C110">
        <v>0.51180000000000003</v>
      </c>
      <c r="D110">
        <v>0.71699999999999997</v>
      </c>
      <c r="E110">
        <v>3.2299999999999998E-3</v>
      </c>
      <c r="F110" s="13">
        <v>5.3529999999999995E-4</v>
      </c>
      <c r="G110">
        <v>0.2366</v>
      </c>
      <c r="H110">
        <v>2.5139999999999998</v>
      </c>
      <c r="I110">
        <v>40001</v>
      </c>
      <c r="J110">
        <v>120000</v>
      </c>
    </row>
    <row r="111" spans="2:10" x14ac:dyDescent="0.25">
      <c r="B111" t="s">
        <v>503</v>
      </c>
      <c r="C111">
        <v>0.63719999999999999</v>
      </c>
      <c r="D111">
        <v>0.86019999999999996</v>
      </c>
      <c r="E111">
        <v>3.7759999999999998E-3</v>
      </c>
      <c r="F111" s="13">
        <v>7.0100000000000002E-4</v>
      </c>
      <c r="G111">
        <v>0.30690000000000001</v>
      </c>
      <c r="H111">
        <v>3.0630000000000002</v>
      </c>
      <c r="I111">
        <v>40001</v>
      </c>
      <c r="J111">
        <v>120000</v>
      </c>
    </row>
    <row r="112" spans="2:10" x14ac:dyDescent="0.25">
      <c r="B112" t="s">
        <v>504</v>
      </c>
      <c r="C112">
        <v>0.59919999999999995</v>
      </c>
      <c r="D112">
        <v>0.85360000000000003</v>
      </c>
      <c r="E112">
        <v>2.9020000000000001E-3</v>
      </c>
      <c r="F112" s="13">
        <v>5.8029999999999996E-4</v>
      </c>
      <c r="G112">
        <v>0.27029999999999998</v>
      </c>
      <c r="H112">
        <v>3.0369999999999999</v>
      </c>
      <c r="I112">
        <v>40001</v>
      </c>
      <c r="J112">
        <v>120000</v>
      </c>
    </row>
    <row r="113" spans="2:10" x14ac:dyDescent="0.25">
      <c r="B113" t="s">
        <v>505</v>
      </c>
      <c r="C113">
        <v>0.96640000000000004</v>
      </c>
      <c r="D113">
        <v>1.3080000000000001</v>
      </c>
      <c r="E113">
        <v>9.3930000000000003E-3</v>
      </c>
      <c r="F113" s="13">
        <v>9.8240000000000003E-4</v>
      </c>
      <c r="G113">
        <v>0.4637</v>
      </c>
      <c r="H113">
        <v>4.6580000000000004</v>
      </c>
      <c r="I113">
        <v>40001</v>
      </c>
      <c r="J113">
        <v>120000</v>
      </c>
    </row>
    <row r="114" spans="2:10" x14ac:dyDescent="0.25">
      <c r="B114" t="s">
        <v>506</v>
      </c>
      <c r="C114">
        <v>1.266</v>
      </c>
      <c r="D114">
        <v>1.466</v>
      </c>
      <c r="E114">
        <v>1.498E-2</v>
      </c>
      <c r="F114">
        <v>1.941E-3</v>
      </c>
      <c r="G114">
        <v>0.752</v>
      </c>
      <c r="H114">
        <v>5.2629999999999999</v>
      </c>
      <c r="I114">
        <v>40001</v>
      </c>
      <c r="J114">
        <v>120000</v>
      </c>
    </row>
    <row r="115" spans="2:10" x14ac:dyDescent="0.25">
      <c r="B115" t="s">
        <v>507</v>
      </c>
      <c r="C115">
        <v>0.62480000000000002</v>
      </c>
      <c r="D115">
        <v>0.88990000000000002</v>
      </c>
      <c r="E115">
        <v>4.7920000000000003E-3</v>
      </c>
      <c r="F115" s="13">
        <v>6.1490000000000004E-4</v>
      </c>
      <c r="G115">
        <v>0.2833</v>
      </c>
      <c r="H115">
        <v>3.1680000000000001</v>
      </c>
      <c r="I115">
        <v>40001</v>
      </c>
      <c r="J115">
        <v>120000</v>
      </c>
    </row>
    <row r="116" spans="2:10" x14ac:dyDescent="0.25">
      <c r="B116" t="s">
        <v>508</v>
      </c>
      <c r="C116">
        <v>0.65229999999999999</v>
      </c>
      <c r="D116">
        <v>0.9264</v>
      </c>
      <c r="E116">
        <v>4.5729999999999998E-3</v>
      </c>
      <c r="F116" s="13">
        <v>6.5289999999999999E-4</v>
      </c>
      <c r="G116">
        <v>0.29380000000000001</v>
      </c>
      <c r="H116">
        <v>3.2949999999999999</v>
      </c>
      <c r="I116">
        <v>40001</v>
      </c>
      <c r="J116">
        <v>120000</v>
      </c>
    </row>
    <row r="117" spans="2:10" x14ac:dyDescent="0.25">
      <c r="B117" t="s">
        <v>509</v>
      </c>
      <c r="C117">
        <v>1.3779999999999999</v>
      </c>
      <c r="D117">
        <v>1.7929999999999999</v>
      </c>
      <c r="E117">
        <v>7.3169999999999997E-3</v>
      </c>
      <c r="F117">
        <v>1.621E-3</v>
      </c>
      <c r="G117">
        <v>0.69510000000000005</v>
      </c>
      <c r="H117">
        <v>6.4249999999999998</v>
      </c>
      <c r="I117">
        <v>40001</v>
      </c>
      <c r="J117">
        <v>120000</v>
      </c>
    </row>
    <row r="118" spans="2:10" x14ac:dyDescent="0.25">
      <c r="B118" t="s">
        <v>510</v>
      </c>
      <c r="C118">
        <v>0.77139999999999997</v>
      </c>
      <c r="D118">
        <v>0.875</v>
      </c>
      <c r="E118">
        <v>7.5059999999999997E-3</v>
      </c>
      <c r="F118">
        <v>1.5769999999999999E-2</v>
      </c>
      <c r="G118">
        <v>0.4864</v>
      </c>
      <c r="H118">
        <v>3.1819999999999999</v>
      </c>
      <c r="I118">
        <v>40001</v>
      </c>
      <c r="J118">
        <v>120000</v>
      </c>
    </row>
    <row r="119" spans="2:10" x14ac:dyDescent="0.25">
      <c r="B119" t="s">
        <v>511</v>
      </c>
      <c r="C119">
        <v>2.5979999999999999</v>
      </c>
      <c r="D119">
        <v>1.88</v>
      </c>
      <c r="E119">
        <v>1.044E-2</v>
      </c>
      <c r="F119">
        <v>0.30690000000000001</v>
      </c>
      <c r="G119">
        <v>2.1539999999999999</v>
      </c>
      <c r="H119">
        <v>7.3769999999999998</v>
      </c>
      <c r="I119">
        <v>40001</v>
      </c>
      <c r="J119">
        <v>120000</v>
      </c>
    </row>
    <row r="120" spans="2:10" x14ac:dyDescent="0.25">
      <c r="B120" t="s">
        <v>512</v>
      </c>
      <c r="C120">
        <v>2.641</v>
      </c>
      <c r="D120">
        <v>2.4500000000000002</v>
      </c>
      <c r="E120">
        <v>1.6150000000000001E-2</v>
      </c>
      <c r="F120">
        <v>1.5310000000000001E-2</v>
      </c>
      <c r="G120">
        <v>1.9950000000000001</v>
      </c>
      <c r="H120">
        <v>8.9239999999999995</v>
      </c>
      <c r="I120">
        <v>40001</v>
      </c>
      <c r="J120">
        <v>120000</v>
      </c>
    </row>
    <row r="121" spans="2:10" x14ac:dyDescent="0.25">
      <c r="B121" t="s">
        <v>513</v>
      </c>
      <c r="C121">
        <v>0.97629999999999995</v>
      </c>
      <c r="D121">
        <v>1.379</v>
      </c>
      <c r="E121">
        <v>1.116E-2</v>
      </c>
      <c r="F121" s="13">
        <v>9.8069999999999993E-4</v>
      </c>
      <c r="G121">
        <v>0.44219999999999998</v>
      </c>
      <c r="H121">
        <v>4.9020000000000001</v>
      </c>
      <c r="I121">
        <v>40001</v>
      </c>
      <c r="J121">
        <v>120000</v>
      </c>
    </row>
    <row r="122" spans="2:10" x14ac:dyDescent="0.25">
      <c r="B122" t="s">
        <v>514</v>
      </c>
      <c r="C122">
        <v>1.0529999999999999</v>
      </c>
      <c r="D122">
        <v>1.4850000000000001</v>
      </c>
      <c r="E122">
        <v>1.9369999999999998E-2</v>
      </c>
      <c r="F122">
        <v>1.018E-3</v>
      </c>
      <c r="G122">
        <v>0.47739999999999999</v>
      </c>
      <c r="H122">
        <v>5.2889999999999997</v>
      </c>
      <c r="I122">
        <v>40001</v>
      </c>
      <c r="J122">
        <v>120000</v>
      </c>
    </row>
    <row r="123" spans="2:10" x14ac:dyDescent="0.25">
      <c r="B123" t="s">
        <v>515</v>
      </c>
      <c r="C123">
        <v>1.079</v>
      </c>
      <c r="D123">
        <v>1.5269999999999999</v>
      </c>
      <c r="E123">
        <v>2.41E-2</v>
      </c>
      <c r="F123">
        <v>1.1069999999999999E-3</v>
      </c>
      <c r="G123">
        <v>0.49580000000000002</v>
      </c>
      <c r="H123">
        <v>5.383</v>
      </c>
      <c r="I123">
        <v>40001</v>
      </c>
      <c r="J123">
        <v>120000</v>
      </c>
    </row>
    <row r="124" spans="2:10" x14ac:dyDescent="0.25">
      <c r="B124" t="s">
        <v>516</v>
      </c>
      <c r="C124">
        <v>1.04</v>
      </c>
      <c r="D124">
        <v>1.4810000000000001</v>
      </c>
      <c r="E124">
        <v>1.6330000000000001E-2</v>
      </c>
      <c r="F124">
        <v>1.044E-3</v>
      </c>
      <c r="G124">
        <v>0.47210000000000002</v>
      </c>
      <c r="H124">
        <v>5.2709999999999999</v>
      </c>
      <c r="I124">
        <v>40001</v>
      </c>
      <c r="J124">
        <v>120000</v>
      </c>
    </row>
    <row r="125" spans="2:10" x14ac:dyDescent="0.25">
      <c r="B125" t="s">
        <v>517</v>
      </c>
      <c r="C125">
        <v>1.4419999999999999</v>
      </c>
      <c r="D125">
        <v>0.99009999999999998</v>
      </c>
      <c r="E125">
        <v>1.094E-2</v>
      </c>
      <c r="F125">
        <v>0.2409</v>
      </c>
      <c r="G125">
        <v>1.206</v>
      </c>
      <c r="H125">
        <v>3.9860000000000002</v>
      </c>
      <c r="I125">
        <v>40001</v>
      </c>
      <c r="J125">
        <v>120000</v>
      </c>
    </row>
    <row r="126" spans="2:10" x14ac:dyDescent="0.25">
      <c r="B126" t="s">
        <v>518</v>
      </c>
      <c r="C126">
        <v>1.2470000000000001</v>
      </c>
      <c r="D126">
        <v>1.6930000000000001</v>
      </c>
      <c r="E126">
        <v>6.1209999999999997E-3</v>
      </c>
      <c r="F126">
        <v>1.3619999999999999E-3</v>
      </c>
      <c r="G126">
        <v>0.59260000000000002</v>
      </c>
      <c r="H126">
        <v>6.0869999999999997</v>
      </c>
      <c r="I126">
        <v>40001</v>
      </c>
      <c r="J126">
        <v>120000</v>
      </c>
    </row>
    <row r="127" spans="2:10" x14ac:dyDescent="0.25">
      <c r="B127" t="s">
        <v>519</v>
      </c>
      <c r="C127">
        <v>1.5640000000000001</v>
      </c>
      <c r="D127">
        <v>1.762</v>
      </c>
      <c r="E127">
        <v>1.9810000000000001E-2</v>
      </c>
      <c r="F127">
        <v>2.8270000000000001E-3</v>
      </c>
      <c r="G127">
        <v>0.96120000000000005</v>
      </c>
      <c r="H127">
        <v>6.2939999999999996</v>
      </c>
      <c r="I127">
        <v>40001</v>
      </c>
      <c r="J127">
        <v>120000</v>
      </c>
    </row>
    <row r="128" spans="2:10" x14ac:dyDescent="0.25">
      <c r="B128" t="s">
        <v>520</v>
      </c>
      <c r="C128">
        <v>1.2729999999999999</v>
      </c>
      <c r="D128">
        <v>1.6220000000000001</v>
      </c>
      <c r="E128">
        <v>1.2930000000000001E-2</v>
      </c>
      <c r="F128">
        <v>1.6019999999999999E-3</v>
      </c>
      <c r="G128">
        <v>0.66469999999999996</v>
      </c>
      <c r="H128">
        <v>5.7789999999999999</v>
      </c>
      <c r="I128">
        <v>40001</v>
      </c>
      <c r="J128">
        <v>120000</v>
      </c>
    </row>
    <row r="129" spans="2:10" x14ac:dyDescent="0.25">
      <c r="B129" t="s">
        <v>521</v>
      </c>
      <c r="C129">
        <v>0.62980000000000003</v>
      </c>
      <c r="D129">
        <v>0.8992</v>
      </c>
      <c r="E129">
        <v>3.7429999999999998E-3</v>
      </c>
      <c r="F129" s="13">
        <v>6.2549999999999997E-4</v>
      </c>
      <c r="G129">
        <v>0.28370000000000001</v>
      </c>
      <c r="H129">
        <v>3.1589999999999998</v>
      </c>
      <c r="I129">
        <v>40001</v>
      </c>
      <c r="J129">
        <v>120000</v>
      </c>
    </row>
    <row r="130" spans="2:10" x14ac:dyDescent="0.25">
      <c r="B130" t="s">
        <v>522</v>
      </c>
      <c r="C130">
        <v>0.6946</v>
      </c>
      <c r="D130">
        <v>0.91539999999999999</v>
      </c>
      <c r="E130">
        <v>5.757E-3</v>
      </c>
      <c r="F130" s="13">
        <v>7.7079999999999998E-4</v>
      </c>
      <c r="G130">
        <v>0.34010000000000001</v>
      </c>
      <c r="H130">
        <v>3.2669999999999999</v>
      </c>
      <c r="I130">
        <v>40001</v>
      </c>
      <c r="J130">
        <v>120000</v>
      </c>
    </row>
    <row r="131" spans="2:10" x14ac:dyDescent="0.25">
      <c r="B131" t="s">
        <v>523</v>
      </c>
      <c r="C131">
        <v>0.57420000000000004</v>
      </c>
      <c r="D131">
        <v>0.82020000000000004</v>
      </c>
      <c r="E131">
        <v>2.6830000000000001E-3</v>
      </c>
      <c r="F131" s="13">
        <v>5.6959999999999997E-4</v>
      </c>
      <c r="G131">
        <v>0.25800000000000001</v>
      </c>
      <c r="H131">
        <v>2.8839999999999999</v>
      </c>
      <c r="I131">
        <v>40001</v>
      </c>
      <c r="J131">
        <v>120000</v>
      </c>
    </row>
    <row r="132" spans="2:10" x14ac:dyDescent="0.25">
      <c r="B132" t="s">
        <v>524</v>
      </c>
      <c r="C132">
        <v>0.59909999999999997</v>
      </c>
      <c r="D132">
        <v>0.82389999999999997</v>
      </c>
      <c r="E132">
        <v>3.411E-3</v>
      </c>
      <c r="F132" s="13">
        <v>6.1779999999999995E-4</v>
      </c>
      <c r="G132">
        <v>0.28139999999999998</v>
      </c>
      <c r="H132">
        <v>2.9340000000000002</v>
      </c>
      <c r="I132">
        <v>40001</v>
      </c>
      <c r="J132">
        <v>120000</v>
      </c>
    </row>
    <row r="133" spans="2:10" x14ac:dyDescent="0.25">
      <c r="B133" t="s">
        <v>525</v>
      </c>
      <c r="C133">
        <v>1.014</v>
      </c>
      <c r="D133">
        <v>1.4359999999999999</v>
      </c>
      <c r="E133">
        <v>1.0529999999999999E-2</v>
      </c>
      <c r="F133" s="13">
        <v>9.3550000000000003E-4</v>
      </c>
      <c r="G133">
        <v>0.4622</v>
      </c>
      <c r="H133">
        <v>5.0860000000000003</v>
      </c>
      <c r="I133">
        <v>40001</v>
      </c>
      <c r="J133">
        <v>120000</v>
      </c>
    </row>
    <row r="134" spans="2:10" x14ac:dyDescent="0.25">
      <c r="B134" t="s">
        <v>526</v>
      </c>
      <c r="C134">
        <v>1.024</v>
      </c>
      <c r="D134">
        <v>1.4490000000000001</v>
      </c>
      <c r="E134">
        <v>2.0979999999999999E-2</v>
      </c>
      <c r="F134" s="13">
        <v>9.9339999999999997E-4</v>
      </c>
      <c r="G134">
        <v>0.46700000000000003</v>
      </c>
      <c r="H134">
        <v>5.1539999999999999</v>
      </c>
      <c r="I134">
        <v>40001</v>
      </c>
      <c r="J134">
        <v>120000</v>
      </c>
    </row>
    <row r="135" spans="2:10" x14ac:dyDescent="0.25">
      <c r="B135" t="s">
        <v>527</v>
      </c>
      <c r="C135">
        <v>1.1990000000000001</v>
      </c>
      <c r="D135">
        <v>1.282</v>
      </c>
      <c r="E135">
        <v>1.064E-2</v>
      </c>
      <c r="F135">
        <v>3.2560000000000002E-3</v>
      </c>
      <c r="G135">
        <v>0.8014</v>
      </c>
      <c r="H135">
        <v>4.6310000000000002</v>
      </c>
      <c r="I135">
        <v>40001</v>
      </c>
      <c r="J135">
        <v>120000</v>
      </c>
    </row>
    <row r="136" spans="2:10" x14ac:dyDescent="0.25">
      <c r="B136" t="s">
        <v>528</v>
      </c>
      <c r="C136">
        <v>1.36</v>
      </c>
      <c r="D136">
        <v>1.6990000000000001</v>
      </c>
      <c r="E136">
        <v>8.3490000000000005E-3</v>
      </c>
      <c r="F136">
        <v>1.786E-3</v>
      </c>
      <c r="G136">
        <v>0.73040000000000005</v>
      </c>
      <c r="H136">
        <v>6.1059999999999999</v>
      </c>
      <c r="I136">
        <v>40001</v>
      </c>
      <c r="J136">
        <v>120000</v>
      </c>
    </row>
    <row r="137" spans="2:10" x14ac:dyDescent="0.25">
      <c r="B137" t="s">
        <v>529</v>
      </c>
      <c r="C137">
        <v>1.2629999999999999</v>
      </c>
      <c r="D137">
        <v>1.7090000000000001</v>
      </c>
      <c r="E137">
        <v>5.1000000000000004E-3</v>
      </c>
      <c r="F137">
        <v>1.289E-3</v>
      </c>
      <c r="G137">
        <v>0.60899999999999999</v>
      </c>
      <c r="H137">
        <v>6.0789999999999997</v>
      </c>
      <c r="I137">
        <v>40001</v>
      </c>
      <c r="J137">
        <v>120000</v>
      </c>
    </row>
    <row r="138" spans="2:10" x14ac:dyDescent="0.25">
      <c r="B138" t="s">
        <v>530</v>
      </c>
      <c r="C138">
        <v>0.57650000000000001</v>
      </c>
      <c r="D138">
        <v>0.63580000000000003</v>
      </c>
      <c r="E138">
        <v>4.7039999999999998E-3</v>
      </c>
      <c r="F138">
        <v>1.315E-2</v>
      </c>
      <c r="G138">
        <v>0.37230000000000002</v>
      </c>
      <c r="H138">
        <v>2.3159999999999998</v>
      </c>
      <c r="I138">
        <v>40001</v>
      </c>
      <c r="J138">
        <v>120000</v>
      </c>
    </row>
    <row r="139" spans="2:10" x14ac:dyDescent="0.25">
      <c r="B139" t="s">
        <v>531</v>
      </c>
      <c r="C139">
        <v>0.58279999999999998</v>
      </c>
      <c r="D139">
        <v>0.84250000000000003</v>
      </c>
      <c r="E139">
        <v>4.7169999999999998E-3</v>
      </c>
      <c r="F139" s="13">
        <v>5.7240000000000004E-4</v>
      </c>
      <c r="G139">
        <v>0.26179999999999998</v>
      </c>
      <c r="H139">
        <v>2.9750000000000001</v>
      </c>
      <c r="I139">
        <v>40001</v>
      </c>
      <c r="J139">
        <v>120000</v>
      </c>
    </row>
    <row r="140" spans="2:10" x14ac:dyDescent="0.25">
      <c r="B140" t="s">
        <v>532</v>
      </c>
      <c r="C140">
        <v>0.78469999999999995</v>
      </c>
      <c r="D140">
        <v>1.07</v>
      </c>
      <c r="E140">
        <v>6.607E-3</v>
      </c>
      <c r="F140" s="13">
        <v>7.9759999999999998E-4</v>
      </c>
      <c r="G140">
        <v>0.37390000000000001</v>
      </c>
      <c r="H140">
        <v>3.8220000000000001</v>
      </c>
      <c r="I140">
        <v>40001</v>
      </c>
      <c r="J140">
        <v>120000</v>
      </c>
    </row>
    <row r="141" spans="2:10" x14ac:dyDescent="0.25">
      <c r="B141" t="s">
        <v>533</v>
      </c>
      <c r="C141">
        <v>1.704</v>
      </c>
      <c r="D141">
        <v>2.0310000000000001</v>
      </c>
      <c r="E141">
        <v>1.014E-2</v>
      </c>
      <c r="F141">
        <v>2.415E-3</v>
      </c>
      <c r="G141">
        <v>0.98070000000000002</v>
      </c>
      <c r="H141">
        <v>7.2720000000000002</v>
      </c>
      <c r="I141">
        <v>40001</v>
      </c>
      <c r="J141">
        <v>120000</v>
      </c>
    </row>
    <row r="142" spans="2:10" x14ac:dyDescent="0.25">
      <c r="B142" t="s">
        <v>534</v>
      </c>
      <c r="C142">
        <v>2.323</v>
      </c>
      <c r="D142">
        <v>1.476</v>
      </c>
      <c r="E142">
        <v>1.294E-2</v>
      </c>
      <c r="F142">
        <v>0.43020000000000003</v>
      </c>
      <c r="G142">
        <v>2.0019999999999998</v>
      </c>
      <c r="H142">
        <v>6.06</v>
      </c>
      <c r="I142">
        <v>40001</v>
      </c>
      <c r="J142">
        <v>120000</v>
      </c>
    </row>
    <row r="143" spans="2:10" x14ac:dyDescent="0.25">
      <c r="B143" t="s">
        <v>535</v>
      </c>
      <c r="C143">
        <v>0.58620000000000005</v>
      </c>
      <c r="D143">
        <v>0.82550000000000001</v>
      </c>
      <c r="E143">
        <v>2.624E-3</v>
      </c>
      <c r="F143" s="13">
        <v>5.4710000000000002E-4</v>
      </c>
      <c r="G143">
        <v>0.26800000000000002</v>
      </c>
      <c r="H143">
        <v>2.93</v>
      </c>
      <c r="I143">
        <v>40001</v>
      </c>
      <c r="J143">
        <v>120000</v>
      </c>
    </row>
    <row r="144" spans="2:10" x14ac:dyDescent="0.25">
      <c r="B144" t="s">
        <v>536</v>
      </c>
      <c r="C144">
        <v>0.60919999999999996</v>
      </c>
      <c r="D144">
        <v>0.8296</v>
      </c>
      <c r="E144">
        <v>2.954E-3</v>
      </c>
      <c r="F144" s="13">
        <v>6.3080000000000005E-4</v>
      </c>
      <c r="G144">
        <v>0.28899999999999998</v>
      </c>
      <c r="H144">
        <v>2.948</v>
      </c>
      <c r="I144">
        <v>40001</v>
      </c>
      <c r="J144">
        <v>120000</v>
      </c>
    </row>
    <row r="145" spans="2:10" x14ac:dyDescent="0.25">
      <c r="B145" t="s">
        <v>537</v>
      </c>
      <c r="C145">
        <v>2.41</v>
      </c>
      <c r="D145">
        <v>2.254</v>
      </c>
      <c r="E145">
        <v>1.6910000000000001E-2</v>
      </c>
      <c r="F145">
        <v>1.1010000000000001E-2</v>
      </c>
      <c r="G145">
        <v>1.8080000000000001</v>
      </c>
      <c r="H145">
        <v>8.19</v>
      </c>
      <c r="I145">
        <v>40001</v>
      </c>
      <c r="J145">
        <v>120000</v>
      </c>
    </row>
    <row r="146" spans="2:10" x14ac:dyDescent="0.25">
      <c r="B146" t="s">
        <v>538</v>
      </c>
      <c r="C146">
        <v>2.008</v>
      </c>
      <c r="D146">
        <v>1.8879999999999999</v>
      </c>
      <c r="E146">
        <v>1.085E-2</v>
      </c>
      <c r="F146">
        <v>1.201E-2</v>
      </c>
      <c r="G146">
        <v>1.494</v>
      </c>
      <c r="H146">
        <v>6.8789999999999996</v>
      </c>
      <c r="I146">
        <v>40001</v>
      </c>
      <c r="J146">
        <v>120000</v>
      </c>
    </row>
    <row r="147" spans="2:10" x14ac:dyDescent="0.25">
      <c r="B147" t="s">
        <v>539</v>
      </c>
      <c r="C147">
        <v>1.4650000000000001</v>
      </c>
      <c r="D147">
        <v>1.8560000000000001</v>
      </c>
      <c r="E147">
        <v>6.182E-3</v>
      </c>
      <c r="F147">
        <v>1.7849999999999999E-3</v>
      </c>
      <c r="G147">
        <v>0.78049999999999997</v>
      </c>
      <c r="H147">
        <v>6.5780000000000003</v>
      </c>
      <c r="I147">
        <v>40001</v>
      </c>
      <c r="J147">
        <v>120000</v>
      </c>
    </row>
    <row r="148" spans="2:10" x14ac:dyDescent="0.25">
      <c r="B148" t="s">
        <v>540</v>
      </c>
      <c r="C148">
        <v>0.92520000000000002</v>
      </c>
      <c r="D148">
        <v>0.9496</v>
      </c>
      <c r="E148">
        <v>4.4070000000000003E-3</v>
      </c>
      <c r="F148">
        <v>2.2960000000000001E-2</v>
      </c>
      <c r="G148">
        <v>0.63</v>
      </c>
      <c r="H148">
        <v>3.4870000000000001</v>
      </c>
      <c r="I148">
        <v>40001</v>
      </c>
      <c r="J148">
        <v>120000</v>
      </c>
    </row>
    <row r="149" spans="2:10" x14ac:dyDescent="0.25">
      <c r="B149" t="s">
        <v>541</v>
      </c>
      <c r="C149">
        <v>0.56769999999999998</v>
      </c>
      <c r="D149">
        <v>0.78749999999999998</v>
      </c>
      <c r="E149">
        <v>2.2799999999999999E-3</v>
      </c>
      <c r="F149" s="13">
        <v>5.6269999999999996E-4</v>
      </c>
      <c r="G149">
        <v>0.26450000000000001</v>
      </c>
      <c r="H149">
        <v>2.7970000000000002</v>
      </c>
      <c r="I149">
        <v>40001</v>
      </c>
      <c r="J149">
        <v>120000</v>
      </c>
    </row>
    <row r="150" spans="2:10" x14ac:dyDescent="0.25">
      <c r="B150" t="s">
        <v>542</v>
      </c>
      <c r="C150">
        <v>0.64329999999999998</v>
      </c>
      <c r="D150">
        <v>0.87849999999999995</v>
      </c>
      <c r="E150">
        <v>2.5699999999999998E-3</v>
      </c>
      <c r="F150" s="13">
        <v>6.3270000000000004E-4</v>
      </c>
      <c r="G150">
        <v>0.30380000000000001</v>
      </c>
      <c r="H150">
        <v>3.1139999999999999</v>
      </c>
      <c r="I150">
        <v>40001</v>
      </c>
      <c r="J150">
        <v>120000</v>
      </c>
    </row>
    <row r="151" spans="2:10" x14ac:dyDescent="0.25">
      <c r="B151" t="s">
        <v>543</v>
      </c>
      <c r="C151">
        <v>0.87429999999999997</v>
      </c>
      <c r="D151">
        <v>1.002</v>
      </c>
      <c r="E151">
        <v>5.1570000000000001E-3</v>
      </c>
      <c r="F151">
        <v>1.4909999999999999E-3</v>
      </c>
      <c r="G151">
        <v>0.53839999999999999</v>
      </c>
      <c r="H151">
        <v>3.5939999999999999</v>
      </c>
      <c r="I151">
        <v>40001</v>
      </c>
      <c r="J151">
        <v>120000</v>
      </c>
    </row>
    <row r="152" spans="2:10" x14ac:dyDescent="0.25">
      <c r="B152" t="s">
        <v>544</v>
      </c>
      <c r="C152">
        <v>0.71250000000000002</v>
      </c>
      <c r="D152">
        <v>1.0089999999999999</v>
      </c>
      <c r="E152">
        <v>3.1840000000000002E-3</v>
      </c>
      <c r="F152" s="13">
        <v>6.6469999999999995E-4</v>
      </c>
      <c r="G152">
        <v>0.32600000000000001</v>
      </c>
      <c r="H152">
        <v>3.57</v>
      </c>
      <c r="I152">
        <v>40001</v>
      </c>
      <c r="J152">
        <v>120000</v>
      </c>
    </row>
    <row r="153" spans="2:10" x14ac:dyDescent="0.25">
      <c r="B153" t="s">
        <v>545</v>
      </c>
      <c r="C153">
        <v>1.034</v>
      </c>
      <c r="D153">
        <v>1.478</v>
      </c>
      <c r="E153">
        <v>1.566E-2</v>
      </c>
      <c r="F153">
        <v>1.0189999999999999E-3</v>
      </c>
      <c r="G153">
        <v>0.46760000000000002</v>
      </c>
      <c r="H153">
        <v>5.2249999999999996</v>
      </c>
      <c r="I153">
        <v>40001</v>
      </c>
      <c r="J153">
        <v>120000</v>
      </c>
    </row>
    <row r="154" spans="2:10" x14ac:dyDescent="0.25">
      <c r="B154" t="s">
        <v>546</v>
      </c>
      <c r="C154">
        <v>1.0209999999999999</v>
      </c>
      <c r="D154">
        <v>1.431</v>
      </c>
      <c r="E154">
        <v>1.6150000000000001E-2</v>
      </c>
      <c r="F154">
        <v>1.0039999999999999E-3</v>
      </c>
      <c r="G154">
        <v>0.46750000000000003</v>
      </c>
      <c r="H154">
        <v>5.1040000000000001</v>
      </c>
      <c r="I154">
        <v>40001</v>
      </c>
      <c r="J154">
        <v>120000</v>
      </c>
    </row>
    <row r="155" spans="2:10" x14ac:dyDescent="0.25">
      <c r="B155" t="s">
        <v>547</v>
      </c>
      <c r="C155">
        <v>0.52070000000000005</v>
      </c>
      <c r="D155">
        <v>0.75449999999999995</v>
      </c>
      <c r="E155">
        <v>3.5869999999999999E-3</v>
      </c>
      <c r="F155" s="13">
        <v>4.8749999999999998E-4</v>
      </c>
      <c r="G155">
        <v>0.2316</v>
      </c>
      <c r="H155">
        <v>2.661</v>
      </c>
      <c r="I155">
        <v>40001</v>
      </c>
      <c r="J155">
        <v>120000</v>
      </c>
    </row>
    <row r="156" spans="2:10" x14ac:dyDescent="0.25">
      <c r="B156" t="s">
        <v>548</v>
      </c>
      <c r="C156">
        <v>0.71819999999999995</v>
      </c>
      <c r="D156">
        <v>1.008</v>
      </c>
      <c r="E156">
        <v>3.8999999999999998E-3</v>
      </c>
      <c r="F156" s="13">
        <v>7.1520000000000004E-4</v>
      </c>
      <c r="G156">
        <v>0.32869999999999999</v>
      </c>
      <c r="H156">
        <v>3.5950000000000002</v>
      </c>
      <c r="I156">
        <v>40001</v>
      </c>
      <c r="J156">
        <v>120000</v>
      </c>
    </row>
    <row r="157" spans="2:10" x14ac:dyDescent="0.25">
      <c r="B157" t="s">
        <v>549</v>
      </c>
      <c r="C157">
        <v>0.82230000000000003</v>
      </c>
      <c r="D157">
        <v>0.86750000000000005</v>
      </c>
      <c r="E157">
        <v>5.4559999999999999E-3</v>
      </c>
      <c r="F157">
        <v>1.9550000000000001E-2</v>
      </c>
      <c r="G157">
        <v>0.54969999999999997</v>
      </c>
      <c r="H157">
        <v>3.1749999999999998</v>
      </c>
      <c r="I157">
        <v>40001</v>
      </c>
      <c r="J157">
        <v>120000</v>
      </c>
    </row>
    <row r="158" spans="2:10" x14ac:dyDescent="0.25">
      <c r="B158" t="s">
        <v>550</v>
      </c>
      <c r="C158">
        <v>1.4079999999999999</v>
      </c>
      <c r="D158">
        <v>1.8180000000000001</v>
      </c>
      <c r="E158">
        <v>6.391E-3</v>
      </c>
      <c r="F158">
        <v>1.6479999999999999E-3</v>
      </c>
      <c r="G158">
        <v>0.72609999999999997</v>
      </c>
      <c r="H158">
        <v>6.5010000000000003</v>
      </c>
      <c r="I158">
        <v>40001</v>
      </c>
      <c r="J158">
        <v>120000</v>
      </c>
    </row>
    <row r="159" spans="2:10" x14ac:dyDescent="0.25">
      <c r="B159" t="s">
        <v>551</v>
      </c>
      <c r="C159">
        <v>1.1839999999999999</v>
      </c>
      <c r="D159">
        <v>1.5</v>
      </c>
      <c r="E159">
        <v>1.0699999999999999E-2</v>
      </c>
      <c r="F159">
        <v>1.4E-3</v>
      </c>
      <c r="G159">
        <v>0.62160000000000004</v>
      </c>
      <c r="H159">
        <v>5.3659999999999997</v>
      </c>
      <c r="I159">
        <v>40001</v>
      </c>
      <c r="J159">
        <v>120000</v>
      </c>
    </row>
    <row r="160" spans="2:10" x14ac:dyDescent="0.25">
      <c r="B160" t="s">
        <v>552</v>
      </c>
      <c r="C160">
        <v>0.90339999999999998</v>
      </c>
      <c r="D160">
        <v>1.19</v>
      </c>
      <c r="E160">
        <v>1.048E-2</v>
      </c>
      <c r="F160" s="13">
        <v>9.4609999999999996E-4</v>
      </c>
      <c r="G160">
        <v>0.45219999999999999</v>
      </c>
      <c r="H160">
        <v>4.2699999999999996</v>
      </c>
      <c r="I160">
        <v>40001</v>
      </c>
      <c r="J160">
        <v>120000</v>
      </c>
    </row>
    <row r="161" spans="2:10" x14ac:dyDescent="0.25">
      <c r="B161" t="s">
        <v>553</v>
      </c>
      <c r="C161">
        <v>0.81130000000000002</v>
      </c>
      <c r="D161">
        <v>1.0580000000000001</v>
      </c>
      <c r="E161">
        <v>7.4949999999999999E-3</v>
      </c>
      <c r="F161" s="13">
        <v>9.0930000000000004E-4</v>
      </c>
      <c r="G161">
        <v>0.40670000000000001</v>
      </c>
      <c r="H161">
        <v>3.794</v>
      </c>
      <c r="I161">
        <v>40001</v>
      </c>
      <c r="J161">
        <v>120000</v>
      </c>
    </row>
    <row r="162" spans="2:10" x14ac:dyDescent="0.25">
      <c r="B162" t="s">
        <v>554</v>
      </c>
      <c r="C162">
        <v>0.71850000000000003</v>
      </c>
      <c r="D162">
        <v>1.0249999999999999</v>
      </c>
      <c r="E162">
        <v>4.7749999999999997E-3</v>
      </c>
      <c r="F162" s="13">
        <v>6.7100000000000005E-4</v>
      </c>
      <c r="G162">
        <v>0.32450000000000001</v>
      </c>
      <c r="H162">
        <v>3.6379999999999999</v>
      </c>
      <c r="I162">
        <v>40001</v>
      </c>
      <c r="J162">
        <v>120000</v>
      </c>
    </row>
    <row r="163" spans="2:10" x14ac:dyDescent="0.25">
      <c r="B163" t="s">
        <v>555</v>
      </c>
      <c r="C163">
        <v>0.68</v>
      </c>
      <c r="D163">
        <v>0.97089999999999999</v>
      </c>
      <c r="E163">
        <v>4.5459999999999997E-3</v>
      </c>
      <c r="F163" s="13">
        <v>6.8099999999999996E-4</v>
      </c>
      <c r="G163">
        <v>0.30630000000000002</v>
      </c>
      <c r="H163">
        <v>3.4119999999999999</v>
      </c>
      <c r="I163">
        <v>40001</v>
      </c>
      <c r="J163">
        <v>120000</v>
      </c>
    </row>
    <row r="164" spans="2:10" x14ac:dyDescent="0.25">
      <c r="B164" t="s">
        <v>556</v>
      </c>
      <c r="C164">
        <v>0.67100000000000004</v>
      </c>
      <c r="D164">
        <v>0.92020000000000002</v>
      </c>
      <c r="E164">
        <v>6.6750000000000004E-3</v>
      </c>
      <c r="F164" s="13">
        <v>6.4360000000000003E-4</v>
      </c>
      <c r="G164">
        <v>0.314</v>
      </c>
      <c r="H164">
        <v>3.2679999999999998</v>
      </c>
      <c r="I164">
        <v>40001</v>
      </c>
      <c r="J164">
        <v>120000</v>
      </c>
    </row>
    <row r="165" spans="2:10" x14ac:dyDescent="0.25">
      <c r="B165" t="s">
        <v>557</v>
      </c>
      <c r="C165">
        <v>0.65759999999999996</v>
      </c>
      <c r="D165">
        <v>0.92600000000000005</v>
      </c>
      <c r="E165">
        <v>3.2529999999999998E-3</v>
      </c>
      <c r="F165" s="13">
        <v>6.5569999999999995E-4</v>
      </c>
      <c r="G165">
        <v>0.29970000000000002</v>
      </c>
      <c r="H165">
        <v>3.2829999999999999</v>
      </c>
      <c r="I165">
        <v>40001</v>
      </c>
      <c r="J165">
        <v>120000</v>
      </c>
    </row>
    <row r="166" spans="2:10" x14ac:dyDescent="0.25">
      <c r="B166" t="s">
        <v>558</v>
      </c>
      <c r="C166">
        <v>0.4788</v>
      </c>
      <c r="D166">
        <v>0.68049999999999999</v>
      </c>
      <c r="E166">
        <v>2.4139999999999999E-3</v>
      </c>
      <c r="F166" s="13">
        <v>4.6289999999999998E-4</v>
      </c>
      <c r="G166">
        <v>0.2155</v>
      </c>
      <c r="H166">
        <v>2.4140000000000001</v>
      </c>
      <c r="I166">
        <v>40001</v>
      </c>
      <c r="J166">
        <v>120000</v>
      </c>
    </row>
    <row r="167" spans="2:10" x14ac:dyDescent="0.25">
      <c r="B167" t="s">
        <v>559</v>
      </c>
      <c r="C167">
        <v>0.80079999999999996</v>
      </c>
      <c r="D167">
        <v>1.1339999999999999</v>
      </c>
      <c r="E167">
        <v>3.9459999999999999E-3</v>
      </c>
      <c r="F167" s="13">
        <v>7.6270000000000005E-4</v>
      </c>
      <c r="G167">
        <v>0.36249999999999999</v>
      </c>
      <c r="H167">
        <v>4.0229999999999997</v>
      </c>
      <c r="I167">
        <v>40001</v>
      </c>
      <c r="J167">
        <v>120000</v>
      </c>
    </row>
    <row r="168" spans="2:10" x14ac:dyDescent="0.25">
      <c r="B168" t="s">
        <v>560</v>
      </c>
      <c r="C168">
        <v>0.46960000000000002</v>
      </c>
      <c r="D168">
        <v>0.6976</v>
      </c>
      <c r="E168">
        <v>4.0689999999999997E-3</v>
      </c>
      <c r="F168" s="13">
        <v>4.5029999999999999E-4</v>
      </c>
      <c r="G168">
        <v>0.20399999999999999</v>
      </c>
      <c r="H168">
        <v>2.4580000000000002</v>
      </c>
      <c r="I168">
        <v>40001</v>
      </c>
      <c r="J168">
        <v>120000</v>
      </c>
    </row>
    <row r="169" spans="2:10" x14ac:dyDescent="0.25">
      <c r="B169" t="s">
        <v>561</v>
      </c>
      <c r="C169">
        <v>1.4870000000000001</v>
      </c>
      <c r="D169">
        <v>1.722</v>
      </c>
      <c r="E169">
        <v>1.704E-2</v>
      </c>
      <c r="F169">
        <v>2.4069999999999999E-3</v>
      </c>
      <c r="G169">
        <v>0.89100000000000001</v>
      </c>
      <c r="H169">
        <v>6.1749999999999998</v>
      </c>
      <c r="I169">
        <v>40001</v>
      </c>
      <c r="J169">
        <v>120000</v>
      </c>
    </row>
    <row r="170" spans="2:10" x14ac:dyDescent="0.25">
      <c r="B170" t="s">
        <v>562</v>
      </c>
      <c r="C170">
        <v>1.5209999999999999</v>
      </c>
      <c r="D170">
        <v>1.7929999999999999</v>
      </c>
      <c r="E170">
        <v>1.6299999999999999E-2</v>
      </c>
      <c r="F170">
        <v>2.3059999999999999E-3</v>
      </c>
      <c r="G170">
        <v>0.88180000000000003</v>
      </c>
      <c r="H170">
        <v>6.4219999999999997</v>
      </c>
      <c r="I170">
        <v>40001</v>
      </c>
      <c r="J170">
        <v>120000</v>
      </c>
    </row>
    <row r="171" spans="2:10" x14ac:dyDescent="0.25">
      <c r="B171" t="s">
        <v>563</v>
      </c>
      <c r="C171">
        <v>0.8851</v>
      </c>
      <c r="D171">
        <v>1.216</v>
      </c>
      <c r="E171">
        <v>7.9579999999999998E-3</v>
      </c>
      <c r="F171" s="13">
        <v>8.8219999999999998E-4</v>
      </c>
      <c r="G171">
        <v>0.41389999999999999</v>
      </c>
      <c r="H171">
        <v>4.3710000000000004</v>
      </c>
      <c r="I171">
        <v>40001</v>
      </c>
      <c r="J171">
        <v>120000</v>
      </c>
    </row>
    <row r="172" spans="2:10" x14ac:dyDescent="0.25">
      <c r="B172" t="s">
        <v>564</v>
      </c>
      <c r="C172">
        <v>0.6462</v>
      </c>
      <c r="D172">
        <v>0.92390000000000005</v>
      </c>
      <c r="E172">
        <v>8.2480000000000001E-3</v>
      </c>
      <c r="F172" s="13">
        <v>5.8180000000000005E-4</v>
      </c>
      <c r="G172">
        <v>0.29070000000000001</v>
      </c>
      <c r="H172">
        <v>3.2909999999999999</v>
      </c>
      <c r="I172">
        <v>40001</v>
      </c>
      <c r="J172">
        <v>120000</v>
      </c>
    </row>
    <row r="173" spans="2:10" x14ac:dyDescent="0.25">
      <c r="B173" t="s">
        <v>565</v>
      </c>
      <c r="C173">
        <v>0.45700000000000002</v>
      </c>
      <c r="D173">
        <v>0.64359999999999995</v>
      </c>
      <c r="E173">
        <v>4.2969999999999996E-3</v>
      </c>
      <c r="F173" s="13">
        <v>4.7179999999999998E-4</v>
      </c>
      <c r="G173">
        <v>0.21060000000000001</v>
      </c>
      <c r="H173">
        <v>2.2829999999999999</v>
      </c>
      <c r="I173">
        <v>40001</v>
      </c>
      <c r="J173">
        <v>120000</v>
      </c>
    </row>
    <row r="174" spans="2:10" x14ac:dyDescent="0.25">
      <c r="B174" t="s">
        <v>566</v>
      </c>
      <c r="C174">
        <v>0.77959999999999996</v>
      </c>
      <c r="D174">
        <v>1.0940000000000001</v>
      </c>
      <c r="E174">
        <v>3.9129999999999998E-3</v>
      </c>
      <c r="F174" s="13">
        <v>7.8399999999999997E-4</v>
      </c>
      <c r="G174">
        <v>0.36030000000000001</v>
      </c>
      <c r="H174">
        <v>3.8759999999999999</v>
      </c>
      <c r="I174">
        <v>40001</v>
      </c>
      <c r="J174">
        <v>120000</v>
      </c>
    </row>
    <row r="175" spans="2:10" x14ac:dyDescent="0.25">
      <c r="B175" t="s">
        <v>567</v>
      </c>
      <c r="C175">
        <v>0.6704</v>
      </c>
      <c r="D175">
        <v>0.94350000000000001</v>
      </c>
      <c r="E175">
        <v>3.0999999999999999E-3</v>
      </c>
      <c r="F175" s="13">
        <v>6.6739999999999996E-4</v>
      </c>
      <c r="G175">
        <v>0.30680000000000002</v>
      </c>
      <c r="H175">
        <v>3.3570000000000002</v>
      </c>
      <c r="I175">
        <v>40001</v>
      </c>
      <c r="J175">
        <v>120000</v>
      </c>
    </row>
    <row r="176" spans="2:10" x14ac:dyDescent="0.25">
      <c r="B176" t="s">
        <v>568</v>
      </c>
      <c r="C176">
        <v>0.51770000000000005</v>
      </c>
      <c r="D176">
        <v>0.71550000000000002</v>
      </c>
      <c r="E176">
        <v>3.6050000000000001E-3</v>
      </c>
      <c r="F176" s="13">
        <v>5.1480000000000004E-4</v>
      </c>
      <c r="G176">
        <v>0.2399</v>
      </c>
      <c r="H176">
        <v>2.5449999999999999</v>
      </c>
      <c r="I176">
        <v>40001</v>
      </c>
      <c r="J176">
        <v>120000</v>
      </c>
    </row>
    <row r="177" spans="2:10" x14ac:dyDescent="0.25">
      <c r="B177" t="s">
        <v>569</v>
      </c>
      <c r="C177">
        <v>0.57950000000000002</v>
      </c>
      <c r="D177">
        <v>0.83630000000000004</v>
      </c>
      <c r="E177">
        <v>5.5250000000000004E-3</v>
      </c>
      <c r="F177" s="13">
        <v>5.3350000000000001E-4</v>
      </c>
      <c r="G177">
        <v>0.25929999999999997</v>
      </c>
      <c r="H177">
        <v>2.956</v>
      </c>
      <c r="I177">
        <v>40001</v>
      </c>
      <c r="J177">
        <v>120000</v>
      </c>
    </row>
    <row r="178" spans="2:10" x14ac:dyDescent="0.25">
      <c r="B178" t="s">
        <v>570</v>
      </c>
      <c r="C178">
        <v>0.77200000000000002</v>
      </c>
      <c r="D178">
        <v>1.071</v>
      </c>
      <c r="E178">
        <v>5.8520000000000004E-3</v>
      </c>
      <c r="F178" s="13">
        <v>7.4669999999999999E-4</v>
      </c>
      <c r="G178">
        <v>0.3574</v>
      </c>
      <c r="H178">
        <v>3.8290000000000002</v>
      </c>
      <c r="I178">
        <v>40001</v>
      </c>
      <c r="J178">
        <v>120000</v>
      </c>
    </row>
    <row r="179" spans="2:10" x14ac:dyDescent="0.25">
      <c r="B179" t="s">
        <v>571</v>
      </c>
      <c r="C179">
        <v>1.3759999999999999</v>
      </c>
      <c r="D179">
        <v>1.7889999999999999</v>
      </c>
      <c r="E179">
        <v>5.8539999999999998E-3</v>
      </c>
      <c r="F179">
        <v>1.5839999999999999E-3</v>
      </c>
      <c r="G179">
        <v>0.69940000000000002</v>
      </c>
      <c r="H179">
        <v>6.3780000000000001</v>
      </c>
      <c r="I179">
        <v>40001</v>
      </c>
      <c r="J179">
        <v>120000</v>
      </c>
    </row>
    <row r="180" spans="2:10" x14ac:dyDescent="0.25">
      <c r="B180" t="s">
        <v>572</v>
      </c>
      <c r="C180">
        <v>0.80800000000000005</v>
      </c>
      <c r="D180">
        <v>0.83560000000000001</v>
      </c>
      <c r="E180">
        <v>4.1009999999999996E-3</v>
      </c>
      <c r="F180">
        <v>2.0230000000000001E-2</v>
      </c>
      <c r="G180">
        <v>0.54620000000000002</v>
      </c>
      <c r="H180">
        <v>3.0649999999999999</v>
      </c>
      <c r="I180">
        <v>40001</v>
      </c>
      <c r="J180">
        <v>120000</v>
      </c>
    </row>
    <row r="181" spans="2:10" x14ac:dyDescent="0.25">
      <c r="B181" t="s">
        <v>573</v>
      </c>
      <c r="C181">
        <v>0.73729999999999996</v>
      </c>
      <c r="D181">
        <v>1.0389999999999999</v>
      </c>
      <c r="E181">
        <v>5.0689999999999997E-3</v>
      </c>
      <c r="F181" s="13">
        <v>7.4430000000000004E-4</v>
      </c>
      <c r="G181">
        <v>0.3372</v>
      </c>
      <c r="H181">
        <v>3.6890000000000001</v>
      </c>
      <c r="I181">
        <v>40001</v>
      </c>
      <c r="J181">
        <v>120000</v>
      </c>
    </row>
    <row r="182" spans="2:10" x14ac:dyDescent="0.25">
      <c r="B182" t="s">
        <v>574</v>
      </c>
      <c r="C182">
        <v>0.82550000000000001</v>
      </c>
      <c r="D182">
        <v>1.0509999999999999</v>
      </c>
      <c r="E182">
        <v>7.3670000000000003E-3</v>
      </c>
      <c r="F182" s="13">
        <v>9.5620000000000004E-4</v>
      </c>
      <c r="G182">
        <v>0.42699999999999999</v>
      </c>
      <c r="H182">
        <v>3.7759999999999998</v>
      </c>
      <c r="I182">
        <v>40001</v>
      </c>
      <c r="J182">
        <v>120000</v>
      </c>
    </row>
    <row r="183" spans="2:10" x14ac:dyDescent="0.25">
      <c r="B183" t="s">
        <v>575</v>
      </c>
      <c r="C183">
        <v>0.71870000000000001</v>
      </c>
      <c r="D183">
        <v>1.0209999999999999</v>
      </c>
      <c r="E183">
        <v>3.6319999999999998E-3</v>
      </c>
      <c r="F183" s="13">
        <v>7.1210000000000002E-4</v>
      </c>
      <c r="G183">
        <v>0.32340000000000002</v>
      </c>
      <c r="H183">
        <v>3.6179999999999999</v>
      </c>
      <c r="I183">
        <v>40001</v>
      </c>
      <c r="J183">
        <v>120000</v>
      </c>
    </row>
    <row r="184" spans="2:10" x14ac:dyDescent="0.25">
      <c r="B184" t="s">
        <v>576</v>
      </c>
      <c r="C184">
        <v>0.88360000000000005</v>
      </c>
      <c r="D184">
        <v>1.034</v>
      </c>
      <c r="E184">
        <v>6.489E-3</v>
      </c>
      <c r="F184">
        <v>1.4059999999999999E-3</v>
      </c>
      <c r="G184">
        <v>0.52229999999999999</v>
      </c>
      <c r="H184">
        <v>3.718</v>
      </c>
      <c r="I184">
        <v>40001</v>
      </c>
      <c r="J184">
        <v>120000</v>
      </c>
    </row>
    <row r="185" spans="2:10" x14ac:dyDescent="0.25">
      <c r="B185" t="s">
        <v>577</v>
      </c>
      <c r="C185">
        <v>0.84840000000000004</v>
      </c>
      <c r="D185">
        <v>1.163</v>
      </c>
      <c r="E185">
        <v>7.0660000000000002E-3</v>
      </c>
      <c r="F185" s="13">
        <v>8.8380000000000002E-4</v>
      </c>
      <c r="G185">
        <v>0.3997</v>
      </c>
      <c r="H185">
        <v>4.1740000000000004</v>
      </c>
      <c r="I185">
        <v>40001</v>
      </c>
      <c r="J185">
        <v>120000</v>
      </c>
    </row>
    <row r="186" spans="2:10" x14ac:dyDescent="0.25">
      <c r="B186" t="s">
        <v>578</v>
      </c>
      <c r="C186">
        <v>1.1160000000000001</v>
      </c>
      <c r="D186">
        <v>1.329</v>
      </c>
      <c r="E186">
        <v>1.136E-2</v>
      </c>
      <c r="F186">
        <v>1.464E-3</v>
      </c>
      <c r="G186">
        <v>0.63570000000000004</v>
      </c>
      <c r="H186">
        <v>4.7460000000000004</v>
      </c>
      <c r="I186">
        <v>40001</v>
      </c>
      <c r="J186">
        <v>120000</v>
      </c>
    </row>
    <row r="187" spans="2:10" x14ac:dyDescent="0.25">
      <c r="B187" t="s">
        <v>579</v>
      </c>
      <c r="C187">
        <v>0.94950000000000001</v>
      </c>
      <c r="D187">
        <v>1.264</v>
      </c>
      <c r="E187">
        <v>1.223E-2</v>
      </c>
      <c r="F187">
        <v>1.041E-3</v>
      </c>
      <c r="G187">
        <v>0.4617</v>
      </c>
      <c r="H187">
        <v>4.5229999999999997</v>
      </c>
      <c r="I187">
        <v>40001</v>
      </c>
      <c r="J187">
        <v>120000</v>
      </c>
    </row>
    <row r="188" spans="2:10" x14ac:dyDescent="0.25">
      <c r="B188" t="s">
        <v>580</v>
      </c>
      <c r="C188">
        <v>0.76439999999999997</v>
      </c>
      <c r="D188">
        <v>1.115</v>
      </c>
      <c r="E188">
        <v>7.9600000000000001E-3</v>
      </c>
      <c r="F188" s="13">
        <v>6.6290000000000001E-4</v>
      </c>
      <c r="G188">
        <v>0.33760000000000001</v>
      </c>
      <c r="H188">
        <v>3.911</v>
      </c>
      <c r="I188">
        <v>40001</v>
      </c>
      <c r="J188">
        <v>120000</v>
      </c>
    </row>
    <row r="189" spans="2:10" x14ac:dyDescent="0.25">
      <c r="B189" t="s">
        <v>581</v>
      </c>
      <c r="C189">
        <v>0</v>
      </c>
      <c r="D189">
        <v>0</v>
      </c>
      <c r="E189" s="13">
        <v>1.6670000000000001E-13</v>
      </c>
      <c r="F189">
        <v>0</v>
      </c>
      <c r="G189">
        <v>0</v>
      </c>
      <c r="H189">
        <v>0</v>
      </c>
      <c r="I189">
        <v>40001</v>
      </c>
      <c r="J189">
        <v>120000</v>
      </c>
    </row>
    <row r="190" spans="2:10" x14ac:dyDescent="0.25">
      <c r="B190" t="s">
        <v>582</v>
      </c>
      <c r="C190" s="13">
        <v>7.4999999999999993E-5</v>
      </c>
      <c r="D190">
        <v>8.6599999999999993E-3</v>
      </c>
      <c r="E190" s="13">
        <v>4.7889999999999997E-5</v>
      </c>
      <c r="F190">
        <v>0</v>
      </c>
      <c r="G190">
        <v>0</v>
      </c>
      <c r="H190">
        <v>0</v>
      </c>
      <c r="I190">
        <v>40001</v>
      </c>
      <c r="J190">
        <v>120000</v>
      </c>
    </row>
    <row r="191" spans="2:10" x14ac:dyDescent="0.25">
      <c r="B191" t="s">
        <v>583</v>
      </c>
      <c r="C191" s="13">
        <v>5.5829999999999996E-4</v>
      </c>
      <c r="D191">
        <v>2.3619999999999999E-2</v>
      </c>
      <c r="E191" s="13">
        <v>2.6939999999999999E-4</v>
      </c>
      <c r="F191">
        <v>0</v>
      </c>
      <c r="G191">
        <v>0</v>
      </c>
      <c r="H191">
        <v>0</v>
      </c>
      <c r="I191">
        <v>40001</v>
      </c>
      <c r="J191">
        <v>120000</v>
      </c>
    </row>
    <row r="192" spans="2:10" x14ac:dyDescent="0.25">
      <c r="B192" t="s">
        <v>584</v>
      </c>
      <c r="C192">
        <v>2.5170000000000001E-3</v>
      </c>
      <c r="D192">
        <v>5.0099999999999999E-2</v>
      </c>
      <c r="E192" s="13">
        <v>6.0119999999999998E-4</v>
      </c>
      <c r="F192">
        <v>0</v>
      </c>
      <c r="G192">
        <v>0</v>
      </c>
      <c r="H192">
        <v>0</v>
      </c>
      <c r="I192">
        <v>40001</v>
      </c>
      <c r="J192">
        <v>120000</v>
      </c>
    </row>
    <row r="193" spans="2:10" x14ac:dyDescent="0.25">
      <c r="B193" t="s">
        <v>585</v>
      </c>
      <c r="C193">
        <v>9.7669999999999996E-3</v>
      </c>
      <c r="D193">
        <v>9.8339999999999997E-2</v>
      </c>
      <c r="E193">
        <v>1.253E-3</v>
      </c>
      <c r="F193">
        <v>0</v>
      </c>
      <c r="G193">
        <v>0</v>
      </c>
      <c r="H193">
        <v>0</v>
      </c>
      <c r="I193">
        <v>40001</v>
      </c>
      <c r="J193">
        <v>120000</v>
      </c>
    </row>
    <row r="194" spans="2:10" x14ac:dyDescent="0.25">
      <c r="B194" t="s">
        <v>586</v>
      </c>
      <c r="C194">
        <v>4.3090000000000003E-2</v>
      </c>
      <c r="D194">
        <v>0.2031</v>
      </c>
      <c r="E194">
        <v>3.0539999999999999E-3</v>
      </c>
      <c r="F194">
        <v>0</v>
      </c>
      <c r="G194">
        <v>0</v>
      </c>
      <c r="H194">
        <v>1</v>
      </c>
      <c r="I194">
        <v>40001</v>
      </c>
      <c r="J194">
        <v>120000</v>
      </c>
    </row>
    <row r="195" spans="2:10" x14ac:dyDescent="0.25">
      <c r="B195" t="s">
        <v>587</v>
      </c>
      <c r="C195">
        <v>0.14199999999999999</v>
      </c>
      <c r="D195">
        <v>0.34899999999999998</v>
      </c>
      <c r="E195">
        <v>5.3189999999999999E-3</v>
      </c>
      <c r="F195">
        <v>0</v>
      </c>
      <c r="G195">
        <v>0</v>
      </c>
      <c r="H195">
        <v>1</v>
      </c>
      <c r="I195">
        <v>40001</v>
      </c>
      <c r="J195">
        <v>120000</v>
      </c>
    </row>
    <row r="196" spans="2:10" x14ac:dyDescent="0.25">
      <c r="B196" t="s">
        <v>588</v>
      </c>
      <c r="C196">
        <v>0.4078</v>
      </c>
      <c r="D196">
        <v>0.4914</v>
      </c>
      <c r="E196">
        <v>7.7019999999999996E-3</v>
      </c>
      <c r="F196">
        <v>0</v>
      </c>
      <c r="G196">
        <v>0</v>
      </c>
      <c r="H196">
        <v>1</v>
      </c>
      <c r="I196">
        <v>40001</v>
      </c>
      <c r="J196">
        <v>120000</v>
      </c>
    </row>
    <row r="197" spans="2:10" x14ac:dyDescent="0.25">
      <c r="B197" t="s">
        <v>589</v>
      </c>
      <c r="C197">
        <v>0.36909999999999998</v>
      </c>
      <c r="D197">
        <v>0.48259999999999997</v>
      </c>
      <c r="E197">
        <v>9.3480000000000004E-3</v>
      </c>
      <c r="F197">
        <v>0</v>
      </c>
      <c r="G197">
        <v>0</v>
      </c>
      <c r="H197">
        <v>1</v>
      </c>
      <c r="I197">
        <v>40001</v>
      </c>
      <c r="J197">
        <v>120000</v>
      </c>
    </row>
    <row r="198" spans="2:10" x14ac:dyDescent="0.25">
      <c r="B198" t="s">
        <v>590</v>
      </c>
      <c r="C198">
        <v>2.5090000000000001E-2</v>
      </c>
      <c r="D198">
        <v>0.15640000000000001</v>
      </c>
      <c r="E198">
        <v>2.4889999999999999E-3</v>
      </c>
      <c r="F198">
        <v>0</v>
      </c>
      <c r="G198">
        <v>0</v>
      </c>
      <c r="H198">
        <v>1</v>
      </c>
      <c r="I198">
        <v>40001</v>
      </c>
      <c r="J198">
        <v>120000</v>
      </c>
    </row>
    <row r="199" spans="2:10" x14ac:dyDescent="0.25">
      <c r="B199" t="s">
        <v>591</v>
      </c>
      <c r="C199" s="13">
        <v>5.0000000000000002E-5</v>
      </c>
      <c r="D199">
        <v>7.071E-3</v>
      </c>
      <c r="E199" s="13">
        <v>3.731E-5</v>
      </c>
      <c r="F199">
        <v>0</v>
      </c>
      <c r="G199">
        <v>0</v>
      </c>
      <c r="H199">
        <v>0</v>
      </c>
      <c r="I199">
        <v>40001</v>
      </c>
      <c r="J199">
        <v>120000</v>
      </c>
    </row>
    <row r="200" spans="2:10" x14ac:dyDescent="0.25">
      <c r="B200" t="s">
        <v>592</v>
      </c>
      <c r="C200">
        <v>3.1080000000000001E-3</v>
      </c>
      <c r="D200">
        <v>5.5669999999999997E-2</v>
      </c>
      <c r="E200" s="13">
        <v>6.3940000000000004E-4</v>
      </c>
      <c r="F200">
        <v>0</v>
      </c>
      <c r="G200">
        <v>0</v>
      </c>
      <c r="H200">
        <v>0</v>
      </c>
      <c r="I200">
        <v>40001</v>
      </c>
      <c r="J200">
        <v>120000</v>
      </c>
    </row>
    <row r="201" spans="2:10" x14ac:dyDescent="0.25">
      <c r="B201" t="s">
        <v>593</v>
      </c>
      <c r="C201">
        <v>1.6320000000000001E-2</v>
      </c>
      <c r="D201">
        <v>0.12670000000000001</v>
      </c>
      <c r="E201">
        <v>1.531E-3</v>
      </c>
      <c r="F201">
        <v>0</v>
      </c>
      <c r="G201">
        <v>0</v>
      </c>
      <c r="H201">
        <v>0</v>
      </c>
      <c r="I201">
        <v>40001</v>
      </c>
      <c r="J201">
        <v>120000</v>
      </c>
    </row>
    <row r="202" spans="2:10" x14ac:dyDescent="0.25">
      <c r="B202" t="s">
        <v>594</v>
      </c>
      <c r="C202">
        <v>6.3539999999999999E-2</v>
      </c>
      <c r="D202">
        <v>0.24390000000000001</v>
      </c>
      <c r="E202">
        <v>3.3170000000000001E-3</v>
      </c>
      <c r="F202">
        <v>0</v>
      </c>
      <c r="G202">
        <v>0</v>
      </c>
      <c r="H202">
        <v>1</v>
      </c>
      <c r="I202">
        <v>40001</v>
      </c>
      <c r="J202">
        <v>120000</v>
      </c>
    </row>
    <row r="203" spans="2:10" x14ac:dyDescent="0.25">
      <c r="B203" t="s">
        <v>595</v>
      </c>
      <c r="C203">
        <v>0.15989999999999999</v>
      </c>
      <c r="D203">
        <v>0.36649999999999999</v>
      </c>
      <c r="E203">
        <v>4.4970000000000001E-3</v>
      </c>
      <c r="F203">
        <v>0</v>
      </c>
      <c r="G203">
        <v>0</v>
      </c>
      <c r="H203">
        <v>1</v>
      </c>
      <c r="I203">
        <v>40001</v>
      </c>
      <c r="J203">
        <v>120000</v>
      </c>
    </row>
    <row r="204" spans="2:10" x14ac:dyDescent="0.25">
      <c r="B204" t="s">
        <v>596</v>
      </c>
      <c r="C204">
        <v>0.2969</v>
      </c>
      <c r="D204">
        <v>0.45689999999999997</v>
      </c>
      <c r="E204">
        <v>5.3439999999999998E-3</v>
      </c>
      <c r="F204">
        <v>0</v>
      </c>
      <c r="G204">
        <v>0</v>
      </c>
      <c r="H204">
        <v>1</v>
      </c>
      <c r="I204">
        <v>40001</v>
      </c>
      <c r="J204">
        <v>120000</v>
      </c>
    </row>
    <row r="205" spans="2:10" x14ac:dyDescent="0.25">
      <c r="B205" t="s">
        <v>597</v>
      </c>
      <c r="C205">
        <v>0.31890000000000002</v>
      </c>
      <c r="D205">
        <v>0.46610000000000001</v>
      </c>
      <c r="E205">
        <v>6.515E-3</v>
      </c>
      <c r="F205">
        <v>0</v>
      </c>
      <c r="G205">
        <v>0</v>
      </c>
      <c r="H205">
        <v>1</v>
      </c>
      <c r="I205">
        <v>40001</v>
      </c>
      <c r="J205">
        <v>120000</v>
      </c>
    </row>
    <row r="206" spans="2:10" x14ac:dyDescent="0.25">
      <c r="B206" t="s">
        <v>598</v>
      </c>
      <c r="C206">
        <v>0.1232</v>
      </c>
      <c r="D206">
        <v>0.32869999999999999</v>
      </c>
      <c r="E206">
        <v>5.1070000000000004E-3</v>
      </c>
      <c r="F206">
        <v>0</v>
      </c>
      <c r="G206">
        <v>0</v>
      </c>
      <c r="H206">
        <v>1</v>
      </c>
      <c r="I206">
        <v>40001</v>
      </c>
      <c r="J206">
        <v>120000</v>
      </c>
    </row>
    <row r="207" spans="2:10" x14ac:dyDescent="0.25">
      <c r="B207" t="s">
        <v>599</v>
      </c>
      <c r="C207">
        <v>1.5859999999999999E-2</v>
      </c>
      <c r="D207">
        <v>0.1249</v>
      </c>
      <c r="E207">
        <v>1.7949999999999999E-3</v>
      </c>
      <c r="F207">
        <v>0</v>
      </c>
      <c r="G207">
        <v>0</v>
      </c>
      <c r="H207">
        <v>0</v>
      </c>
      <c r="I207">
        <v>40001</v>
      </c>
      <c r="J207">
        <v>120000</v>
      </c>
    </row>
    <row r="208" spans="2:10" x14ac:dyDescent="0.25">
      <c r="B208" t="s">
        <v>600</v>
      </c>
      <c r="C208">
        <v>2.225E-3</v>
      </c>
      <c r="D208">
        <v>4.7120000000000002E-2</v>
      </c>
      <c r="E208" s="13">
        <v>8.5019999999999996E-4</v>
      </c>
      <c r="F208">
        <v>0</v>
      </c>
      <c r="G208">
        <v>0</v>
      </c>
      <c r="H208">
        <v>0</v>
      </c>
      <c r="I208">
        <v>40001</v>
      </c>
      <c r="J208">
        <v>120000</v>
      </c>
    </row>
    <row r="209" spans="2:10" x14ac:dyDescent="0.25">
      <c r="B209" t="s">
        <v>601</v>
      </c>
      <c r="C209">
        <v>3.7909999999999999E-2</v>
      </c>
      <c r="D209">
        <v>0.191</v>
      </c>
      <c r="E209">
        <v>2.859E-3</v>
      </c>
      <c r="F209">
        <v>0</v>
      </c>
      <c r="G209">
        <v>0</v>
      </c>
      <c r="H209">
        <v>1</v>
      </c>
      <c r="I209">
        <v>40001</v>
      </c>
      <c r="J209">
        <v>120000</v>
      </c>
    </row>
    <row r="210" spans="2:10" x14ac:dyDescent="0.25">
      <c r="B210" t="s">
        <v>602</v>
      </c>
      <c r="C210">
        <v>0.1671</v>
      </c>
      <c r="D210">
        <v>0.373</v>
      </c>
      <c r="E210">
        <v>5.6160000000000003E-3</v>
      </c>
      <c r="F210">
        <v>0</v>
      </c>
      <c r="G210">
        <v>0</v>
      </c>
      <c r="H210">
        <v>1</v>
      </c>
      <c r="I210">
        <v>40001</v>
      </c>
      <c r="J210">
        <v>120000</v>
      </c>
    </row>
    <row r="211" spans="2:10" x14ac:dyDescent="0.25">
      <c r="B211" t="s">
        <v>603</v>
      </c>
      <c r="C211">
        <v>0.29709999999999998</v>
      </c>
      <c r="D211">
        <v>0.45700000000000002</v>
      </c>
      <c r="E211">
        <v>5.7089999999999997E-3</v>
      </c>
      <c r="F211">
        <v>0</v>
      </c>
      <c r="G211">
        <v>0</v>
      </c>
      <c r="H211">
        <v>1</v>
      </c>
      <c r="I211">
        <v>40001</v>
      </c>
      <c r="J211">
        <v>120000</v>
      </c>
    </row>
    <row r="212" spans="2:10" x14ac:dyDescent="0.25">
      <c r="B212" t="s">
        <v>604</v>
      </c>
      <c r="C212">
        <v>0.27339999999999998</v>
      </c>
      <c r="D212">
        <v>0.44569999999999999</v>
      </c>
      <c r="E212">
        <v>5.5030000000000001E-3</v>
      </c>
      <c r="F212">
        <v>0</v>
      </c>
      <c r="G212">
        <v>0</v>
      </c>
      <c r="H212">
        <v>1</v>
      </c>
      <c r="I212">
        <v>40001</v>
      </c>
      <c r="J212">
        <v>120000</v>
      </c>
    </row>
    <row r="213" spans="2:10" x14ac:dyDescent="0.25">
      <c r="B213" t="s">
        <v>605</v>
      </c>
      <c r="C213">
        <v>0.14510000000000001</v>
      </c>
      <c r="D213">
        <v>0.35220000000000001</v>
      </c>
      <c r="E213">
        <v>4.6670000000000001E-3</v>
      </c>
      <c r="F213">
        <v>0</v>
      </c>
      <c r="G213">
        <v>0</v>
      </c>
      <c r="H213">
        <v>1</v>
      </c>
      <c r="I213">
        <v>40001</v>
      </c>
      <c r="J213">
        <v>120000</v>
      </c>
    </row>
    <row r="214" spans="2:10" x14ac:dyDescent="0.25">
      <c r="B214" t="s">
        <v>606</v>
      </c>
      <c r="C214">
        <v>5.7880000000000001E-2</v>
      </c>
      <c r="D214">
        <v>0.23350000000000001</v>
      </c>
      <c r="E214">
        <v>3.3180000000000002E-3</v>
      </c>
      <c r="F214">
        <v>0</v>
      </c>
      <c r="G214">
        <v>0</v>
      </c>
      <c r="H214">
        <v>1</v>
      </c>
      <c r="I214">
        <v>40001</v>
      </c>
      <c r="J214">
        <v>120000</v>
      </c>
    </row>
    <row r="215" spans="2:10" x14ac:dyDescent="0.25">
      <c r="B215" t="s">
        <v>607</v>
      </c>
      <c r="C215">
        <v>1.7559999999999999E-2</v>
      </c>
      <c r="D215">
        <v>0.1313</v>
      </c>
      <c r="E215">
        <v>1.717E-3</v>
      </c>
      <c r="F215">
        <v>0</v>
      </c>
      <c r="G215">
        <v>0</v>
      </c>
      <c r="H215">
        <v>0</v>
      </c>
      <c r="I215">
        <v>40001</v>
      </c>
      <c r="J215">
        <v>120000</v>
      </c>
    </row>
    <row r="216" spans="2:10" x14ac:dyDescent="0.25">
      <c r="B216" t="s">
        <v>608</v>
      </c>
      <c r="C216">
        <v>3.8500000000000001E-3</v>
      </c>
      <c r="D216">
        <v>6.1929999999999999E-2</v>
      </c>
      <c r="E216" s="13">
        <v>5.9800000000000001E-4</v>
      </c>
      <c r="F216">
        <v>0</v>
      </c>
      <c r="G216">
        <v>0</v>
      </c>
      <c r="H216">
        <v>0</v>
      </c>
      <c r="I216">
        <v>40001</v>
      </c>
      <c r="J216">
        <v>120000</v>
      </c>
    </row>
    <row r="217" spans="2:10" x14ac:dyDescent="0.25">
      <c r="B217" t="s">
        <v>609</v>
      </c>
      <c r="C217" s="13">
        <v>1.917E-4</v>
      </c>
      <c r="D217">
        <v>1.384E-2</v>
      </c>
      <c r="E217" s="13">
        <v>8.1050000000000005E-5</v>
      </c>
      <c r="F217">
        <v>0</v>
      </c>
      <c r="G217">
        <v>0</v>
      </c>
      <c r="H217">
        <v>0</v>
      </c>
      <c r="I217">
        <v>40001</v>
      </c>
      <c r="J217">
        <v>120000</v>
      </c>
    </row>
    <row r="218" spans="2:10" x14ac:dyDescent="0.25">
      <c r="B218" t="s">
        <v>610</v>
      </c>
      <c r="C218">
        <v>0</v>
      </c>
      <c r="D218">
        <v>0</v>
      </c>
      <c r="E218" s="13">
        <v>1.6670000000000001E-13</v>
      </c>
      <c r="F218">
        <v>0</v>
      </c>
      <c r="G218">
        <v>0</v>
      </c>
      <c r="H218">
        <v>0</v>
      </c>
      <c r="I218">
        <v>40001</v>
      </c>
      <c r="J218">
        <v>120000</v>
      </c>
    </row>
    <row r="219" spans="2:10" x14ac:dyDescent="0.25">
      <c r="B219" t="s">
        <v>611</v>
      </c>
      <c r="C219">
        <v>6.3030000000000003E-2</v>
      </c>
      <c r="D219">
        <v>0.24299999999999999</v>
      </c>
      <c r="E219">
        <v>4.0699999999999998E-3</v>
      </c>
      <c r="F219">
        <v>0</v>
      </c>
      <c r="G219">
        <v>0</v>
      </c>
      <c r="H219">
        <v>1</v>
      </c>
      <c r="I219">
        <v>40001</v>
      </c>
      <c r="J219">
        <v>120000</v>
      </c>
    </row>
    <row r="220" spans="2:10" x14ac:dyDescent="0.25">
      <c r="B220" t="s">
        <v>612</v>
      </c>
      <c r="C220">
        <v>0.1384</v>
      </c>
      <c r="D220">
        <v>0.34539999999999998</v>
      </c>
      <c r="E220">
        <v>5.0359999999999997E-3</v>
      </c>
      <c r="F220">
        <v>0</v>
      </c>
      <c r="G220">
        <v>0</v>
      </c>
      <c r="H220">
        <v>1</v>
      </c>
      <c r="I220">
        <v>40001</v>
      </c>
      <c r="J220">
        <v>120000</v>
      </c>
    </row>
    <row r="221" spans="2:10" x14ac:dyDescent="0.25">
      <c r="B221" t="s">
        <v>613</v>
      </c>
      <c r="C221">
        <v>0.17380000000000001</v>
      </c>
      <c r="D221">
        <v>0.379</v>
      </c>
      <c r="E221">
        <v>4.5009999999999998E-3</v>
      </c>
      <c r="F221">
        <v>0</v>
      </c>
      <c r="G221">
        <v>0</v>
      </c>
      <c r="H221">
        <v>1</v>
      </c>
      <c r="I221">
        <v>40001</v>
      </c>
      <c r="J221">
        <v>120000</v>
      </c>
    </row>
    <row r="222" spans="2:10" x14ac:dyDescent="0.25">
      <c r="B222" t="s">
        <v>614</v>
      </c>
      <c r="C222">
        <v>0.17960000000000001</v>
      </c>
      <c r="D222">
        <v>0.38379999999999997</v>
      </c>
      <c r="E222">
        <v>4.1929999999999997E-3</v>
      </c>
      <c r="F222">
        <v>0</v>
      </c>
      <c r="G222">
        <v>0</v>
      </c>
      <c r="H222">
        <v>1</v>
      </c>
      <c r="I222">
        <v>40001</v>
      </c>
      <c r="J222">
        <v>120000</v>
      </c>
    </row>
    <row r="223" spans="2:10" x14ac:dyDescent="0.25">
      <c r="B223" t="s">
        <v>615</v>
      </c>
      <c r="C223">
        <v>0.15759999999999999</v>
      </c>
      <c r="D223">
        <v>0.3644</v>
      </c>
      <c r="E223">
        <v>4.091E-3</v>
      </c>
      <c r="F223">
        <v>0</v>
      </c>
      <c r="G223">
        <v>0</v>
      </c>
      <c r="H223">
        <v>1</v>
      </c>
      <c r="I223">
        <v>40001</v>
      </c>
      <c r="J223">
        <v>120000</v>
      </c>
    </row>
    <row r="224" spans="2:10" x14ac:dyDescent="0.25">
      <c r="B224" t="s">
        <v>616</v>
      </c>
      <c r="C224">
        <v>0.108</v>
      </c>
      <c r="D224">
        <v>0.31040000000000001</v>
      </c>
      <c r="E224">
        <v>3.542E-3</v>
      </c>
      <c r="F224">
        <v>0</v>
      </c>
      <c r="G224">
        <v>0</v>
      </c>
      <c r="H224">
        <v>1</v>
      </c>
      <c r="I224">
        <v>40001</v>
      </c>
      <c r="J224">
        <v>120000</v>
      </c>
    </row>
    <row r="225" spans="2:10" x14ac:dyDescent="0.25">
      <c r="B225" t="s">
        <v>617</v>
      </c>
      <c r="C225">
        <v>9.0399999999999994E-2</v>
      </c>
      <c r="D225">
        <v>0.2868</v>
      </c>
      <c r="E225">
        <v>3.8180000000000002E-3</v>
      </c>
      <c r="F225">
        <v>0</v>
      </c>
      <c r="G225">
        <v>0</v>
      </c>
      <c r="H225">
        <v>1</v>
      </c>
      <c r="I225">
        <v>40001</v>
      </c>
      <c r="J225">
        <v>120000</v>
      </c>
    </row>
    <row r="226" spans="2:10" x14ac:dyDescent="0.25">
      <c r="B226" t="s">
        <v>618</v>
      </c>
      <c r="C226">
        <v>5.7090000000000002E-2</v>
      </c>
      <c r="D226">
        <v>0.23200000000000001</v>
      </c>
      <c r="E226">
        <v>3.0980000000000001E-3</v>
      </c>
      <c r="F226">
        <v>0</v>
      </c>
      <c r="G226">
        <v>0</v>
      </c>
      <c r="H226">
        <v>1</v>
      </c>
      <c r="I226">
        <v>40001</v>
      </c>
      <c r="J226">
        <v>120000</v>
      </c>
    </row>
    <row r="227" spans="2:10" x14ac:dyDescent="0.25">
      <c r="B227" t="s">
        <v>619</v>
      </c>
      <c r="C227">
        <v>2.3619999999999999E-2</v>
      </c>
      <c r="D227">
        <v>0.15190000000000001</v>
      </c>
      <c r="E227">
        <v>2.1480000000000002E-3</v>
      </c>
      <c r="F227">
        <v>0</v>
      </c>
      <c r="G227">
        <v>0</v>
      </c>
      <c r="H227">
        <v>0</v>
      </c>
      <c r="I227">
        <v>40001</v>
      </c>
      <c r="J227">
        <v>120000</v>
      </c>
    </row>
    <row r="228" spans="2:10" x14ac:dyDescent="0.25">
      <c r="B228" t="s">
        <v>620</v>
      </c>
      <c r="C228">
        <v>8.4250000000000002E-3</v>
      </c>
      <c r="D228">
        <v>9.1399999999999995E-2</v>
      </c>
      <c r="E228">
        <v>1.573E-3</v>
      </c>
      <c r="F228">
        <v>0</v>
      </c>
      <c r="G228">
        <v>0</v>
      </c>
      <c r="H228">
        <v>0</v>
      </c>
      <c r="I228">
        <v>40001</v>
      </c>
      <c r="J228">
        <v>120000</v>
      </c>
    </row>
    <row r="229" spans="2:10" x14ac:dyDescent="0.25">
      <c r="B229" t="s">
        <v>621</v>
      </c>
      <c r="C229">
        <v>3.5279999999999999E-2</v>
      </c>
      <c r="D229">
        <v>0.1845</v>
      </c>
      <c r="E229">
        <v>3.1080000000000001E-3</v>
      </c>
      <c r="F229">
        <v>0</v>
      </c>
      <c r="G229">
        <v>0</v>
      </c>
      <c r="H229">
        <v>1</v>
      </c>
      <c r="I229">
        <v>40001</v>
      </c>
      <c r="J229">
        <v>120000</v>
      </c>
    </row>
    <row r="230" spans="2:10" x14ac:dyDescent="0.25">
      <c r="B230" t="s">
        <v>622</v>
      </c>
      <c r="C230">
        <v>5.0840000000000003E-2</v>
      </c>
      <c r="D230">
        <v>0.21970000000000001</v>
      </c>
      <c r="E230">
        <v>2.957E-3</v>
      </c>
      <c r="F230">
        <v>0</v>
      </c>
      <c r="G230">
        <v>0</v>
      </c>
      <c r="H230">
        <v>1</v>
      </c>
      <c r="I230">
        <v>40001</v>
      </c>
      <c r="J230">
        <v>120000</v>
      </c>
    </row>
    <row r="231" spans="2:10" x14ac:dyDescent="0.25">
      <c r="B231" t="s">
        <v>623</v>
      </c>
      <c r="C231">
        <v>5.5030000000000003E-2</v>
      </c>
      <c r="D231">
        <v>0.22800000000000001</v>
      </c>
      <c r="E231">
        <v>2.6809999999999998E-3</v>
      </c>
      <c r="F231">
        <v>0</v>
      </c>
      <c r="G231">
        <v>0</v>
      </c>
      <c r="H231">
        <v>1</v>
      </c>
      <c r="I231">
        <v>40001</v>
      </c>
      <c r="J231">
        <v>120000</v>
      </c>
    </row>
    <row r="232" spans="2:10" x14ac:dyDescent="0.25">
      <c r="B232" t="s">
        <v>624</v>
      </c>
      <c r="C232">
        <v>5.4620000000000002E-2</v>
      </c>
      <c r="D232">
        <v>0.22720000000000001</v>
      </c>
      <c r="E232">
        <v>2.16E-3</v>
      </c>
      <c r="F232">
        <v>0</v>
      </c>
      <c r="G232">
        <v>0</v>
      </c>
      <c r="H232">
        <v>1</v>
      </c>
      <c r="I232">
        <v>40001</v>
      </c>
      <c r="J232">
        <v>120000</v>
      </c>
    </row>
    <row r="233" spans="2:10" x14ac:dyDescent="0.25">
      <c r="B233" t="s">
        <v>625</v>
      </c>
      <c r="C233">
        <v>5.9369999999999999E-2</v>
      </c>
      <c r="D233">
        <v>0.23630000000000001</v>
      </c>
      <c r="E233">
        <v>2.2820000000000002E-3</v>
      </c>
      <c r="F233">
        <v>0</v>
      </c>
      <c r="G233">
        <v>0</v>
      </c>
      <c r="H233">
        <v>1</v>
      </c>
      <c r="I233">
        <v>40001</v>
      </c>
      <c r="J233">
        <v>120000</v>
      </c>
    </row>
    <row r="234" spans="2:10" x14ac:dyDescent="0.25">
      <c r="B234" t="s">
        <v>626</v>
      </c>
      <c r="C234">
        <v>6.9510000000000002E-2</v>
      </c>
      <c r="D234">
        <v>0.25430000000000003</v>
      </c>
      <c r="E234">
        <v>2.591E-3</v>
      </c>
      <c r="F234">
        <v>0</v>
      </c>
      <c r="G234">
        <v>0</v>
      </c>
      <c r="H234">
        <v>1</v>
      </c>
      <c r="I234">
        <v>40001</v>
      </c>
      <c r="J234">
        <v>120000</v>
      </c>
    </row>
    <row r="235" spans="2:10" x14ac:dyDescent="0.25">
      <c r="B235" t="s">
        <v>627</v>
      </c>
      <c r="C235">
        <v>7.7939999999999995E-2</v>
      </c>
      <c r="D235">
        <v>0.2681</v>
      </c>
      <c r="E235">
        <v>2.4459999999999998E-3</v>
      </c>
      <c r="F235">
        <v>0</v>
      </c>
      <c r="G235">
        <v>0</v>
      </c>
      <c r="H235">
        <v>1</v>
      </c>
      <c r="I235">
        <v>40001</v>
      </c>
      <c r="J235">
        <v>120000</v>
      </c>
    </row>
    <row r="236" spans="2:10" x14ac:dyDescent="0.25">
      <c r="B236" t="s">
        <v>628</v>
      </c>
      <c r="C236">
        <v>0.12470000000000001</v>
      </c>
      <c r="D236">
        <v>0.33040000000000003</v>
      </c>
      <c r="E236">
        <v>3.7039999999999998E-3</v>
      </c>
      <c r="F236">
        <v>0</v>
      </c>
      <c r="G236">
        <v>0</v>
      </c>
      <c r="H236">
        <v>1</v>
      </c>
      <c r="I236">
        <v>40001</v>
      </c>
      <c r="J236">
        <v>120000</v>
      </c>
    </row>
    <row r="237" spans="2:10" x14ac:dyDescent="0.25">
      <c r="B237" t="s">
        <v>629</v>
      </c>
      <c r="C237">
        <v>0.16900000000000001</v>
      </c>
      <c r="D237">
        <v>0.37469999999999998</v>
      </c>
      <c r="E237">
        <v>4.8260000000000004E-3</v>
      </c>
      <c r="F237">
        <v>0</v>
      </c>
      <c r="G237">
        <v>0</v>
      </c>
      <c r="H237">
        <v>1</v>
      </c>
      <c r="I237">
        <v>40001</v>
      </c>
      <c r="J237">
        <v>120000</v>
      </c>
    </row>
    <row r="238" spans="2:10" x14ac:dyDescent="0.25">
      <c r="B238" t="s">
        <v>630</v>
      </c>
      <c r="C238">
        <v>0.30370000000000003</v>
      </c>
      <c r="D238">
        <v>0.45979999999999999</v>
      </c>
      <c r="E238">
        <v>9.4359999999999999E-3</v>
      </c>
      <c r="F238">
        <v>0</v>
      </c>
      <c r="G238">
        <v>0</v>
      </c>
      <c r="H238">
        <v>1</v>
      </c>
      <c r="I238">
        <v>40001</v>
      </c>
      <c r="J238">
        <v>120000</v>
      </c>
    </row>
    <row r="239" spans="2:10" x14ac:dyDescent="0.25">
      <c r="B239" t="s">
        <v>631</v>
      </c>
      <c r="C239">
        <v>0.30609999999999998</v>
      </c>
      <c r="D239">
        <v>0.46089999999999998</v>
      </c>
      <c r="E239">
        <v>9.2169999999999995E-3</v>
      </c>
      <c r="F239">
        <v>0</v>
      </c>
      <c r="G239">
        <v>0</v>
      </c>
      <c r="H239">
        <v>1</v>
      </c>
      <c r="I239">
        <v>40001</v>
      </c>
      <c r="J239">
        <v>120000</v>
      </c>
    </row>
    <row r="240" spans="2:10" x14ac:dyDescent="0.25">
      <c r="B240" t="s">
        <v>632</v>
      </c>
      <c r="C240">
        <v>0.21260000000000001</v>
      </c>
      <c r="D240">
        <v>0.40920000000000001</v>
      </c>
      <c r="E240">
        <v>5.1009999999999996E-3</v>
      </c>
      <c r="F240">
        <v>0</v>
      </c>
      <c r="G240">
        <v>0</v>
      </c>
      <c r="H240">
        <v>1</v>
      </c>
      <c r="I240">
        <v>40001</v>
      </c>
      <c r="J240">
        <v>120000</v>
      </c>
    </row>
    <row r="241" spans="2:10" x14ac:dyDescent="0.25">
      <c r="B241" t="s">
        <v>633</v>
      </c>
      <c r="C241">
        <v>0.1323</v>
      </c>
      <c r="D241">
        <v>0.33879999999999999</v>
      </c>
      <c r="E241">
        <v>3.5509999999999999E-3</v>
      </c>
      <c r="F241">
        <v>0</v>
      </c>
      <c r="G241">
        <v>0</v>
      </c>
      <c r="H241">
        <v>1</v>
      </c>
      <c r="I241">
        <v>40001</v>
      </c>
      <c r="J241">
        <v>120000</v>
      </c>
    </row>
    <row r="242" spans="2:10" x14ac:dyDescent="0.25">
      <c r="B242" t="s">
        <v>634</v>
      </c>
      <c r="C242">
        <v>8.5879999999999998E-2</v>
      </c>
      <c r="D242">
        <v>0.2802</v>
      </c>
      <c r="E242">
        <v>2.493E-3</v>
      </c>
      <c r="F242">
        <v>0</v>
      </c>
      <c r="G242">
        <v>0</v>
      </c>
      <c r="H242">
        <v>1</v>
      </c>
      <c r="I242">
        <v>40001</v>
      </c>
      <c r="J242">
        <v>120000</v>
      </c>
    </row>
    <row r="243" spans="2:10" x14ac:dyDescent="0.25">
      <c r="B243" t="s">
        <v>635</v>
      </c>
      <c r="C243">
        <v>6.8029999999999993E-2</v>
      </c>
      <c r="D243">
        <v>0.25180000000000002</v>
      </c>
      <c r="E243">
        <v>2.48E-3</v>
      </c>
      <c r="F243">
        <v>0</v>
      </c>
      <c r="G243">
        <v>0</v>
      </c>
      <c r="H243">
        <v>1</v>
      </c>
      <c r="I243">
        <v>40001</v>
      </c>
      <c r="J243">
        <v>120000</v>
      </c>
    </row>
    <row r="244" spans="2:10" x14ac:dyDescent="0.25">
      <c r="B244" t="s">
        <v>636</v>
      </c>
      <c r="C244">
        <v>5.3339999999999999E-2</v>
      </c>
      <c r="D244">
        <v>0.22470000000000001</v>
      </c>
      <c r="E244">
        <v>2.0509999999999999E-3</v>
      </c>
      <c r="F244">
        <v>0</v>
      </c>
      <c r="G244">
        <v>0</v>
      </c>
      <c r="H244">
        <v>1</v>
      </c>
      <c r="I244">
        <v>40001</v>
      </c>
      <c r="J244">
        <v>120000</v>
      </c>
    </row>
    <row r="245" spans="2:10" x14ac:dyDescent="0.25">
      <c r="B245" t="s">
        <v>637</v>
      </c>
      <c r="C245">
        <v>4.9070000000000003E-2</v>
      </c>
      <c r="D245">
        <v>0.216</v>
      </c>
      <c r="E245">
        <v>2.2000000000000001E-3</v>
      </c>
      <c r="F245">
        <v>0</v>
      </c>
      <c r="G245">
        <v>0</v>
      </c>
      <c r="H245">
        <v>1</v>
      </c>
      <c r="I245">
        <v>40001</v>
      </c>
      <c r="J245">
        <v>120000</v>
      </c>
    </row>
    <row r="246" spans="2:10" x14ac:dyDescent="0.25">
      <c r="B246" t="s">
        <v>638</v>
      </c>
      <c r="C246">
        <v>4.2860000000000002E-2</v>
      </c>
      <c r="D246">
        <v>0.20250000000000001</v>
      </c>
      <c r="E246">
        <v>2.4489999999999998E-3</v>
      </c>
      <c r="F246">
        <v>0</v>
      </c>
      <c r="G246">
        <v>0</v>
      </c>
      <c r="H246">
        <v>1</v>
      </c>
      <c r="I246">
        <v>40001</v>
      </c>
      <c r="J246">
        <v>120000</v>
      </c>
    </row>
    <row r="247" spans="2:10" x14ac:dyDescent="0.25">
      <c r="B247" t="s">
        <v>639</v>
      </c>
      <c r="C247">
        <v>2.955E-2</v>
      </c>
      <c r="D247">
        <v>0.16930000000000001</v>
      </c>
      <c r="E247">
        <v>2.2360000000000001E-3</v>
      </c>
      <c r="F247">
        <v>0</v>
      </c>
      <c r="G247">
        <v>0</v>
      </c>
      <c r="H247">
        <v>1</v>
      </c>
      <c r="I247">
        <v>40001</v>
      </c>
      <c r="J247">
        <v>120000</v>
      </c>
    </row>
    <row r="248" spans="2:10" x14ac:dyDescent="0.25">
      <c r="B248" t="s">
        <v>640</v>
      </c>
      <c r="C248">
        <v>2.0289999999999999E-2</v>
      </c>
      <c r="D248">
        <v>0.14099999999999999</v>
      </c>
      <c r="E248">
        <v>2.1389999999999998E-3</v>
      </c>
      <c r="F248">
        <v>0</v>
      </c>
      <c r="G248">
        <v>0</v>
      </c>
      <c r="H248">
        <v>0</v>
      </c>
      <c r="I248">
        <v>40001</v>
      </c>
      <c r="J248">
        <v>120000</v>
      </c>
    </row>
    <row r="249" spans="2:10" x14ac:dyDescent="0.25">
      <c r="B249" t="s">
        <v>641</v>
      </c>
      <c r="C249">
        <v>0.4264</v>
      </c>
      <c r="D249">
        <v>0.49459999999999998</v>
      </c>
      <c r="E249">
        <v>9.5320000000000005E-3</v>
      </c>
      <c r="F249">
        <v>0</v>
      </c>
      <c r="G249">
        <v>0</v>
      </c>
      <c r="H249">
        <v>1</v>
      </c>
      <c r="I249">
        <v>40001</v>
      </c>
      <c r="J249">
        <v>120000</v>
      </c>
    </row>
    <row r="250" spans="2:10" x14ac:dyDescent="0.25">
      <c r="B250" t="s">
        <v>642</v>
      </c>
      <c r="C250">
        <v>0.21809999999999999</v>
      </c>
      <c r="D250">
        <v>0.41289999999999999</v>
      </c>
      <c r="E250">
        <v>5.0990000000000002E-3</v>
      </c>
      <c r="F250">
        <v>0</v>
      </c>
      <c r="G250">
        <v>0</v>
      </c>
      <c r="H250">
        <v>1</v>
      </c>
      <c r="I250">
        <v>40001</v>
      </c>
      <c r="J250">
        <v>120000</v>
      </c>
    </row>
    <row r="251" spans="2:10" x14ac:dyDescent="0.25">
      <c r="B251" t="s">
        <v>643</v>
      </c>
      <c r="C251">
        <v>0.1026</v>
      </c>
      <c r="D251">
        <v>0.3034</v>
      </c>
      <c r="E251">
        <v>3.0530000000000002E-3</v>
      </c>
      <c r="F251">
        <v>0</v>
      </c>
      <c r="G251">
        <v>0</v>
      </c>
      <c r="H251">
        <v>1</v>
      </c>
      <c r="I251">
        <v>40001</v>
      </c>
      <c r="J251">
        <v>120000</v>
      </c>
    </row>
    <row r="252" spans="2:10" x14ac:dyDescent="0.25">
      <c r="B252" t="s">
        <v>644</v>
      </c>
      <c r="C252">
        <v>7.4389999999999998E-2</v>
      </c>
      <c r="D252">
        <v>0.26240000000000002</v>
      </c>
      <c r="E252">
        <v>2.4719999999999998E-3</v>
      </c>
      <c r="F252">
        <v>0</v>
      </c>
      <c r="G252">
        <v>0</v>
      </c>
      <c r="H252">
        <v>1</v>
      </c>
      <c r="I252">
        <v>40001</v>
      </c>
      <c r="J252">
        <v>120000</v>
      </c>
    </row>
    <row r="253" spans="2:10" x14ac:dyDescent="0.25">
      <c r="B253" t="s">
        <v>645</v>
      </c>
      <c r="C253">
        <v>5.9299999999999999E-2</v>
      </c>
      <c r="D253">
        <v>0.23619999999999999</v>
      </c>
      <c r="E253">
        <v>2.356E-3</v>
      </c>
      <c r="F253">
        <v>0</v>
      </c>
      <c r="G253">
        <v>0</v>
      </c>
      <c r="H253">
        <v>1</v>
      </c>
      <c r="I253">
        <v>40001</v>
      </c>
      <c r="J253">
        <v>120000</v>
      </c>
    </row>
    <row r="254" spans="2:10" x14ac:dyDescent="0.25">
      <c r="B254" t="s">
        <v>646</v>
      </c>
      <c r="C254">
        <v>4.3589999999999997E-2</v>
      </c>
      <c r="D254">
        <v>0.20419999999999999</v>
      </c>
      <c r="E254">
        <v>2.0669999999999998E-3</v>
      </c>
      <c r="F254">
        <v>0</v>
      </c>
      <c r="G254">
        <v>0</v>
      </c>
      <c r="H254">
        <v>1</v>
      </c>
      <c r="I254">
        <v>40001</v>
      </c>
      <c r="J254">
        <v>120000</v>
      </c>
    </row>
    <row r="255" spans="2:10" x14ac:dyDescent="0.25">
      <c r="B255" t="s">
        <v>647</v>
      </c>
      <c r="C255">
        <v>3.1899999999999998E-2</v>
      </c>
      <c r="D255">
        <v>0.1757</v>
      </c>
      <c r="E255">
        <v>1.8079999999999999E-3</v>
      </c>
      <c r="F255">
        <v>0</v>
      </c>
      <c r="G255">
        <v>0</v>
      </c>
      <c r="H255">
        <v>1</v>
      </c>
      <c r="I255">
        <v>40001</v>
      </c>
      <c r="J255">
        <v>120000</v>
      </c>
    </row>
    <row r="256" spans="2:10" x14ac:dyDescent="0.25">
      <c r="B256" t="s">
        <v>648</v>
      </c>
      <c r="C256">
        <v>2.469E-2</v>
      </c>
      <c r="D256">
        <v>0.1552</v>
      </c>
      <c r="E256">
        <v>1.673E-3</v>
      </c>
      <c r="F256">
        <v>0</v>
      </c>
      <c r="G256">
        <v>0</v>
      </c>
      <c r="H256">
        <v>0</v>
      </c>
      <c r="I256">
        <v>40001</v>
      </c>
      <c r="J256">
        <v>120000</v>
      </c>
    </row>
    <row r="257" spans="2:10" x14ac:dyDescent="0.25">
      <c r="B257" t="s">
        <v>649</v>
      </c>
      <c r="C257">
        <v>1.3520000000000001E-2</v>
      </c>
      <c r="D257">
        <v>0.11550000000000001</v>
      </c>
      <c r="E257">
        <v>1.5269999999999999E-3</v>
      </c>
      <c r="F257">
        <v>0</v>
      </c>
      <c r="G257">
        <v>0</v>
      </c>
      <c r="H257">
        <v>0</v>
      </c>
      <c r="I257">
        <v>40001</v>
      </c>
      <c r="J257">
        <v>120000</v>
      </c>
    </row>
    <row r="258" spans="2:10" x14ac:dyDescent="0.25">
      <c r="B258" t="s">
        <v>650</v>
      </c>
      <c r="C258">
        <v>5.5579999999999996E-3</v>
      </c>
      <c r="D258">
        <v>7.4349999999999999E-2</v>
      </c>
      <c r="E258" s="13">
        <v>7.8810000000000002E-4</v>
      </c>
      <c r="F258">
        <v>0</v>
      </c>
      <c r="G258">
        <v>0</v>
      </c>
      <c r="H258">
        <v>0</v>
      </c>
      <c r="I258">
        <v>40001</v>
      </c>
      <c r="J258">
        <v>120000</v>
      </c>
    </row>
    <row r="259" spans="2:10" x14ac:dyDescent="0.25">
      <c r="B259" t="s">
        <v>651</v>
      </c>
      <c r="C259">
        <v>0.12429999999999999</v>
      </c>
      <c r="D259">
        <v>0.32990000000000003</v>
      </c>
      <c r="E259">
        <v>6.2719999999999998E-3</v>
      </c>
      <c r="F259">
        <v>0</v>
      </c>
      <c r="G259">
        <v>0</v>
      </c>
      <c r="H259">
        <v>1</v>
      </c>
      <c r="I259">
        <v>40001</v>
      </c>
      <c r="J259">
        <v>120000</v>
      </c>
    </row>
    <row r="260" spans="2:10" x14ac:dyDescent="0.25">
      <c r="B260" t="s">
        <v>652</v>
      </c>
      <c r="C260">
        <v>0.17849999999999999</v>
      </c>
      <c r="D260">
        <v>0.38290000000000002</v>
      </c>
      <c r="E260">
        <v>5.5440000000000003E-3</v>
      </c>
      <c r="F260">
        <v>0</v>
      </c>
      <c r="G260">
        <v>0</v>
      </c>
      <c r="H260">
        <v>1</v>
      </c>
      <c r="I260">
        <v>40001</v>
      </c>
      <c r="J260">
        <v>120000</v>
      </c>
    </row>
    <row r="261" spans="2:10" x14ac:dyDescent="0.25">
      <c r="B261" t="s">
        <v>653</v>
      </c>
      <c r="C261">
        <v>0.14699999999999999</v>
      </c>
      <c r="D261">
        <v>0.35420000000000001</v>
      </c>
      <c r="E261">
        <v>3.7810000000000001E-3</v>
      </c>
      <c r="F261">
        <v>0</v>
      </c>
      <c r="G261">
        <v>0</v>
      </c>
      <c r="H261">
        <v>1</v>
      </c>
      <c r="I261">
        <v>40001</v>
      </c>
      <c r="J261">
        <v>120000</v>
      </c>
    </row>
    <row r="262" spans="2:10" x14ac:dyDescent="0.25">
      <c r="B262" t="s">
        <v>654</v>
      </c>
      <c r="C262">
        <v>0.13020000000000001</v>
      </c>
      <c r="D262">
        <v>0.33650000000000002</v>
      </c>
      <c r="E262">
        <v>3.558E-3</v>
      </c>
      <c r="F262">
        <v>0</v>
      </c>
      <c r="G262">
        <v>0</v>
      </c>
      <c r="H262">
        <v>1</v>
      </c>
      <c r="I262">
        <v>40001</v>
      </c>
      <c r="J262">
        <v>120000</v>
      </c>
    </row>
    <row r="263" spans="2:10" x14ac:dyDescent="0.25">
      <c r="B263" t="s">
        <v>655</v>
      </c>
      <c r="C263">
        <v>0.1283</v>
      </c>
      <c r="D263">
        <v>0.33439999999999998</v>
      </c>
      <c r="E263">
        <v>3.8189999999999999E-3</v>
      </c>
      <c r="F263">
        <v>0</v>
      </c>
      <c r="G263">
        <v>0</v>
      </c>
      <c r="H263">
        <v>1</v>
      </c>
      <c r="I263">
        <v>40001</v>
      </c>
      <c r="J263">
        <v>120000</v>
      </c>
    </row>
    <row r="264" spans="2:10" x14ac:dyDescent="0.25">
      <c r="B264" t="s">
        <v>656</v>
      </c>
      <c r="C264">
        <v>9.7320000000000004E-2</v>
      </c>
      <c r="D264">
        <v>0.2964</v>
      </c>
      <c r="E264">
        <v>3.0300000000000001E-3</v>
      </c>
      <c r="F264">
        <v>0</v>
      </c>
      <c r="G264">
        <v>0</v>
      </c>
      <c r="H264">
        <v>1</v>
      </c>
      <c r="I264">
        <v>40001</v>
      </c>
      <c r="J264">
        <v>120000</v>
      </c>
    </row>
    <row r="265" spans="2:10" x14ac:dyDescent="0.25">
      <c r="B265" t="s">
        <v>657</v>
      </c>
      <c r="C265">
        <v>7.8609999999999999E-2</v>
      </c>
      <c r="D265">
        <v>0.26910000000000001</v>
      </c>
      <c r="E265">
        <v>3.1449999999999998E-3</v>
      </c>
      <c r="F265">
        <v>0</v>
      </c>
      <c r="G265">
        <v>0</v>
      </c>
      <c r="H265">
        <v>1</v>
      </c>
      <c r="I265">
        <v>40001</v>
      </c>
      <c r="J265">
        <v>120000</v>
      </c>
    </row>
    <row r="266" spans="2:10" x14ac:dyDescent="0.25">
      <c r="B266" t="s">
        <v>658</v>
      </c>
      <c r="C266">
        <v>6.1650000000000003E-2</v>
      </c>
      <c r="D266">
        <v>0.24049999999999999</v>
      </c>
      <c r="E266">
        <v>3.0899999999999999E-3</v>
      </c>
      <c r="F266">
        <v>0</v>
      </c>
      <c r="G266">
        <v>0</v>
      </c>
      <c r="H266">
        <v>1</v>
      </c>
      <c r="I266">
        <v>40001</v>
      </c>
      <c r="J266">
        <v>120000</v>
      </c>
    </row>
    <row r="267" spans="2:10" x14ac:dyDescent="0.25">
      <c r="B267" t="s">
        <v>659</v>
      </c>
      <c r="C267">
        <v>3.7269999999999998E-2</v>
      </c>
      <c r="D267">
        <v>0.18940000000000001</v>
      </c>
      <c r="E267">
        <v>2.6549999999999998E-3</v>
      </c>
      <c r="F267">
        <v>0</v>
      </c>
      <c r="G267">
        <v>0</v>
      </c>
      <c r="H267">
        <v>1</v>
      </c>
      <c r="I267">
        <v>40001</v>
      </c>
      <c r="J267">
        <v>120000</v>
      </c>
    </row>
    <row r="268" spans="2:10" x14ac:dyDescent="0.25">
      <c r="B268" t="s">
        <v>660</v>
      </c>
      <c r="C268">
        <v>1.678E-2</v>
      </c>
      <c r="D268">
        <v>0.12839999999999999</v>
      </c>
      <c r="E268">
        <v>2.068E-3</v>
      </c>
      <c r="F268">
        <v>0</v>
      </c>
      <c r="G268">
        <v>0</v>
      </c>
      <c r="H268">
        <v>0</v>
      </c>
      <c r="I268">
        <v>40001</v>
      </c>
      <c r="J268">
        <v>120000</v>
      </c>
    </row>
    <row r="269" spans="2:10" x14ac:dyDescent="0.25">
      <c r="B269" t="s">
        <v>661</v>
      </c>
      <c r="C269">
        <v>0</v>
      </c>
      <c r="D269">
        <v>0</v>
      </c>
      <c r="E269" s="13">
        <v>1.6670000000000001E-13</v>
      </c>
      <c r="F269">
        <v>0</v>
      </c>
      <c r="G269">
        <v>0</v>
      </c>
      <c r="H269">
        <v>0</v>
      </c>
      <c r="I269">
        <v>40001</v>
      </c>
      <c r="J269">
        <v>120000</v>
      </c>
    </row>
    <row r="270" spans="2:10" x14ac:dyDescent="0.25">
      <c r="B270" t="s">
        <v>662</v>
      </c>
      <c r="C270">
        <v>0</v>
      </c>
      <c r="D270">
        <v>0</v>
      </c>
      <c r="E270" s="13">
        <v>1.6670000000000001E-13</v>
      </c>
      <c r="F270">
        <v>0</v>
      </c>
      <c r="G270">
        <v>0</v>
      </c>
      <c r="H270">
        <v>0</v>
      </c>
      <c r="I270">
        <v>40001</v>
      </c>
      <c r="J270">
        <v>120000</v>
      </c>
    </row>
    <row r="271" spans="2:10" x14ac:dyDescent="0.25">
      <c r="B271" t="s">
        <v>663</v>
      </c>
      <c r="C271" s="13">
        <v>2.0829999999999999E-4</v>
      </c>
      <c r="D271">
        <v>1.443E-2</v>
      </c>
      <c r="E271" s="13">
        <v>1.76E-4</v>
      </c>
      <c r="F271">
        <v>0</v>
      </c>
      <c r="G271">
        <v>0</v>
      </c>
      <c r="H271">
        <v>0</v>
      </c>
      <c r="I271">
        <v>40001</v>
      </c>
      <c r="J271">
        <v>120000</v>
      </c>
    </row>
    <row r="272" spans="2:10" x14ac:dyDescent="0.25">
      <c r="B272" t="s">
        <v>664</v>
      </c>
      <c r="C272" s="13">
        <v>5.6669999999999995E-4</v>
      </c>
      <c r="D272">
        <v>2.3800000000000002E-2</v>
      </c>
      <c r="E272" s="13">
        <v>3.2890000000000003E-4</v>
      </c>
      <c r="F272">
        <v>0</v>
      </c>
      <c r="G272">
        <v>0</v>
      </c>
      <c r="H272">
        <v>0</v>
      </c>
      <c r="I272">
        <v>40001</v>
      </c>
      <c r="J272">
        <v>120000</v>
      </c>
    </row>
    <row r="273" spans="2:10" x14ac:dyDescent="0.25">
      <c r="B273" t="s">
        <v>665</v>
      </c>
      <c r="C273">
        <v>2.2920000000000002E-3</v>
      </c>
      <c r="D273">
        <v>4.7820000000000001E-2</v>
      </c>
      <c r="E273">
        <v>1.1529999999999999E-3</v>
      </c>
      <c r="F273">
        <v>0</v>
      </c>
      <c r="G273">
        <v>0</v>
      </c>
      <c r="H273">
        <v>0</v>
      </c>
      <c r="I273">
        <v>40001</v>
      </c>
      <c r="J273">
        <v>120000</v>
      </c>
    </row>
    <row r="274" spans="2:10" x14ac:dyDescent="0.25">
      <c r="B274" t="s">
        <v>666</v>
      </c>
      <c r="C274">
        <v>2.5669999999999998E-3</v>
      </c>
      <c r="D274">
        <v>5.0599999999999999E-2</v>
      </c>
      <c r="E274" s="13">
        <v>4.0240000000000002E-4</v>
      </c>
      <c r="F274">
        <v>0</v>
      </c>
      <c r="G274">
        <v>0</v>
      </c>
      <c r="H274">
        <v>0</v>
      </c>
      <c r="I274">
        <v>40001</v>
      </c>
      <c r="J274">
        <v>120000</v>
      </c>
    </row>
    <row r="275" spans="2:10" x14ac:dyDescent="0.25">
      <c r="B275" t="s">
        <v>667</v>
      </c>
      <c r="C275">
        <v>1.008E-2</v>
      </c>
      <c r="D275">
        <v>9.9909999999999999E-2</v>
      </c>
      <c r="E275" s="13">
        <v>9.9259999999999995E-4</v>
      </c>
      <c r="F275">
        <v>0</v>
      </c>
      <c r="G275">
        <v>0</v>
      </c>
      <c r="H275">
        <v>0</v>
      </c>
      <c r="I275">
        <v>40001</v>
      </c>
      <c r="J275">
        <v>120000</v>
      </c>
    </row>
    <row r="276" spans="2:10" x14ac:dyDescent="0.25">
      <c r="B276" t="s">
        <v>668</v>
      </c>
      <c r="C276">
        <v>5.1869999999999999E-2</v>
      </c>
      <c r="D276">
        <v>0.2218</v>
      </c>
      <c r="E276">
        <v>2.699E-3</v>
      </c>
      <c r="F276">
        <v>0</v>
      </c>
      <c r="G276">
        <v>0</v>
      </c>
      <c r="H276">
        <v>1</v>
      </c>
      <c r="I276">
        <v>40001</v>
      </c>
      <c r="J276">
        <v>120000</v>
      </c>
    </row>
    <row r="277" spans="2:10" x14ac:dyDescent="0.25">
      <c r="B277" t="s">
        <v>669</v>
      </c>
      <c r="C277">
        <v>0.31850000000000001</v>
      </c>
      <c r="D277">
        <v>0.46589999999999998</v>
      </c>
      <c r="E277">
        <v>8.1930000000000006E-3</v>
      </c>
      <c r="F277">
        <v>0</v>
      </c>
      <c r="G277">
        <v>0</v>
      </c>
      <c r="H277">
        <v>1</v>
      </c>
      <c r="I277">
        <v>40001</v>
      </c>
      <c r="J277">
        <v>120000</v>
      </c>
    </row>
    <row r="278" spans="2:10" x14ac:dyDescent="0.25">
      <c r="B278" t="s">
        <v>670</v>
      </c>
      <c r="C278">
        <v>0.6139</v>
      </c>
      <c r="D278">
        <v>0.4869</v>
      </c>
      <c r="E278">
        <v>9.7280000000000005E-3</v>
      </c>
      <c r="F278">
        <v>0</v>
      </c>
      <c r="G278">
        <v>1</v>
      </c>
      <c r="H278">
        <v>1</v>
      </c>
      <c r="I278">
        <v>40001</v>
      </c>
      <c r="J278">
        <v>120000</v>
      </c>
    </row>
    <row r="279" spans="2:10" x14ac:dyDescent="0.25">
      <c r="B279" t="s">
        <v>671</v>
      </c>
      <c r="C279">
        <v>6.9170000000000004E-3</v>
      </c>
      <c r="D279">
        <v>8.2879999999999995E-2</v>
      </c>
      <c r="E279">
        <v>1.0809999999999999E-3</v>
      </c>
      <c r="F279">
        <v>0</v>
      </c>
      <c r="G279">
        <v>0</v>
      </c>
      <c r="H279">
        <v>0</v>
      </c>
      <c r="I279">
        <v>40001</v>
      </c>
      <c r="J279">
        <v>120000</v>
      </c>
    </row>
    <row r="280" spans="2:10" x14ac:dyDescent="0.25">
      <c r="B280" t="s">
        <v>672</v>
      </c>
      <c r="C280">
        <v>3.134E-2</v>
      </c>
      <c r="D280">
        <v>0.17419999999999999</v>
      </c>
      <c r="E280">
        <v>2.6350000000000002E-3</v>
      </c>
      <c r="F280">
        <v>0</v>
      </c>
      <c r="G280">
        <v>0</v>
      </c>
      <c r="H280">
        <v>1</v>
      </c>
      <c r="I280">
        <v>40001</v>
      </c>
      <c r="J280">
        <v>120000</v>
      </c>
    </row>
    <row r="281" spans="2:10" x14ac:dyDescent="0.25">
      <c r="B281" t="s">
        <v>673</v>
      </c>
      <c r="C281">
        <v>7.5050000000000006E-2</v>
      </c>
      <c r="D281">
        <v>0.26350000000000001</v>
      </c>
      <c r="E281">
        <v>3.9350000000000001E-3</v>
      </c>
      <c r="F281">
        <v>0</v>
      </c>
      <c r="G281">
        <v>0</v>
      </c>
      <c r="H281">
        <v>1</v>
      </c>
      <c r="I281">
        <v>40001</v>
      </c>
      <c r="J281">
        <v>120000</v>
      </c>
    </row>
    <row r="282" spans="2:10" x14ac:dyDescent="0.25">
      <c r="B282" t="s">
        <v>674</v>
      </c>
      <c r="C282">
        <v>0.1353</v>
      </c>
      <c r="D282">
        <v>0.34200000000000003</v>
      </c>
      <c r="E282">
        <v>4.3160000000000004E-3</v>
      </c>
      <c r="F282">
        <v>0</v>
      </c>
      <c r="G282">
        <v>0</v>
      </c>
      <c r="H282">
        <v>1</v>
      </c>
      <c r="I282">
        <v>40001</v>
      </c>
      <c r="J282">
        <v>120000</v>
      </c>
    </row>
    <row r="283" spans="2:10" x14ac:dyDescent="0.25">
      <c r="B283" t="s">
        <v>675</v>
      </c>
      <c r="C283">
        <v>0.2104</v>
      </c>
      <c r="D283">
        <v>0.40760000000000002</v>
      </c>
      <c r="E283">
        <v>5.0179999999999999E-3</v>
      </c>
      <c r="F283">
        <v>0</v>
      </c>
      <c r="G283">
        <v>0</v>
      </c>
      <c r="H283">
        <v>1</v>
      </c>
      <c r="I283">
        <v>40001</v>
      </c>
      <c r="J283">
        <v>120000</v>
      </c>
    </row>
    <row r="284" spans="2:10" x14ac:dyDescent="0.25">
      <c r="B284" t="s">
        <v>676</v>
      </c>
      <c r="C284">
        <v>0.2278</v>
      </c>
      <c r="D284">
        <v>0.4194</v>
      </c>
      <c r="E284">
        <v>4.9969999999999997E-3</v>
      </c>
      <c r="F284">
        <v>0</v>
      </c>
      <c r="G284">
        <v>0</v>
      </c>
      <c r="H284">
        <v>1</v>
      </c>
      <c r="I284">
        <v>40001</v>
      </c>
      <c r="J284">
        <v>120000</v>
      </c>
    </row>
    <row r="285" spans="2:10" x14ac:dyDescent="0.25">
      <c r="B285" t="s">
        <v>677</v>
      </c>
      <c r="C285">
        <v>0.1835</v>
      </c>
      <c r="D285">
        <v>0.3871</v>
      </c>
      <c r="E285">
        <v>5.5849999999999997E-3</v>
      </c>
      <c r="F285">
        <v>0</v>
      </c>
      <c r="G285">
        <v>0</v>
      </c>
      <c r="H285">
        <v>1</v>
      </c>
      <c r="I285">
        <v>40001</v>
      </c>
      <c r="J285">
        <v>120000</v>
      </c>
    </row>
    <row r="286" spans="2:10" x14ac:dyDescent="0.25">
      <c r="B286" t="s">
        <v>678</v>
      </c>
      <c r="C286">
        <v>0.1023</v>
      </c>
      <c r="D286">
        <v>0.30299999999999999</v>
      </c>
      <c r="E286">
        <v>4.797E-3</v>
      </c>
      <c r="F286">
        <v>0</v>
      </c>
      <c r="G286">
        <v>0</v>
      </c>
      <c r="H286">
        <v>1</v>
      </c>
      <c r="I286">
        <v>40001</v>
      </c>
      <c r="J286">
        <v>120000</v>
      </c>
    </row>
    <row r="287" spans="2:10" x14ac:dyDescent="0.25">
      <c r="B287" t="s">
        <v>679</v>
      </c>
      <c r="C287">
        <v>2.3390000000000001E-2</v>
      </c>
      <c r="D287">
        <v>0.15110000000000001</v>
      </c>
      <c r="E287">
        <v>2.1150000000000001E-3</v>
      </c>
      <c r="F287">
        <v>0</v>
      </c>
      <c r="G287">
        <v>0</v>
      </c>
      <c r="H287">
        <v>0</v>
      </c>
      <c r="I287">
        <v>40001</v>
      </c>
      <c r="J287">
        <v>120000</v>
      </c>
    </row>
    <row r="288" spans="2:10" x14ac:dyDescent="0.25">
      <c r="B288" t="s">
        <v>680</v>
      </c>
      <c r="C288">
        <v>4.0419999999999996E-3</v>
      </c>
      <c r="D288">
        <v>6.3450000000000006E-2</v>
      </c>
      <c r="E288" s="13">
        <v>7.6940000000000005E-4</v>
      </c>
      <c r="F288">
        <v>0</v>
      </c>
      <c r="G288">
        <v>0</v>
      </c>
      <c r="H288">
        <v>0</v>
      </c>
      <c r="I288">
        <v>40001</v>
      </c>
      <c r="J288">
        <v>120000</v>
      </c>
    </row>
    <row r="289" spans="2:10" x14ac:dyDescent="0.25">
      <c r="B289" t="s">
        <v>681</v>
      </c>
      <c r="C289">
        <v>1.375</v>
      </c>
      <c r="D289">
        <v>1.6120000000000001</v>
      </c>
      <c r="E289">
        <v>5.8830000000000002E-3</v>
      </c>
      <c r="F289">
        <v>8.1710000000000005E-2</v>
      </c>
      <c r="G289">
        <v>0.7792</v>
      </c>
      <c r="H289">
        <v>5.9569999999999999</v>
      </c>
      <c r="I289">
        <v>40001</v>
      </c>
      <c r="J289">
        <v>120000</v>
      </c>
    </row>
    <row r="290" spans="2:10" x14ac:dyDescent="0.25">
      <c r="B290" t="s">
        <v>682</v>
      </c>
      <c r="C290">
        <v>1.5009999999999999</v>
      </c>
      <c r="D290">
        <v>1.603</v>
      </c>
      <c r="E290">
        <v>1.333E-2</v>
      </c>
      <c r="F290">
        <v>3.5839999999999997E-2</v>
      </c>
      <c r="G290">
        <v>0.99250000000000005</v>
      </c>
      <c r="H290">
        <v>5.8769999999999998</v>
      </c>
      <c r="I290">
        <v>40001</v>
      </c>
      <c r="J290">
        <v>120000</v>
      </c>
    </row>
    <row r="291" spans="2:10" x14ac:dyDescent="0.25">
      <c r="B291" t="s">
        <v>683</v>
      </c>
      <c r="C291">
        <v>1.3440000000000001</v>
      </c>
      <c r="D291">
        <v>1.5209999999999999</v>
      </c>
      <c r="E291">
        <v>9.4289999999999999E-3</v>
      </c>
      <c r="F291">
        <v>2.9700000000000001E-2</v>
      </c>
      <c r="G291">
        <v>0.84199999999999997</v>
      </c>
      <c r="H291">
        <v>5.5460000000000003</v>
      </c>
      <c r="I291">
        <v>40001</v>
      </c>
      <c r="J291">
        <v>120000</v>
      </c>
    </row>
    <row r="292" spans="2:10" x14ac:dyDescent="0.25">
      <c r="B292" t="s">
        <v>684</v>
      </c>
      <c r="C292">
        <v>1.371</v>
      </c>
      <c r="D292">
        <v>1.5309999999999999</v>
      </c>
      <c r="E292">
        <v>1.035E-2</v>
      </c>
      <c r="F292">
        <v>2.9420000000000002E-2</v>
      </c>
      <c r="G292">
        <v>0.87270000000000003</v>
      </c>
      <c r="H292">
        <v>5.5750000000000002</v>
      </c>
      <c r="I292">
        <v>40001</v>
      </c>
      <c r="J292">
        <v>120000</v>
      </c>
    </row>
    <row r="293" spans="2:10" x14ac:dyDescent="0.25">
      <c r="B293" t="s">
        <v>685</v>
      </c>
      <c r="C293">
        <v>1.1850000000000001</v>
      </c>
      <c r="D293">
        <v>1.484</v>
      </c>
      <c r="E293">
        <v>5.7120000000000001E-3</v>
      </c>
      <c r="F293">
        <v>1.898E-2</v>
      </c>
      <c r="G293">
        <v>0.65890000000000004</v>
      </c>
      <c r="H293">
        <v>5.3650000000000002</v>
      </c>
      <c r="I293">
        <v>40001</v>
      </c>
      <c r="J293">
        <v>120000</v>
      </c>
    </row>
    <row r="294" spans="2:10" x14ac:dyDescent="0.25">
      <c r="B294" t="s">
        <v>686</v>
      </c>
      <c r="C294">
        <v>1.1879999999999999</v>
      </c>
      <c r="D294">
        <v>1.484</v>
      </c>
      <c r="E294">
        <v>5.6490000000000004E-3</v>
      </c>
      <c r="F294">
        <v>0.02</v>
      </c>
      <c r="G294">
        <v>0.6613</v>
      </c>
      <c r="H294">
        <v>5.3369999999999997</v>
      </c>
      <c r="I294">
        <v>40001</v>
      </c>
      <c r="J294">
        <v>120000</v>
      </c>
    </row>
    <row r="295" spans="2:10" x14ac:dyDescent="0.25">
      <c r="B295" t="s">
        <v>687</v>
      </c>
      <c r="C295">
        <v>1.236</v>
      </c>
      <c r="D295">
        <v>1.5409999999999999</v>
      </c>
      <c r="E295">
        <v>6.2389999999999998E-3</v>
      </c>
      <c r="F295">
        <v>2.4160000000000001E-2</v>
      </c>
      <c r="G295">
        <v>0.6804</v>
      </c>
      <c r="H295">
        <v>5.6109999999999998</v>
      </c>
      <c r="I295">
        <v>40001</v>
      </c>
      <c r="J295">
        <v>120000</v>
      </c>
    </row>
    <row r="296" spans="2:10" x14ac:dyDescent="0.25">
      <c r="B296" t="s">
        <v>688</v>
      </c>
      <c r="C296">
        <v>2.2330000000000001</v>
      </c>
      <c r="D296">
        <v>1.716</v>
      </c>
      <c r="E296">
        <v>2.3470000000000001E-2</v>
      </c>
      <c r="F296">
        <v>0.19120000000000001</v>
      </c>
      <c r="G296">
        <v>1.829</v>
      </c>
      <c r="H296">
        <v>6.665</v>
      </c>
      <c r="I296">
        <v>40001</v>
      </c>
      <c r="J296">
        <v>120000</v>
      </c>
    </row>
    <row r="297" spans="2:10" x14ac:dyDescent="0.25">
      <c r="B297" t="s">
        <v>689</v>
      </c>
      <c r="C297">
        <v>1.2769999999999999</v>
      </c>
      <c r="D297">
        <v>1.476</v>
      </c>
      <c r="E297">
        <v>8.8690000000000001E-3</v>
      </c>
      <c r="F297">
        <v>2.708E-2</v>
      </c>
      <c r="G297">
        <v>0.77780000000000005</v>
      </c>
      <c r="H297">
        <v>5.4359999999999999</v>
      </c>
      <c r="I297">
        <v>40001</v>
      </c>
      <c r="J297">
        <v>120000</v>
      </c>
    </row>
    <row r="298" spans="2:10" x14ac:dyDescent="0.25">
      <c r="B298" t="s">
        <v>690</v>
      </c>
      <c r="C298">
        <v>2.149</v>
      </c>
      <c r="D298">
        <v>1.6779999999999999</v>
      </c>
      <c r="E298">
        <v>1.307E-2</v>
      </c>
      <c r="F298">
        <v>0.4597</v>
      </c>
      <c r="G298">
        <v>1.649</v>
      </c>
      <c r="H298">
        <v>6.7969999999999997</v>
      </c>
      <c r="I298">
        <v>40001</v>
      </c>
      <c r="J298">
        <v>120000</v>
      </c>
    </row>
    <row r="299" spans="2:10" x14ac:dyDescent="0.25">
      <c r="B299" t="s">
        <v>691</v>
      </c>
      <c r="C299">
        <v>5.2389999999999999</v>
      </c>
      <c r="D299">
        <v>1.8</v>
      </c>
      <c r="E299">
        <v>2.375E-2</v>
      </c>
      <c r="F299">
        <v>2.8370000000000002</v>
      </c>
      <c r="G299">
        <v>4.8929999999999998</v>
      </c>
      <c r="H299">
        <v>9.8580000000000005</v>
      </c>
      <c r="I299">
        <v>40001</v>
      </c>
      <c r="J299">
        <v>120000</v>
      </c>
    </row>
    <row r="300" spans="2:10" x14ac:dyDescent="0.25">
      <c r="B300" t="s">
        <v>692</v>
      </c>
      <c r="C300">
        <v>2.0299999999999998</v>
      </c>
      <c r="D300">
        <v>2.0249999999999999</v>
      </c>
      <c r="E300">
        <v>2.9430000000000001E-2</v>
      </c>
      <c r="F300">
        <v>4.9730000000000003E-2</v>
      </c>
      <c r="G300">
        <v>1.399</v>
      </c>
      <c r="H300">
        <v>7.5350000000000001</v>
      </c>
      <c r="I300">
        <v>40001</v>
      </c>
      <c r="J300">
        <v>120000</v>
      </c>
    </row>
    <row r="301" spans="2:10" x14ac:dyDescent="0.25">
      <c r="B301" t="s">
        <v>693</v>
      </c>
      <c r="C301">
        <v>2.12</v>
      </c>
      <c r="D301">
        <v>2.13</v>
      </c>
      <c r="E301">
        <v>3.4110000000000001E-2</v>
      </c>
      <c r="F301">
        <v>5.4460000000000001E-2</v>
      </c>
      <c r="G301">
        <v>1.4750000000000001</v>
      </c>
      <c r="H301">
        <v>7.8440000000000003</v>
      </c>
      <c r="I301">
        <v>40001</v>
      </c>
      <c r="J301">
        <v>120000</v>
      </c>
    </row>
    <row r="302" spans="2:10" x14ac:dyDescent="0.25">
      <c r="B302" t="s">
        <v>694</v>
      </c>
      <c r="C302">
        <v>2.6890000000000001</v>
      </c>
      <c r="D302">
        <v>1.5880000000000001</v>
      </c>
      <c r="E302">
        <v>1.482E-2</v>
      </c>
      <c r="F302">
        <v>0.97119999999999995</v>
      </c>
      <c r="G302">
        <v>2.2559999999999998</v>
      </c>
      <c r="H302">
        <v>7.0529999999999999</v>
      </c>
      <c r="I302">
        <v>40001</v>
      </c>
      <c r="J302">
        <v>120000</v>
      </c>
    </row>
    <row r="303" spans="2:10" x14ac:dyDescent="0.25">
      <c r="B303" t="s">
        <v>695</v>
      </c>
      <c r="C303">
        <v>2.8370000000000002</v>
      </c>
      <c r="D303">
        <v>2.0430000000000001</v>
      </c>
      <c r="E303">
        <v>3.1759999999999997E-2</v>
      </c>
      <c r="F303">
        <v>0.23019999999999999</v>
      </c>
      <c r="G303">
        <v>2.4140000000000001</v>
      </c>
      <c r="H303">
        <v>7.867</v>
      </c>
      <c r="I303">
        <v>40001</v>
      </c>
      <c r="J303">
        <v>120000</v>
      </c>
    </row>
    <row r="304" spans="2:10" x14ac:dyDescent="0.25">
      <c r="B304" t="s">
        <v>696</v>
      </c>
      <c r="C304">
        <v>1.3240000000000001</v>
      </c>
      <c r="D304">
        <v>1.4910000000000001</v>
      </c>
      <c r="E304">
        <v>8.8450000000000004E-3</v>
      </c>
      <c r="F304">
        <v>3.2960000000000003E-2</v>
      </c>
      <c r="G304">
        <v>0.82909999999999995</v>
      </c>
      <c r="H304">
        <v>5.4580000000000002</v>
      </c>
      <c r="I304">
        <v>40001</v>
      </c>
      <c r="J304">
        <v>120000</v>
      </c>
    </row>
    <row r="305" spans="2:10" x14ac:dyDescent="0.25">
      <c r="B305" t="s">
        <v>697</v>
      </c>
      <c r="C305">
        <v>1.173</v>
      </c>
      <c r="D305">
        <v>1.4730000000000001</v>
      </c>
      <c r="E305">
        <v>5.6849999999999999E-3</v>
      </c>
      <c r="F305">
        <v>2.1319999999999999E-2</v>
      </c>
      <c r="G305">
        <v>0.64170000000000005</v>
      </c>
      <c r="H305">
        <v>5.31</v>
      </c>
      <c r="I305">
        <v>40001</v>
      </c>
      <c r="J305">
        <v>120000</v>
      </c>
    </row>
    <row r="306" spans="2:10" x14ac:dyDescent="0.25">
      <c r="B306" t="s">
        <v>698</v>
      </c>
      <c r="C306">
        <v>2.0379999999999998</v>
      </c>
      <c r="D306">
        <v>2.0449999999999999</v>
      </c>
      <c r="E306">
        <v>2.7289999999999998E-2</v>
      </c>
      <c r="F306">
        <v>5.1549999999999999E-2</v>
      </c>
      <c r="G306">
        <v>1.407</v>
      </c>
      <c r="H306">
        <v>7.5460000000000003</v>
      </c>
      <c r="I306">
        <v>40001</v>
      </c>
      <c r="J306">
        <v>120000</v>
      </c>
    </row>
    <row r="307" spans="2:10" x14ac:dyDescent="0.25">
      <c r="B307" t="s">
        <v>699</v>
      </c>
      <c r="C307">
        <v>2.5590000000000002</v>
      </c>
      <c r="D307">
        <v>1.671</v>
      </c>
      <c r="E307">
        <v>1.7340000000000001E-2</v>
      </c>
      <c r="F307">
        <v>0.53569999999999995</v>
      </c>
      <c r="G307">
        <v>2.173</v>
      </c>
      <c r="H307">
        <v>6.9749999999999996</v>
      </c>
      <c r="I307">
        <v>40001</v>
      </c>
      <c r="J307">
        <v>120000</v>
      </c>
    </row>
    <row r="308" spans="2:10" x14ac:dyDescent="0.25">
      <c r="B308" t="s">
        <v>700</v>
      </c>
      <c r="C308">
        <v>1.84</v>
      </c>
      <c r="D308">
        <v>1.631</v>
      </c>
      <c r="E308">
        <v>7.7270000000000004E-3</v>
      </c>
      <c r="F308">
        <v>0.43030000000000002</v>
      </c>
      <c r="G308">
        <v>1.27</v>
      </c>
      <c r="H308">
        <v>6.4409999999999998</v>
      </c>
      <c r="I308">
        <v>40001</v>
      </c>
      <c r="J308">
        <v>120000</v>
      </c>
    </row>
    <row r="309" spans="2:10" x14ac:dyDescent="0.25">
      <c r="B309" t="s">
        <v>701</v>
      </c>
      <c r="C309">
        <v>1.367</v>
      </c>
      <c r="D309">
        <v>1.5249999999999999</v>
      </c>
      <c r="E309">
        <v>1.0710000000000001E-2</v>
      </c>
      <c r="F309">
        <v>3.1140000000000001E-2</v>
      </c>
      <c r="G309">
        <v>0.87270000000000003</v>
      </c>
      <c r="H309">
        <v>5.5570000000000004</v>
      </c>
      <c r="I309">
        <v>40001</v>
      </c>
      <c r="J309">
        <v>120000</v>
      </c>
    </row>
    <row r="310" spans="2:10" x14ac:dyDescent="0.25">
      <c r="B310" t="s">
        <v>702</v>
      </c>
      <c r="C310">
        <v>4.0270000000000001</v>
      </c>
      <c r="D310">
        <v>1.71</v>
      </c>
      <c r="E310">
        <v>2.103E-2</v>
      </c>
      <c r="F310">
        <v>1.85</v>
      </c>
      <c r="G310">
        <v>3.67</v>
      </c>
      <c r="H310">
        <v>8.4870000000000001</v>
      </c>
      <c r="I310">
        <v>40001</v>
      </c>
      <c r="J310">
        <v>120000</v>
      </c>
    </row>
    <row r="311" spans="2:10" x14ac:dyDescent="0.25">
      <c r="B311" t="s">
        <v>703</v>
      </c>
      <c r="C311">
        <v>1.1950000000000001</v>
      </c>
      <c r="D311">
        <v>1.522</v>
      </c>
      <c r="E311">
        <v>5.208E-3</v>
      </c>
      <c r="F311">
        <v>2.4809999999999999E-2</v>
      </c>
      <c r="G311">
        <v>0.62549999999999994</v>
      </c>
      <c r="H311">
        <v>5.5019999999999998</v>
      </c>
      <c r="I311">
        <v>40001</v>
      </c>
      <c r="J311">
        <v>120000</v>
      </c>
    </row>
    <row r="312" spans="2:10" x14ac:dyDescent="0.25">
      <c r="B312" t="s">
        <v>704</v>
      </c>
      <c r="C312">
        <v>4.4180000000000001</v>
      </c>
      <c r="D312">
        <v>1.8839999999999999</v>
      </c>
      <c r="E312">
        <v>2.5649999999999999E-2</v>
      </c>
      <c r="F312">
        <v>1.71</v>
      </c>
      <c r="G312">
        <v>4.1020000000000003</v>
      </c>
      <c r="H312">
        <v>9.0579999999999998</v>
      </c>
      <c r="I312">
        <v>40001</v>
      </c>
      <c r="J312">
        <v>120000</v>
      </c>
    </row>
    <row r="313" spans="2:10" x14ac:dyDescent="0.25">
      <c r="B313" t="s">
        <v>705</v>
      </c>
      <c r="C313">
        <v>2.39</v>
      </c>
      <c r="D313">
        <v>1.633</v>
      </c>
      <c r="E313">
        <v>8.3040000000000006E-3</v>
      </c>
      <c r="F313">
        <v>0.92249999999999999</v>
      </c>
      <c r="G313">
        <v>1.831</v>
      </c>
      <c r="H313">
        <v>6.9610000000000003</v>
      </c>
      <c r="I313">
        <v>40001</v>
      </c>
      <c r="J313">
        <v>120000</v>
      </c>
    </row>
    <row r="314" spans="2:10" x14ac:dyDescent="0.25">
      <c r="B314" t="s">
        <v>706</v>
      </c>
      <c r="C314">
        <v>1.2110000000000001</v>
      </c>
      <c r="D314">
        <v>1.601</v>
      </c>
      <c r="E314">
        <v>4.6589999999999999E-3</v>
      </c>
      <c r="F314">
        <v>1.7680000000000001E-2</v>
      </c>
      <c r="G314">
        <v>0.59450000000000003</v>
      </c>
      <c r="H314">
        <v>5.7409999999999997</v>
      </c>
      <c r="I314">
        <v>40001</v>
      </c>
      <c r="J314">
        <v>120000</v>
      </c>
    </row>
    <row r="315" spans="2:10" x14ac:dyDescent="0.25">
      <c r="B315" t="s">
        <v>707</v>
      </c>
      <c r="C315">
        <v>1.587</v>
      </c>
      <c r="D315">
        <v>1.627</v>
      </c>
      <c r="E315">
        <v>7.2500000000000004E-3</v>
      </c>
      <c r="F315">
        <v>0.187</v>
      </c>
      <c r="G315">
        <v>1.0089999999999999</v>
      </c>
      <c r="H315">
        <v>6.1870000000000003</v>
      </c>
      <c r="I315">
        <v>40001</v>
      </c>
      <c r="J315">
        <v>120000</v>
      </c>
    </row>
    <row r="316" spans="2:10" x14ac:dyDescent="0.25">
      <c r="B316" t="s">
        <v>708</v>
      </c>
      <c r="C316">
        <v>2.056</v>
      </c>
      <c r="D316">
        <v>2.0659999999999998</v>
      </c>
      <c r="E316">
        <v>2.7959999999999999E-2</v>
      </c>
      <c r="F316">
        <v>5.176E-2</v>
      </c>
      <c r="G316">
        <v>1.4179999999999999</v>
      </c>
      <c r="H316">
        <v>7.62</v>
      </c>
      <c r="I316">
        <v>40001</v>
      </c>
      <c r="J316">
        <v>120000</v>
      </c>
    </row>
    <row r="317" spans="2:10" x14ac:dyDescent="0.25">
      <c r="B317" t="s">
        <v>709</v>
      </c>
      <c r="C317">
        <v>1.2390000000000001</v>
      </c>
      <c r="D317">
        <v>1.48</v>
      </c>
      <c r="E317">
        <v>6.862E-3</v>
      </c>
      <c r="F317">
        <v>2.504E-2</v>
      </c>
      <c r="G317">
        <v>0.7349</v>
      </c>
      <c r="H317">
        <v>5.415</v>
      </c>
      <c r="I317">
        <v>40001</v>
      </c>
      <c r="J317">
        <v>120000</v>
      </c>
    </row>
    <row r="318" spans="2:10" x14ac:dyDescent="0.25">
      <c r="B318" t="s">
        <v>710</v>
      </c>
      <c r="C318">
        <v>2.2309999999999999</v>
      </c>
      <c r="D318">
        <v>1.6439999999999999</v>
      </c>
      <c r="E318">
        <v>9.7909999999999994E-3</v>
      </c>
      <c r="F318">
        <v>0.69510000000000005</v>
      </c>
      <c r="G318">
        <v>1.696</v>
      </c>
      <c r="H318">
        <v>6.8170000000000002</v>
      </c>
      <c r="I318">
        <v>40001</v>
      </c>
      <c r="J318">
        <v>120000</v>
      </c>
    </row>
    <row r="319" spans="2:10" x14ac:dyDescent="0.25">
      <c r="B319" t="s">
        <v>711</v>
      </c>
      <c r="C319">
        <v>2.0880000000000001</v>
      </c>
      <c r="D319">
        <v>1.6839999999999999</v>
      </c>
      <c r="E319">
        <v>2.0150000000000001E-2</v>
      </c>
      <c r="F319">
        <v>0.1638</v>
      </c>
      <c r="G319">
        <v>1.67</v>
      </c>
      <c r="H319">
        <v>6.4939999999999998</v>
      </c>
      <c r="I319">
        <v>40001</v>
      </c>
      <c r="J319">
        <v>120000</v>
      </c>
    </row>
    <row r="320" spans="2:10" x14ac:dyDescent="0.25">
      <c r="B320" t="s">
        <v>712</v>
      </c>
      <c r="C320">
        <v>1.53</v>
      </c>
      <c r="D320">
        <v>1.5449999999999999</v>
      </c>
      <c r="E320">
        <v>1.149E-2</v>
      </c>
      <c r="F320">
        <v>5.6120000000000003E-2</v>
      </c>
      <c r="G320">
        <v>1.069</v>
      </c>
      <c r="H320">
        <v>5.7670000000000003</v>
      </c>
      <c r="I320">
        <v>40001</v>
      </c>
      <c r="J320">
        <v>120000</v>
      </c>
    </row>
    <row r="321" spans="2:10" x14ac:dyDescent="0.25">
      <c r="B321" t="s">
        <v>713</v>
      </c>
      <c r="C321">
        <v>1.351</v>
      </c>
      <c r="D321">
        <v>1.506</v>
      </c>
      <c r="E321">
        <v>1.0619999999999999E-2</v>
      </c>
      <c r="F321">
        <v>3.066E-2</v>
      </c>
      <c r="G321">
        <v>0.86719999999999997</v>
      </c>
      <c r="H321">
        <v>5.4820000000000002</v>
      </c>
      <c r="I321">
        <v>40001</v>
      </c>
      <c r="J321">
        <v>120000</v>
      </c>
    </row>
    <row r="322" spans="2:10" x14ac:dyDescent="0.25">
      <c r="B322" t="s">
        <v>714</v>
      </c>
      <c r="C322">
        <v>1.1359999999999999</v>
      </c>
      <c r="D322">
        <v>1.466</v>
      </c>
      <c r="E322">
        <v>5.2940000000000001E-3</v>
      </c>
      <c r="F322">
        <v>1.721E-2</v>
      </c>
      <c r="G322">
        <v>0.59640000000000004</v>
      </c>
      <c r="H322">
        <v>5.2720000000000002</v>
      </c>
      <c r="I322">
        <v>40001</v>
      </c>
      <c r="J322">
        <v>120000</v>
      </c>
    </row>
    <row r="323" spans="2:10" x14ac:dyDescent="0.25">
      <c r="B323" t="s">
        <v>715</v>
      </c>
      <c r="C323">
        <v>1.27</v>
      </c>
      <c r="D323">
        <v>1.4970000000000001</v>
      </c>
      <c r="E323">
        <v>7.2529999999999999E-3</v>
      </c>
      <c r="F323">
        <v>3.3980000000000003E-2</v>
      </c>
      <c r="G323">
        <v>0.75229999999999997</v>
      </c>
      <c r="H323">
        <v>5.4640000000000004</v>
      </c>
      <c r="I323">
        <v>40001</v>
      </c>
      <c r="J323">
        <v>120000</v>
      </c>
    </row>
    <row r="324" spans="2:10" x14ac:dyDescent="0.25">
      <c r="B324" t="s">
        <v>716</v>
      </c>
      <c r="C324">
        <v>3.008</v>
      </c>
      <c r="D324">
        <v>2.0529999999999999</v>
      </c>
      <c r="E324">
        <v>3.2309999999999998E-2</v>
      </c>
      <c r="F324">
        <v>0.29239999999999999</v>
      </c>
      <c r="G324">
        <v>2.605</v>
      </c>
      <c r="H324">
        <v>8.06</v>
      </c>
      <c r="I324">
        <v>40001</v>
      </c>
      <c r="J324">
        <v>120000</v>
      </c>
    </row>
    <row r="325" spans="2:10" x14ac:dyDescent="0.25">
      <c r="B325" t="s">
        <v>717</v>
      </c>
      <c r="C325">
        <v>1.5309999999999999</v>
      </c>
      <c r="D325">
        <v>1.5569999999999999</v>
      </c>
      <c r="E325">
        <v>1.5610000000000001E-2</v>
      </c>
      <c r="F325">
        <v>4.5190000000000001E-2</v>
      </c>
      <c r="G325">
        <v>1.056</v>
      </c>
      <c r="H325">
        <v>5.8029999999999999</v>
      </c>
      <c r="I325">
        <v>40001</v>
      </c>
      <c r="J325">
        <v>120000</v>
      </c>
    </row>
    <row r="326" spans="2:10" x14ac:dyDescent="0.25">
      <c r="B326" t="s">
        <v>718</v>
      </c>
      <c r="C326">
        <v>1.2370000000000001</v>
      </c>
      <c r="D326">
        <v>1.478</v>
      </c>
      <c r="E326">
        <v>7.3709999999999999E-3</v>
      </c>
      <c r="F326">
        <v>2.3550000000000001E-2</v>
      </c>
      <c r="G326">
        <v>0.72850000000000004</v>
      </c>
      <c r="H326">
        <v>5.3380000000000001</v>
      </c>
      <c r="I326">
        <v>40001</v>
      </c>
      <c r="J326">
        <v>120000</v>
      </c>
    </row>
    <row r="327" spans="2:10" x14ac:dyDescent="0.25">
      <c r="B327" t="s">
        <v>719</v>
      </c>
      <c r="C327">
        <v>1.1879999999999999</v>
      </c>
      <c r="D327">
        <v>1.472</v>
      </c>
      <c r="E327">
        <v>5.9589999999999999E-3</v>
      </c>
      <c r="F327">
        <v>2.102E-2</v>
      </c>
      <c r="G327">
        <v>0.66410000000000002</v>
      </c>
      <c r="H327">
        <v>5.3319999999999999</v>
      </c>
      <c r="I327">
        <v>40001</v>
      </c>
      <c r="J327">
        <v>120000</v>
      </c>
    </row>
    <row r="328" spans="2:10" x14ac:dyDescent="0.25">
      <c r="B328" t="s">
        <v>720</v>
      </c>
      <c r="C328">
        <v>1.351</v>
      </c>
      <c r="D328">
        <v>1.5189999999999999</v>
      </c>
      <c r="E328">
        <v>1.076E-2</v>
      </c>
      <c r="F328">
        <v>2.9749999999999999E-2</v>
      </c>
      <c r="G328">
        <v>0.8488</v>
      </c>
      <c r="H328">
        <v>5.5629999999999997</v>
      </c>
      <c r="I328">
        <v>40001</v>
      </c>
      <c r="J328">
        <v>120000</v>
      </c>
    </row>
    <row r="329" spans="2:10" x14ac:dyDescent="0.25">
      <c r="B329" t="s">
        <v>721</v>
      </c>
      <c r="C329">
        <v>2.1840000000000002</v>
      </c>
      <c r="D329">
        <v>1.619</v>
      </c>
      <c r="E329">
        <v>7.7210000000000004E-3</v>
      </c>
      <c r="F329">
        <v>0.76619999999999999</v>
      </c>
      <c r="G329">
        <v>1.617</v>
      </c>
      <c r="H329">
        <v>6.7309999999999999</v>
      </c>
      <c r="I329">
        <v>40001</v>
      </c>
      <c r="J329">
        <v>120000</v>
      </c>
    </row>
    <row r="330" spans="2:10" x14ac:dyDescent="0.25">
      <c r="B330" t="s">
        <v>722</v>
      </c>
      <c r="C330">
        <v>1.5629999999999999</v>
      </c>
      <c r="D330">
        <v>1.5269999999999999</v>
      </c>
      <c r="E330">
        <v>1.1639999999999999E-2</v>
      </c>
      <c r="F330">
        <v>9.3890000000000001E-2</v>
      </c>
      <c r="G330">
        <v>1.099</v>
      </c>
      <c r="H330">
        <v>5.774</v>
      </c>
      <c r="I330">
        <v>40001</v>
      </c>
      <c r="J330">
        <v>120000</v>
      </c>
    </row>
    <row r="331" spans="2:10" x14ac:dyDescent="0.25">
      <c r="B331" t="s">
        <v>723</v>
      </c>
      <c r="C331">
        <v>1.6020000000000001</v>
      </c>
      <c r="D331">
        <v>1.55</v>
      </c>
      <c r="E331">
        <v>8.9589999999999999E-3</v>
      </c>
      <c r="F331">
        <v>0.18440000000000001</v>
      </c>
      <c r="G331">
        <v>1.095</v>
      </c>
      <c r="H331">
        <v>5.9489999999999998</v>
      </c>
      <c r="I331">
        <v>40001</v>
      </c>
      <c r="J331">
        <v>120000</v>
      </c>
    </row>
    <row r="332" spans="2:10" x14ac:dyDescent="0.25">
      <c r="B332" t="s">
        <v>724</v>
      </c>
      <c r="C332">
        <v>1.964</v>
      </c>
      <c r="D332">
        <v>1.593</v>
      </c>
      <c r="E332">
        <v>1.7399999999999999E-2</v>
      </c>
      <c r="F332">
        <v>0.17810000000000001</v>
      </c>
      <c r="G332">
        <v>1.5620000000000001</v>
      </c>
      <c r="H332">
        <v>6.2130000000000001</v>
      </c>
      <c r="I332">
        <v>40001</v>
      </c>
      <c r="J332">
        <v>120000</v>
      </c>
    </row>
    <row r="333" spans="2:10" x14ac:dyDescent="0.25">
      <c r="B333" t="s">
        <v>725</v>
      </c>
      <c r="C333">
        <v>1.714</v>
      </c>
      <c r="D333">
        <v>1.702</v>
      </c>
      <c r="E333">
        <v>1.9519999999999999E-2</v>
      </c>
      <c r="F333">
        <v>4.7219999999999998E-2</v>
      </c>
      <c r="G333">
        <v>1.208</v>
      </c>
      <c r="H333">
        <v>6.2690000000000001</v>
      </c>
      <c r="I333">
        <v>40001</v>
      </c>
      <c r="J333">
        <v>120000</v>
      </c>
    </row>
    <row r="334" spans="2:10" x14ac:dyDescent="0.25">
      <c r="B334" t="s">
        <v>726</v>
      </c>
      <c r="C334">
        <v>8.1489999999999991</v>
      </c>
      <c r="D334">
        <v>0.95220000000000005</v>
      </c>
      <c r="E334">
        <v>2.179E-2</v>
      </c>
      <c r="F334">
        <v>6</v>
      </c>
      <c r="G334">
        <v>8</v>
      </c>
      <c r="H334">
        <v>10</v>
      </c>
      <c r="I334">
        <v>40001</v>
      </c>
      <c r="J334">
        <v>120000</v>
      </c>
    </row>
    <row r="335" spans="2:10" x14ac:dyDescent="0.25">
      <c r="B335" t="s">
        <v>727</v>
      </c>
      <c r="C335">
        <v>6.2729999999999997</v>
      </c>
      <c r="D335">
        <v>1.236</v>
      </c>
      <c r="E335">
        <v>2.5850000000000001E-2</v>
      </c>
      <c r="F335">
        <v>4</v>
      </c>
      <c r="G335">
        <v>6</v>
      </c>
      <c r="H335">
        <v>8</v>
      </c>
      <c r="I335">
        <v>40001</v>
      </c>
      <c r="J335">
        <v>120000</v>
      </c>
    </row>
    <row r="336" spans="2:10" x14ac:dyDescent="0.25">
      <c r="B336" t="s">
        <v>728</v>
      </c>
      <c r="C336">
        <v>3.585</v>
      </c>
      <c r="D336">
        <v>1.3169999999999999</v>
      </c>
      <c r="E336">
        <v>2.9340000000000001E-2</v>
      </c>
      <c r="F336">
        <v>1</v>
      </c>
      <c r="G336">
        <v>3</v>
      </c>
      <c r="H336">
        <v>6</v>
      </c>
      <c r="I336">
        <v>40001</v>
      </c>
      <c r="J336">
        <v>120000</v>
      </c>
    </row>
    <row r="337" spans="1:10" x14ac:dyDescent="0.25">
      <c r="B337" t="s">
        <v>729</v>
      </c>
      <c r="C337">
        <v>4.4020000000000001</v>
      </c>
      <c r="D337">
        <v>2.0840000000000001</v>
      </c>
      <c r="E337">
        <v>4.8759999999999998E-2</v>
      </c>
      <c r="F337">
        <v>1</v>
      </c>
      <c r="G337">
        <v>4</v>
      </c>
      <c r="H337">
        <v>9</v>
      </c>
      <c r="I337">
        <v>40001</v>
      </c>
      <c r="J337">
        <v>120000</v>
      </c>
    </row>
    <row r="338" spans="1:10" x14ac:dyDescent="0.25">
      <c r="B338" t="s">
        <v>730</v>
      </c>
      <c r="C338">
        <v>7.3360000000000003</v>
      </c>
      <c r="D338">
        <v>2.7639999999999998</v>
      </c>
      <c r="E338">
        <v>6.3619999999999996E-2</v>
      </c>
      <c r="F338">
        <v>1</v>
      </c>
      <c r="G338">
        <v>8</v>
      </c>
      <c r="H338">
        <v>10</v>
      </c>
      <c r="I338">
        <v>40001</v>
      </c>
      <c r="J338">
        <v>120000</v>
      </c>
    </row>
    <row r="339" spans="1:10" x14ac:dyDescent="0.25">
      <c r="B339" t="s">
        <v>731</v>
      </c>
      <c r="C339">
        <v>3.2869999999999999</v>
      </c>
      <c r="D339">
        <v>2.4710000000000001</v>
      </c>
      <c r="E339">
        <v>5.4719999999999998E-2</v>
      </c>
      <c r="F339">
        <v>1</v>
      </c>
      <c r="G339">
        <v>2</v>
      </c>
      <c r="H339">
        <v>9</v>
      </c>
      <c r="I339">
        <v>40001</v>
      </c>
      <c r="J339">
        <v>120000</v>
      </c>
    </row>
    <row r="340" spans="1:10" x14ac:dyDescent="0.25">
      <c r="B340" t="s">
        <v>732</v>
      </c>
      <c r="C340">
        <v>2.6240000000000001</v>
      </c>
      <c r="D340">
        <v>2.0910000000000002</v>
      </c>
      <c r="E340">
        <v>4.3130000000000002E-2</v>
      </c>
      <c r="F340">
        <v>1</v>
      </c>
      <c r="G340">
        <v>2</v>
      </c>
      <c r="H340">
        <v>8</v>
      </c>
      <c r="I340">
        <v>40001</v>
      </c>
      <c r="J340">
        <v>120000</v>
      </c>
    </row>
    <row r="341" spans="1:10" x14ac:dyDescent="0.25">
      <c r="B341" t="s">
        <v>733</v>
      </c>
      <c r="C341">
        <v>4.2149999999999999</v>
      </c>
      <c r="D341">
        <v>2.383</v>
      </c>
      <c r="E341">
        <v>5.5149999999999998E-2</v>
      </c>
      <c r="F341">
        <v>1</v>
      </c>
      <c r="G341">
        <v>4</v>
      </c>
      <c r="H341">
        <v>9</v>
      </c>
      <c r="I341">
        <v>40001</v>
      </c>
      <c r="J341">
        <v>120000</v>
      </c>
    </row>
    <row r="342" spans="1:10" x14ac:dyDescent="0.25">
      <c r="B342" t="s">
        <v>734</v>
      </c>
      <c r="C342">
        <v>9.5210000000000008</v>
      </c>
      <c r="D342">
        <v>0.71850000000000003</v>
      </c>
      <c r="E342">
        <v>1.537E-2</v>
      </c>
      <c r="F342">
        <v>8</v>
      </c>
      <c r="G342">
        <v>10</v>
      </c>
      <c r="H342">
        <v>10</v>
      </c>
      <c r="I342">
        <v>40001</v>
      </c>
      <c r="J342">
        <v>120000</v>
      </c>
    </row>
    <row r="343" spans="1:10" x14ac:dyDescent="0.25">
      <c r="B343" t="s">
        <v>735</v>
      </c>
      <c r="C343">
        <v>5.6079999999999997</v>
      </c>
      <c r="D343">
        <v>1.6779999999999999</v>
      </c>
      <c r="E343">
        <v>3.9039999999999998E-2</v>
      </c>
      <c r="F343">
        <v>2</v>
      </c>
      <c r="G343">
        <v>6</v>
      </c>
      <c r="H343">
        <v>9</v>
      </c>
      <c r="I343">
        <v>40001</v>
      </c>
      <c r="J343">
        <v>120000</v>
      </c>
    </row>
    <row r="344" spans="1:10" x14ac:dyDescent="0.25">
      <c r="B344" t="s">
        <v>812</v>
      </c>
      <c r="C344">
        <v>0.1371</v>
      </c>
      <c r="D344">
        <v>7.7439999999999995E-2</v>
      </c>
      <c r="E344">
        <v>1.5280000000000001E-3</v>
      </c>
      <c r="F344">
        <v>3.721E-2</v>
      </c>
      <c r="G344">
        <v>0.1203</v>
      </c>
      <c r="H344">
        <v>0.33410000000000001</v>
      </c>
      <c r="I344">
        <v>40001</v>
      </c>
      <c r="J344">
        <v>120000</v>
      </c>
    </row>
    <row r="345" spans="1:10" x14ac:dyDescent="0.25">
      <c r="B345" t="s">
        <v>736</v>
      </c>
      <c r="C345">
        <v>85.15</v>
      </c>
      <c r="D345">
        <v>10.97</v>
      </c>
      <c r="E345">
        <v>9.2920000000000003E-2</v>
      </c>
      <c r="F345">
        <v>65.510000000000005</v>
      </c>
      <c r="G345">
        <v>84.47</v>
      </c>
      <c r="H345">
        <v>108.5</v>
      </c>
      <c r="I345">
        <v>40001</v>
      </c>
      <c r="J345">
        <v>120000</v>
      </c>
    </row>
    <row r="346" spans="1:10" x14ac:dyDescent="0.25">
      <c r="A346" t="s">
        <v>737</v>
      </c>
    </row>
    <row r="348" spans="1:10" x14ac:dyDescent="0.25">
      <c r="A348" t="s">
        <v>738</v>
      </c>
    </row>
    <row r="349" spans="1:10" x14ac:dyDescent="0.25">
      <c r="A349" t="s">
        <v>739</v>
      </c>
    </row>
    <row r="350" spans="1:10" x14ac:dyDescent="0.25">
      <c r="B350" t="s">
        <v>740</v>
      </c>
      <c r="C350" t="s">
        <v>741</v>
      </c>
      <c r="D350" t="s">
        <v>742</v>
      </c>
      <c r="E350" t="s">
        <v>738</v>
      </c>
    </row>
    <row r="351" spans="1:10" x14ac:dyDescent="0.25">
      <c r="A351" t="s">
        <v>743</v>
      </c>
      <c r="B351">
        <v>312.11900000000003</v>
      </c>
      <c r="C351">
        <v>258.64</v>
      </c>
      <c r="D351">
        <v>53.478999999999999</v>
      </c>
      <c r="E351">
        <v>365.59800000000001</v>
      </c>
    </row>
    <row r="352" spans="1:10" x14ac:dyDescent="0.25">
      <c r="A352" t="s">
        <v>744</v>
      </c>
      <c r="B352">
        <v>312.11900000000003</v>
      </c>
      <c r="C352">
        <v>258.64</v>
      </c>
      <c r="D352">
        <v>53.478999999999999</v>
      </c>
      <c r="E352">
        <v>365.59800000000001</v>
      </c>
    </row>
    <row r="353" spans="1:1" x14ac:dyDescent="0.25">
      <c r="A353" t="s">
        <v>745</v>
      </c>
    </row>
    <row r="355" spans="1:1" x14ac:dyDescent="0.25">
      <c r="A355" t="s">
        <v>746</v>
      </c>
    </row>
    <row r="357" spans="1:1" x14ac:dyDescent="0.25">
      <c r="A357" t="s">
        <v>747</v>
      </c>
    </row>
    <row r="359" spans="1:1" x14ac:dyDescent="0.25">
      <c r="A359" t="s">
        <v>748</v>
      </c>
    </row>
    <row r="361" spans="1:1" x14ac:dyDescent="0.25">
      <c r="A361" t="s">
        <v>886</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27:H158"/>
  <sheetViews>
    <sheetView showGridLines="0" workbookViewId="0">
      <selection activeCell="X65" sqref="X65"/>
    </sheetView>
  </sheetViews>
  <sheetFormatPr defaultRowHeight="15" x14ac:dyDescent="0.25"/>
  <sheetData>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63"/>
  <sheetViews>
    <sheetView showGridLines="0" topLeftCell="A24" workbookViewId="0">
      <selection activeCell="H27" sqref="H27:H71"/>
    </sheetView>
  </sheetViews>
  <sheetFormatPr defaultRowHeight="15" x14ac:dyDescent="0.25"/>
  <sheetData>
    <row r="1" spans="1:1" hidden="1" x14ac:dyDescent="0.25">
      <c r="A1" t="s">
        <v>394</v>
      </c>
    </row>
    <row r="2" spans="1:1" hidden="1" x14ac:dyDescent="0.25">
      <c r="A2" t="s">
        <v>858</v>
      </c>
    </row>
    <row r="3" spans="1:1" hidden="1" x14ac:dyDescent="0.25">
      <c r="A3" t="s">
        <v>401</v>
      </c>
    </row>
    <row r="4" spans="1:1" hidden="1" x14ac:dyDescent="0.25">
      <c r="A4" t="s">
        <v>395</v>
      </c>
    </row>
    <row r="5" spans="1:1" hidden="1" x14ac:dyDescent="0.25">
      <c r="A5" t="s">
        <v>403</v>
      </c>
    </row>
    <row r="6" spans="1:1" hidden="1" x14ac:dyDescent="0.25">
      <c r="A6" t="s">
        <v>396</v>
      </c>
    </row>
    <row r="7" spans="1:1" hidden="1" x14ac:dyDescent="0.25">
      <c r="A7" t="s">
        <v>403</v>
      </c>
    </row>
    <row r="8" spans="1:1" hidden="1" x14ac:dyDescent="0.25">
      <c r="A8" t="s">
        <v>21</v>
      </c>
    </row>
    <row r="9" spans="1:1" hidden="1" x14ac:dyDescent="0.25">
      <c r="A9" t="s">
        <v>405</v>
      </c>
    </row>
    <row r="10" spans="1:1" hidden="1" x14ac:dyDescent="0.25">
      <c r="A10" t="s">
        <v>859</v>
      </c>
    </row>
    <row r="11" spans="1:1" hidden="1" x14ac:dyDescent="0.25">
      <c r="A11" t="s">
        <v>808</v>
      </c>
    </row>
    <row r="12" spans="1:1" hidden="1" x14ac:dyDescent="0.25">
      <c r="A12" t="s">
        <v>860</v>
      </c>
    </row>
    <row r="13" spans="1:1" hidden="1" x14ac:dyDescent="0.25">
      <c r="A13" t="s">
        <v>808</v>
      </c>
    </row>
    <row r="14" spans="1:1" hidden="1" x14ac:dyDescent="0.25">
      <c r="A14" t="s">
        <v>861</v>
      </c>
    </row>
    <row r="15" spans="1:1" hidden="1" x14ac:dyDescent="0.25">
      <c r="A15" t="s">
        <v>808</v>
      </c>
    </row>
    <row r="16" spans="1:1" hidden="1" x14ac:dyDescent="0.25">
      <c r="A16" t="s">
        <v>23</v>
      </c>
    </row>
    <row r="17" spans="1:10" hidden="1" x14ac:dyDescent="0.25">
      <c r="A17" t="s">
        <v>811</v>
      </c>
    </row>
    <row r="18" spans="1:10" hidden="1" x14ac:dyDescent="0.25">
      <c r="A18" t="s">
        <v>398</v>
      </c>
    </row>
    <row r="19" spans="1:10" hidden="1" x14ac:dyDescent="0.25">
      <c r="A19" t="s">
        <v>197</v>
      </c>
    </row>
    <row r="20" spans="1:10" hidden="1" x14ac:dyDescent="0.25">
      <c r="A20" t="s">
        <v>198</v>
      </c>
    </row>
    <row r="21" spans="1:10" hidden="1" x14ac:dyDescent="0.25">
      <c r="A21" t="s">
        <v>199</v>
      </c>
    </row>
    <row r="22" spans="1:10" hidden="1" x14ac:dyDescent="0.25">
      <c r="A22" t="s">
        <v>398</v>
      </c>
    </row>
    <row r="23" spans="1:10" hidden="1" x14ac:dyDescent="0.25">
      <c r="A23" t="s">
        <v>399</v>
      </c>
    </row>
    <row r="25" spans="1:10" x14ac:dyDescent="0.25">
      <c r="A25" t="s">
        <v>418</v>
      </c>
    </row>
    <row r="26" spans="1:10" x14ac:dyDescent="0.25">
      <c r="B26" t="s">
        <v>419</v>
      </c>
      <c r="C26" t="s">
        <v>420</v>
      </c>
      <c r="D26" t="s">
        <v>421</v>
      </c>
      <c r="E26" t="s">
        <v>422</v>
      </c>
      <c r="F26" s="12">
        <v>2.5000000000000001E-2</v>
      </c>
      <c r="G26" t="s">
        <v>423</v>
      </c>
      <c r="H26" s="12">
        <v>0.97499999999999998</v>
      </c>
      <c r="I26" t="s">
        <v>424</v>
      </c>
      <c r="J26" t="s">
        <v>425</v>
      </c>
    </row>
    <row r="27" spans="1:10" x14ac:dyDescent="0.25">
      <c r="B27" t="s">
        <v>813</v>
      </c>
      <c r="C27">
        <v>-0.31690000000000002</v>
      </c>
      <c r="D27">
        <v>0.32829999999999998</v>
      </c>
      <c r="E27">
        <v>6.3460000000000001E-3</v>
      </c>
      <c r="F27">
        <v>-0.94879999999999998</v>
      </c>
      <c r="G27">
        <v>-0.32119999999999999</v>
      </c>
      <c r="H27">
        <v>0.34499999999999997</v>
      </c>
      <c r="I27">
        <v>40001</v>
      </c>
      <c r="J27">
        <v>120000</v>
      </c>
    </row>
    <row r="28" spans="1:10" x14ac:dyDescent="0.25">
      <c r="B28" t="s">
        <v>814</v>
      </c>
      <c r="C28">
        <v>-0.9748</v>
      </c>
      <c r="D28">
        <v>0.62919999999999998</v>
      </c>
      <c r="E28">
        <v>1.372E-2</v>
      </c>
      <c r="F28">
        <v>-2.2450000000000001</v>
      </c>
      <c r="G28">
        <v>-0.97940000000000005</v>
      </c>
      <c r="H28">
        <v>0.25900000000000001</v>
      </c>
      <c r="I28">
        <v>40001</v>
      </c>
      <c r="J28">
        <v>120000</v>
      </c>
    </row>
    <row r="29" spans="1:10" x14ac:dyDescent="0.25">
      <c r="B29" t="s">
        <v>815</v>
      </c>
      <c r="C29">
        <v>-0.89529999999999998</v>
      </c>
      <c r="D29">
        <v>1.0680000000000001</v>
      </c>
      <c r="E29">
        <v>2.3130000000000001E-2</v>
      </c>
      <c r="F29">
        <v>-3.1150000000000002</v>
      </c>
      <c r="G29">
        <v>-0.85050000000000003</v>
      </c>
      <c r="H29">
        <v>1.095</v>
      </c>
      <c r="I29">
        <v>40001</v>
      </c>
      <c r="J29">
        <v>120000</v>
      </c>
    </row>
    <row r="30" spans="1:10" x14ac:dyDescent="0.25">
      <c r="B30" t="s">
        <v>816</v>
      </c>
      <c r="C30">
        <v>0.28039999999999998</v>
      </c>
      <c r="D30">
        <v>99.92</v>
      </c>
      <c r="E30">
        <v>0.27910000000000001</v>
      </c>
      <c r="F30">
        <v>-196.5</v>
      </c>
      <c r="G30">
        <v>0.1031</v>
      </c>
      <c r="H30">
        <v>196</v>
      </c>
      <c r="I30">
        <v>40001</v>
      </c>
      <c r="J30">
        <v>120000</v>
      </c>
    </row>
    <row r="31" spans="1:10" x14ac:dyDescent="0.25">
      <c r="B31" t="s">
        <v>817</v>
      </c>
      <c r="C31">
        <v>0.47549999999999998</v>
      </c>
      <c r="D31">
        <v>100.1</v>
      </c>
      <c r="E31">
        <v>0.29749999999999999</v>
      </c>
      <c r="F31">
        <v>-195.3</v>
      </c>
      <c r="G31">
        <v>0.51729999999999998</v>
      </c>
      <c r="H31">
        <v>196.5</v>
      </c>
      <c r="I31">
        <v>40001</v>
      </c>
      <c r="J31">
        <v>120000</v>
      </c>
    </row>
    <row r="32" spans="1:10" x14ac:dyDescent="0.25">
      <c r="B32" t="s">
        <v>818</v>
      </c>
      <c r="C32">
        <v>0.2334</v>
      </c>
      <c r="D32">
        <v>100.2</v>
      </c>
      <c r="E32">
        <v>0.30009999999999998</v>
      </c>
      <c r="F32">
        <v>-196.2</v>
      </c>
      <c r="G32">
        <v>0.1414</v>
      </c>
      <c r="H32">
        <v>197.3</v>
      </c>
      <c r="I32">
        <v>40001</v>
      </c>
      <c r="J32">
        <v>120000</v>
      </c>
    </row>
    <row r="33" spans="2:10" x14ac:dyDescent="0.25">
      <c r="B33" t="s">
        <v>819</v>
      </c>
      <c r="C33">
        <v>-78.94</v>
      </c>
      <c r="D33">
        <v>57.67</v>
      </c>
      <c r="E33">
        <v>2.3570000000000002</v>
      </c>
      <c r="F33">
        <v>-186.3</v>
      </c>
      <c r="G33">
        <v>-71.989999999999995</v>
      </c>
      <c r="H33">
        <v>-2.4239999999999999</v>
      </c>
      <c r="I33">
        <v>40001</v>
      </c>
      <c r="J33">
        <v>120000</v>
      </c>
    </row>
    <row r="34" spans="2:10" x14ac:dyDescent="0.25">
      <c r="B34" t="s">
        <v>820</v>
      </c>
      <c r="C34">
        <v>0.33300000000000002</v>
      </c>
      <c r="D34">
        <v>0.31630000000000003</v>
      </c>
      <c r="E34">
        <v>5.4669999999999996E-3</v>
      </c>
      <c r="F34">
        <v>-0.2752</v>
      </c>
      <c r="G34">
        <v>0.33360000000000001</v>
      </c>
      <c r="H34">
        <v>0.96589999999999998</v>
      </c>
      <c r="I34">
        <v>40001</v>
      </c>
      <c r="J34">
        <v>120000</v>
      </c>
    </row>
    <row r="35" spans="2:10" x14ac:dyDescent="0.25">
      <c r="B35" t="s">
        <v>821</v>
      </c>
      <c r="C35">
        <v>-0.33429999999999999</v>
      </c>
      <c r="D35">
        <v>0.64280000000000004</v>
      </c>
      <c r="E35">
        <v>1.5010000000000001E-2</v>
      </c>
      <c r="F35">
        <v>-1.5580000000000001</v>
      </c>
      <c r="G35">
        <v>-0.34499999999999997</v>
      </c>
      <c r="H35">
        <v>0.97860000000000003</v>
      </c>
      <c r="I35">
        <v>40001</v>
      </c>
      <c r="J35">
        <v>120000</v>
      </c>
    </row>
    <row r="36" spans="2:10" x14ac:dyDescent="0.25">
      <c r="B36" t="s">
        <v>822</v>
      </c>
      <c r="C36">
        <v>-0.17710000000000001</v>
      </c>
      <c r="D36">
        <v>0.5655</v>
      </c>
      <c r="E36">
        <v>1.108E-2</v>
      </c>
      <c r="F36">
        <v>-1.3169999999999999</v>
      </c>
      <c r="G36">
        <v>-0.16550000000000001</v>
      </c>
      <c r="H36">
        <v>0.90080000000000005</v>
      </c>
      <c r="I36">
        <v>40001</v>
      </c>
      <c r="J36">
        <v>120000</v>
      </c>
    </row>
    <row r="37" spans="2:10" x14ac:dyDescent="0.25">
      <c r="B37" t="s">
        <v>823</v>
      </c>
      <c r="C37">
        <v>9.5810000000000006E-2</v>
      </c>
      <c r="D37">
        <v>99.78</v>
      </c>
      <c r="E37">
        <v>0.28499999999999998</v>
      </c>
      <c r="F37">
        <v>-196.1</v>
      </c>
      <c r="G37">
        <v>0.4365</v>
      </c>
      <c r="H37">
        <v>195.2</v>
      </c>
      <c r="I37">
        <v>40001</v>
      </c>
      <c r="J37">
        <v>120000</v>
      </c>
    </row>
    <row r="38" spans="2:10" x14ac:dyDescent="0.25">
      <c r="B38" t="s">
        <v>824</v>
      </c>
      <c r="C38">
        <v>0.39169999999999999</v>
      </c>
      <c r="D38">
        <v>0.95830000000000004</v>
      </c>
      <c r="E38">
        <v>1.968E-2</v>
      </c>
      <c r="F38">
        <v>-1.446</v>
      </c>
      <c r="G38">
        <v>0.38369999999999999</v>
      </c>
      <c r="H38">
        <v>2.399</v>
      </c>
      <c r="I38">
        <v>40001</v>
      </c>
      <c r="J38">
        <v>120000</v>
      </c>
    </row>
    <row r="39" spans="2:10" x14ac:dyDescent="0.25">
      <c r="B39" t="s">
        <v>825</v>
      </c>
      <c r="C39">
        <v>0.41510000000000002</v>
      </c>
      <c r="D39">
        <v>99.69</v>
      </c>
      <c r="E39">
        <v>0.28189999999999998</v>
      </c>
      <c r="F39">
        <v>-194.6</v>
      </c>
      <c r="G39">
        <v>0.60560000000000003</v>
      </c>
      <c r="H39">
        <v>196</v>
      </c>
      <c r="I39">
        <v>40001</v>
      </c>
      <c r="J39">
        <v>120000</v>
      </c>
    </row>
    <row r="40" spans="2:10" x14ac:dyDescent="0.25">
      <c r="B40" t="s">
        <v>826</v>
      </c>
      <c r="C40">
        <v>-1.014</v>
      </c>
      <c r="D40">
        <v>0.86499999999999999</v>
      </c>
      <c r="E40">
        <v>1.6369999999999999E-2</v>
      </c>
      <c r="F40">
        <v>-2.778</v>
      </c>
      <c r="G40">
        <v>-1.01</v>
      </c>
      <c r="H40">
        <v>0.69079999999999997</v>
      </c>
      <c r="I40">
        <v>40001</v>
      </c>
      <c r="J40">
        <v>120000</v>
      </c>
    </row>
    <row r="41" spans="2:10" x14ac:dyDescent="0.25">
      <c r="B41" t="s">
        <v>827</v>
      </c>
      <c r="C41">
        <v>-0.34110000000000001</v>
      </c>
      <c r="D41">
        <v>0.68799999999999994</v>
      </c>
      <c r="E41">
        <v>1.022E-2</v>
      </c>
      <c r="F41">
        <v>-1.7010000000000001</v>
      </c>
      <c r="G41">
        <v>-0.33889999999999998</v>
      </c>
      <c r="H41">
        <v>1.022</v>
      </c>
      <c r="I41">
        <v>40001</v>
      </c>
      <c r="J41">
        <v>120000</v>
      </c>
    </row>
    <row r="42" spans="2:10" x14ac:dyDescent="0.25">
      <c r="B42" t="s">
        <v>828</v>
      </c>
      <c r="C42">
        <v>0.20710000000000001</v>
      </c>
      <c r="D42">
        <v>99.75</v>
      </c>
      <c r="E42">
        <v>0.2903</v>
      </c>
      <c r="F42">
        <v>-195.4</v>
      </c>
      <c r="G42">
        <v>6.8949999999999997E-2</v>
      </c>
      <c r="H42">
        <v>194.7</v>
      </c>
      <c r="I42">
        <v>40001</v>
      </c>
      <c r="J42">
        <v>120000</v>
      </c>
    </row>
    <row r="43" spans="2:10" x14ac:dyDescent="0.25">
      <c r="B43" t="s">
        <v>829</v>
      </c>
      <c r="C43">
        <v>-0.31950000000000001</v>
      </c>
      <c r="D43">
        <v>0.52780000000000005</v>
      </c>
      <c r="E43">
        <v>9.3570000000000007E-3</v>
      </c>
      <c r="F43">
        <v>-1.351</v>
      </c>
      <c r="G43">
        <v>-0.31159999999999999</v>
      </c>
      <c r="H43">
        <v>0.70669999999999999</v>
      </c>
      <c r="I43">
        <v>40001</v>
      </c>
      <c r="J43">
        <v>120000</v>
      </c>
    </row>
    <row r="44" spans="2:10" x14ac:dyDescent="0.25">
      <c r="B44" t="s">
        <v>830</v>
      </c>
      <c r="C44">
        <v>0.1052</v>
      </c>
      <c r="D44">
        <v>0.53890000000000005</v>
      </c>
      <c r="E44">
        <v>9.9760000000000005E-3</v>
      </c>
      <c r="F44">
        <v>-0.93240000000000001</v>
      </c>
      <c r="G44">
        <v>9.5829999999999999E-2</v>
      </c>
      <c r="H44">
        <v>1.2070000000000001</v>
      </c>
      <c r="I44">
        <v>40001</v>
      </c>
      <c r="J44">
        <v>120000</v>
      </c>
    </row>
    <row r="45" spans="2:10" x14ac:dyDescent="0.25">
      <c r="B45" t="s">
        <v>831</v>
      </c>
      <c r="C45">
        <v>-0.11219999999999999</v>
      </c>
      <c r="D45">
        <v>100.5</v>
      </c>
      <c r="E45">
        <v>0.28560000000000002</v>
      </c>
      <c r="F45">
        <v>-196.8</v>
      </c>
      <c r="G45">
        <v>-0.2757</v>
      </c>
      <c r="H45">
        <v>196.3</v>
      </c>
      <c r="I45">
        <v>40001</v>
      </c>
      <c r="J45">
        <v>120000</v>
      </c>
    </row>
    <row r="46" spans="2:10" x14ac:dyDescent="0.25">
      <c r="B46" t="s">
        <v>832</v>
      </c>
      <c r="C46">
        <v>-0.28349999999999997</v>
      </c>
      <c r="D46">
        <v>0.8327</v>
      </c>
      <c r="E46">
        <v>1.485E-2</v>
      </c>
      <c r="F46">
        <v>-1.9350000000000001</v>
      </c>
      <c r="G46">
        <v>-0.29110000000000003</v>
      </c>
      <c r="H46">
        <v>1.3340000000000001</v>
      </c>
      <c r="I46">
        <v>40001</v>
      </c>
      <c r="J46">
        <v>120000</v>
      </c>
    </row>
    <row r="47" spans="2:10" x14ac:dyDescent="0.25">
      <c r="B47" t="s">
        <v>833</v>
      </c>
      <c r="C47">
        <v>0.38840000000000002</v>
      </c>
      <c r="D47">
        <v>99.5</v>
      </c>
      <c r="E47">
        <v>0.28110000000000002</v>
      </c>
      <c r="F47">
        <v>-194.4</v>
      </c>
      <c r="G47">
        <v>0.2016</v>
      </c>
      <c r="H47">
        <v>196.5</v>
      </c>
      <c r="I47">
        <v>40001</v>
      </c>
      <c r="J47">
        <v>120000</v>
      </c>
    </row>
    <row r="48" spans="2:10" x14ac:dyDescent="0.25">
      <c r="B48" t="s">
        <v>834</v>
      </c>
      <c r="C48">
        <v>-0.2442</v>
      </c>
      <c r="D48">
        <v>99.74</v>
      </c>
      <c r="E48">
        <v>0.2802</v>
      </c>
      <c r="F48">
        <v>-195.5</v>
      </c>
      <c r="G48">
        <v>-0.26200000000000001</v>
      </c>
      <c r="H48">
        <v>194.7</v>
      </c>
      <c r="I48">
        <v>40001</v>
      </c>
      <c r="J48">
        <v>120000</v>
      </c>
    </row>
    <row r="49" spans="2:10" x14ac:dyDescent="0.25">
      <c r="B49" t="s">
        <v>835</v>
      </c>
      <c r="C49">
        <v>1.77</v>
      </c>
      <c r="D49">
        <v>0.87870000000000004</v>
      </c>
      <c r="E49">
        <v>2.2790000000000001E-2</v>
      </c>
      <c r="F49">
        <v>0.18190000000000001</v>
      </c>
      <c r="G49">
        <v>1.714</v>
      </c>
      <c r="H49">
        <v>3.7170000000000001</v>
      </c>
      <c r="I49">
        <v>40001</v>
      </c>
      <c r="J49">
        <v>120000</v>
      </c>
    </row>
    <row r="50" spans="2:10" x14ac:dyDescent="0.25">
      <c r="B50" t="s">
        <v>836</v>
      </c>
      <c r="C50">
        <v>0.71319999999999995</v>
      </c>
      <c r="D50">
        <v>0.75370000000000004</v>
      </c>
      <c r="E50">
        <v>1.7559999999999999E-2</v>
      </c>
      <c r="F50">
        <v>-0.68430000000000002</v>
      </c>
      <c r="G50">
        <v>0.68740000000000001</v>
      </c>
      <c r="H50">
        <v>2.2559999999999998</v>
      </c>
      <c r="I50">
        <v>40001</v>
      </c>
      <c r="J50">
        <v>120000</v>
      </c>
    </row>
    <row r="51" spans="2:10" x14ac:dyDescent="0.25">
      <c r="B51" t="s">
        <v>837</v>
      </c>
      <c r="C51">
        <v>-0.53490000000000004</v>
      </c>
      <c r="D51">
        <v>99.61</v>
      </c>
      <c r="E51">
        <v>0.27860000000000001</v>
      </c>
      <c r="F51">
        <v>-196.6</v>
      </c>
      <c r="G51">
        <v>-0.77300000000000002</v>
      </c>
      <c r="H51">
        <v>195.6</v>
      </c>
      <c r="I51">
        <v>40001</v>
      </c>
      <c r="J51">
        <v>120000</v>
      </c>
    </row>
    <row r="52" spans="2:10" x14ac:dyDescent="0.25">
      <c r="B52" t="s">
        <v>838</v>
      </c>
      <c r="C52">
        <v>-0.27929999999999999</v>
      </c>
      <c r="D52">
        <v>99.62</v>
      </c>
      <c r="E52">
        <v>0.29210000000000003</v>
      </c>
      <c r="F52">
        <v>-196.6</v>
      </c>
      <c r="G52">
        <v>-0.1094</v>
      </c>
      <c r="H52">
        <v>195.9</v>
      </c>
      <c r="I52">
        <v>40001</v>
      </c>
      <c r="J52">
        <v>120000</v>
      </c>
    </row>
    <row r="53" spans="2:10" x14ac:dyDescent="0.25">
      <c r="B53" t="s">
        <v>839</v>
      </c>
      <c r="C53">
        <v>-7.3850000000000001E-3</v>
      </c>
      <c r="D53">
        <v>99.59</v>
      </c>
      <c r="E53">
        <v>0.27300000000000002</v>
      </c>
      <c r="F53">
        <v>-194.5</v>
      </c>
      <c r="G53">
        <v>-0.45689999999999997</v>
      </c>
      <c r="H53">
        <v>194.6</v>
      </c>
      <c r="I53">
        <v>40001</v>
      </c>
      <c r="J53">
        <v>120000</v>
      </c>
    </row>
    <row r="54" spans="2:10" x14ac:dyDescent="0.25">
      <c r="B54" t="s">
        <v>840</v>
      </c>
      <c r="C54">
        <v>-0.49959999999999999</v>
      </c>
      <c r="D54">
        <v>100.1</v>
      </c>
      <c r="E54">
        <v>0.308</v>
      </c>
      <c r="F54">
        <v>-197.1</v>
      </c>
      <c r="G54">
        <v>-0.81979999999999997</v>
      </c>
      <c r="H54">
        <v>197.2</v>
      </c>
      <c r="I54">
        <v>40001</v>
      </c>
      <c r="J54">
        <v>120000</v>
      </c>
    </row>
    <row r="55" spans="2:10" x14ac:dyDescent="0.25">
      <c r="B55" t="s">
        <v>841</v>
      </c>
      <c r="C55">
        <v>9.7170000000000006E-2</v>
      </c>
      <c r="D55">
        <v>99.96</v>
      </c>
      <c r="E55">
        <v>0.27660000000000001</v>
      </c>
      <c r="F55">
        <v>-196.9</v>
      </c>
      <c r="G55">
        <v>-4.5780000000000001E-2</v>
      </c>
      <c r="H55">
        <v>196.3</v>
      </c>
      <c r="I55">
        <v>40001</v>
      </c>
      <c r="J55">
        <v>120000</v>
      </c>
    </row>
    <row r="56" spans="2:10" x14ac:dyDescent="0.25">
      <c r="B56" t="s">
        <v>842</v>
      </c>
      <c r="C56">
        <v>0.55869999999999997</v>
      </c>
      <c r="D56">
        <v>100.2</v>
      </c>
      <c r="E56">
        <v>0.28029999999999999</v>
      </c>
      <c r="F56">
        <v>-196.5</v>
      </c>
      <c r="G56">
        <v>0.82909999999999995</v>
      </c>
      <c r="H56">
        <v>195.9</v>
      </c>
      <c r="I56">
        <v>40001</v>
      </c>
      <c r="J56">
        <v>120000</v>
      </c>
    </row>
    <row r="57" spans="2:10" x14ac:dyDescent="0.25">
      <c r="B57" t="s">
        <v>843</v>
      </c>
      <c r="C57">
        <v>-1.511E-2</v>
      </c>
      <c r="D57">
        <v>99.52</v>
      </c>
      <c r="E57">
        <v>0.30099999999999999</v>
      </c>
      <c r="F57">
        <v>-193.5</v>
      </c>
      <c r="G57">
        <v>0.1333</v>
      </c>
      <c r="H57">
        <v>195.4</v>
      </c>
      <c r="I57">
        <v>40001</v>
      </c>
      <c r="J57">
        <v>120000</v>
      </c>
    </row>
    <row r="58" spans="2:10" x14ac:dyDescent="0.25">
      <c r="B58" t="s">
        <v>844</v>
      </c>
      <c r="C58">
        <v>0.76600000000000001</v>
      </c>
      <c r="D58">
        <v>100.1</v>
      </c>
      <c r="E58">
        <v>0.29920000000000002</v>
      </c>
      <c r="F58">
        <v>-195.2</v>
      </c>
      <c r="G58">
        <v>0.6976</v>
      </c>
      <c r="H58">
        <v>196.9</v>
      </c>
      <c r="I58">
        <v>40001</v>
      </c>
      <c r="J58">
        <v>120000</v>
      </c>
    </row>
    <row r="59" spans="2:10" x14ac:dyDescent="0.25">
      <c r="B59" t="s">
        <v>845</v>
      </c>
      <c r="C59">
        <v>0.24610000000000001</v>
      </c>
      <c r="D59">
        <v>100</v>
      </c>
      <c r="E59">
        <v>0.27910000000000001</v>
      </c>
      <c r="F59">
        <v>-195.7</v>
      </c>
      <c r="G59">
        <v>0.37340000000000001</v>
      </c>
      <c r="H59">
        <v>196.7</v>
      </c>
      <c r="I59">
        <v>40001</v>
      </c>
      <c r="J59">
        <v>120000</v>
      </c>
    </row>
    <row r="60" spans="2:10" x14ac:dyDescent="0.25">
      <c r="B60" t="s">
        <v>846</v>
      </c>
      <c r="C60">
        <v>0.36630000000000001</v>
      </c>
      <c r="D60">
        <v>100.2</v>
      </c>
      <c r="E60">
        <v>0.27760000000000001</v>
      </c>
      <c r="F60">
        <v>-197</v>
      </c>
      <c r="G60">
        <v>0.34539999999999998</v>
      </c>
      <c r="H60">
        <v>196.8</v>
      </c>
      <c r="I60">
        <v>40001</v>
      </c>
      <c r="J60">
        <v>120000</v>
      </c>
    </row>
    <row r="61" spans="2:10" x14ac:dyDescent="0.25">
      <c r="B61" t="s">
        <v>847</v>
      </c>
      <c r="C61">
        <v>0.21029999999999999</v>
      </c>
      <c r="D61">
        <v>99.91</v>
      </c>
      <c r="E61">
        <v>0.28989999999999999</v>
      </c>
      <c r="F61">
        <v>-195.9</v>
      </c>
      <c r="G61">
        <v>9.7100000000000006E-2</v>
      </c>
      <c r="H61">
        <v>195.4</v>
      </c>
      <c r="I61">
        <v>40001</v>
      </c>
      <c r="J61">
        <v>120000</v>
      </c>
    </row>
    <row r="62" spans="2:10" x14ac:dyDescent="0.25">
      <c r="B62" t="s">
        <v>848</v>
      </c>
      <c r="C62">
        <v>-0.12939999999999999</v>
      </c>
      <c r="D62">
        <v>99.86</v>
      </c>
      <c r="E62">
        <v>0.30030000000000001</v>
      </c>
      <c r="F62">
        <v>-196.5</v>
      </c>
      <c r="G62">
        <v>-1.5610000000000001E-2</v>
      </c>
      <c r="H62">
        <v>195.7</v>
      </c>
      <c r="I62">
        <v>40001</v>
      </c>
      <c r="J62">
        <v>120000</v>
      </c>
    </row>
    <row r="63" spans="2:10" x14ac:dyDescent="0.25">
      <c r="B63" t="s">
        <v>849</v>
      </c>
      <c r="C63">
        <v>0.10929999999999999</v>
      </c>
      <c r="D63">
        <v>100</v>
      </c>
      <c r="E63">
        <v>0.28489999999999999</v>
      </c>
      <c r="F63">
        <v>-195.8</v>
      </c>
      <c r="G63">
        <v>0.21609999999999999</v>
      </c>
      <c r="H63">
        <v>195.9</v>
      </c>
      <c r="I63">
        <v>40001</v>
      </c>
      <c r="J63">
        <v>120000</v>
      </c>
    </row>
    <row r="64" spans="2:10" x14ac:dyDescent="0.25">
      <c r="B64" t="s">
        <v>850</v>
      </c>
      <c r="C64">
        <v>-0.161</v>
      </c>
      <c r="D64">
        <v>99.95</v>
      </c>
      <c r="E64">
        <v>0.29010000000000002</v>
      </c>
      <c r="F64">
        <v>-196.5</v>
      </c>
      <c r="G64">
        <v>0.20219999999999999</v>
      </c>
      <c r="H64">
        <v>195.5</v>
      </c>
      <c r="I64">
        <v>40001</v>
      </c>
      <c r="J64">
        <v>120000</v>
      </c>
    </row>
    <row r="65" spans="2:10" x14ac:dyDescent="0.25">
      <c r="B65" t="s">
        <v>851</v>
      </c>
      <c r="C65">
        <v>-5.765E-2</v>
      </c>
      <c r="D65">
        <v>99.91</v>
      </c>
      <c r="E65">
        <v>0.2928</v>
      </c>
      <c r="F65">
        <v>-196.4</v>
      </c>
      <c r="G65">
        <v>-0.36049999999999999</v>
      </c>
      <c r="H65">
        <v>197</v>
      </c>
      <c r="I65">
        <v>40001</v>
      </c>
      <c r="J65">
        <v>120000</v>
      </c>
    </row>
    <row r="66" spans="2:10" x14ac:dyDescent="0.25">
      <c r="B66" t="s">
        <v>852</v>
      </c>
      <c r="C66">
        <v>6.2829999999999997E-2</v>
      </c>
      <c r="D66">
        <v>100.1</v>
      </c>
      <c r="E66">
        <v>0.29160000000000003</v>
      </c>
      <c r="F66">
        <v>-196.9</v>
      </c>
      <c r="G66">
        <v>0.33379999999999999</v>
      </c>
      <c r="H66">
        <v>195.8</v>
      </c>
      <c r="I66">
        <v>40001</v>
      </c>
      <c r="J66">
        <v>120000</v>
      </c>
    </row>
    <row r="67" spans="2:10" x14ac:dyDescent="0.25">
      <c r="B67" t="s">
        <v>853</v>
      </c>
      <c r="C67">
        <v>-0.31390000000000001</v>
      </c>
      <c r="D67">
        <v>100.4</v>
      </c>
      <c r="E67">
        <v>0.28789999999999999</v>
      </c>
      <c r="F67">
        <v>-197.2</v>
      </c>
      <c r="G67">
        <v>-1.4749999999999999E-2</v>
      </c>
      <c r="H67">
        <v>196.5</v>
      </c>
      <c r="I67">
        <v>40001</v>
      </c>
      <c r="J67">
        <v>120000</v>
      </c>
    </row>
    <row r="68" spans="2:10" x14ac:dyDescent="0.25">
      <c r="B68" t="s">
        <v>854</v>
      </c>
      <c r="C68">
        <v>0.12590000000000001</v>
      </c>
      <c r="D68">
        <v>100.1</v>
      </c>
      <c r="E68">
        <v>0.29049999999999998</v>
      </c>
      <c r="F68">
        <v>-195.5</v>
      </c>
      <c r="G68">
        <v>-0.20269999999999999</v>
      </c>
      <c r="H68">
        <v>196.3</v>
      </c>
      <c r="I68">
        <v>40001</v>
      </c>
      <c r="J68">
        <v>120000</v>
      </c>
    </row>
    <row r="69" spans="2:10" x14ac:dyDescent="0.25">
      <c r="B69" t="s">
        <v>855</v>
      </c>
      <c r="C69">
        <v>0.31109999999999999</v>
      </c>
      <c r="D69">
        <v>99.46</v>
      </c>
      <c r="E69">
        <v>0.26979999999999998</v>
      </c>
      <c r="F69">
        <v>-194.6</v>
      </c>
      <c r="G69">
        <v>0.23760000000000001</v>
      </c>
      <c r="H69">
        <v>195.4</v>
      </c>
      <c r="I69">
        <v>40001</v>
      </c>
      <c r="J69">
        <v>120000</v>
      </c>
    </row>
    <row r="70" spans="2:10" x14ac:dyDescent="0.25">
      <c r="B70" t="s">
        <v>856</v>
      </c>
      <c r="C70">
        <v>0.12089999999999999</v>
      </c>
      <c r="D70">
        <v>100</v>
      </c>
      <c r="E70">
        <v>0.29139999999999999</v>
      </c>
      <c r="F70">
        <v>-196.8</v>
      </c>
      <c r="G70">
        <v>0.34910000000000002</v>
      </c>
      <c r="H70">
        <v>194.5</v>
      </c>
      <c r="I70">
        <v>40001</v>
      </c>
      <c r="J70">
        <v>120000</v>
      </c>
    </row>
    <row r="71" spans="2:10" x14ac:dyDescent="0.25">
      <c r="B71" t="s">
        <v>857</v>
      </c>
      <c r="C71">
        <v>-61.26</v>
      </c>
      <c r="D71">
        <v>45.63</v>
      </c>
      <c r="E71">
        <v>1.8640000000000001</v>
      </c>
      <c r="F71">
        <v>-141.6</v>
      </c>
      <c r="G71">
        <v>-49.09</v>
      </c>
      <c r="H71">
        <v>-2.4529999999999998</v>
      </c>
      <c r="I71">
        <v>40001</v>
      </c>
      <c r="J71">
        <v>120000</v>
      </c>
    </row>
    <row r="72" spans="2:10" x14ac:dyDescent="0.25">
      <c r="B72" t="s">
        <v>491</v>
      </c>
      <c r="C72">
        <v>0.60899999999999999</v>
      </c>
      <c r="D72">
        <v>0.87290000000000001</v>
      </c>
      <c r="E72">
        <v>2.9529999999999999E-3</v>
      </c>
      <c r="F72" s="13">
        <v>6.0130000000000003E-4</v>
      </c>
      <c r="G72">
        <v>0.27479999999999999</v>
      </c>
      <c r="H72">
        <v>3.0790000000000002</v>
      </c>
      <c r="I72">
        <v>40001</v>
      </c>
      <c r="J72">
        <v>120000</v>
      </c>
    </row>
    <row r="73" spans="2:10" x14ac:dyDescent="0.25">
      <c r="B73" t="s">
        <v>492</v>
      </c>
      <c r="C73">
        <v>0.85980000000000001</v>
      </c>
      <c r="D73">
        <v>1.08</v>
      </c>
      <c r="E73">
        <v>5.3730000000000002E-3</v>
      </c>
      <c r="F73">
        <v>1.065E-3</v>
      </c>
      <c r="G73">
        <v>0.45900000000000002</v>
      </c>
      <c r="H73">
        <v>3.855</v>
      </c>
      <c r="I73">
        <v>40001</v>
      </c>
      <c r="J73">
        <v>120000</v>
      </c>
    </row>
    <row r="74" spans="2:10" x14ac:dyDescent="0.25">
      <c r="B74" t="s">
        <v>493</v>
      </c>
      <c r="C74">
        <v>0.95830000000000004</v>
      </c>
      <c r="D74">
        <v>1.3560000000000001</v>
      </c>
      <c r="E74">
        <v>1.149E-2</v>
      </c>
      <c r="F74" s="13">
        <v>8.7219999999999995E-4</v>
      </c>
      <c r="G74">
        <v>0.43730000000000002</v>
      </c>
      <c r="H74">
        <v>4.7789999999999999</v>
      </c>
      <c r="I74">
        <v>40001</v>
      </c>
      <c r="J74">
        <v>120000</v>
      </c>
    </row>
    <row r="75" spans="2:10" x14ac:dyDescent="0.25">
      <c r="B75" t="s">
        <v>494</v>
      </c>
      <c r="C75">
        <v>1.1180000000000001</v>
      </c>
      <c r="D75">
        <v>1.536</v>
      </c>
      <c r="E75">
        <v>1.8790000000000001E-2</v>
      </c>
      <c r="F75">
        <v>1.1000000000000001E-3</v>
      </c>
      <c r="G75">
        <v>0.52159999999999995</v>
      </c>
      <c r="H75">
        <v>5.5129999999999999</v>
      </c>
      <c r="I75">
        <v>40001</v>
      </c>
      <c r="J75">
        <v>120000</v>
      </c>
    </row>
    <row r="76" spans="2:10" x14ac:dyDescent="0.25">
      <c r="B76" t="s">
        <v>495</v>
      </c>
      <c r="C76">
        <v>1.0429999999999999</v>
      </c>
      <c r="D76">
        <v>1.4710000000000001</v>
      </c>
      <c r="E76">
        <v>1.175E-2</v>
      </c>
      <c r="F76">
        <v>1.0009999999999999E-3</v>
      </c>
      <c r="G76">
        <v>0.4728</v>
      </c>
      <c r="H76">
        <v>5.242</v>
      </c>
      <c r="I76">
        <v>40001</v>
      </c>
      <c r="J76">
        <v>120000</v>
      </c>
    </row>
    <row r="77" spans="2:10" x14ac:dyDescent="0.25">
      <c r="B77" t="s">
        <v>496</v>
      </c>
      <c r="C77">
        <v>1.113</v>
      </c>
      <c r="D77">
        <v>1.538</v>
      </c>
      <c r="E77">
        <v>2.6329999999999999E-2</v>
      </c>
      <c r="F77" s="13">
        <v>9.990000000000001E-4</v>
      </c>
      <c r="G77">
        <v>0.50349999999999995</v>
      </c>
      <c r="H77">
        <v>5.5229999999999997</v>
      </c>
      <c r="I77">
        <v>40001</v>
      </c>
      <c r="J77">
        <v>120000</v>
      </c>
    </row>
    <row r="78" spans="2:10" x14ac:dyDescent="0.25">
      <c r="B78" t="s">
        <v>497</v>
      </c>
      <c r="C78">
        <v>0.64590000000000003</v>
      </c>
      <c r="D78">
        <v>0.93359999999999999</v>
      </c>
      <c r="E78">
        <v>5.1619999999999999E-3</v>
      </c>
      <c r="F78" s="13">
        <v>6.2699999999999995E-4</v>
      </c>
      <c r="G78">
        <v>0.29060000000000002</v>
      </c>
      <c r="H78">
        <v>3.2989999999999999</v>
      </c>
      <c r="I78">
        <v>40001</v>
      </c>
      <c r="J78">
        <v>120000</v>
      </c>
    </row>
    <row r="79" spans="2:10" x14ac:dyDescent="0.25">
      <c r="B79" t="s">
        <v>498</v>
      </c>
      <c r="C79">
        <v>0.85560000000000003</v>
      </c>
      <c r="D79">
        <v>1.1599999999999999</v>
      </c>
      <c r="E79">
        <v>7.1500000000000001E-3</v>
      </c>
      <c r="F79" s="13">
        <v>8.809E-4</v>
      </c>
      <c r="G79">
        <v>0.40479999999999999</v>
      </c>
      <c r="H79">
        <v>4.149</v>
      </c>
      <c r="I79">
        <v>40001</v>
      </c>
      <c r="J79">
        <v>120000</v>
      </c>
    </row>
    <row r="80" spans="2:10" x14ac:dyDescent="0.25">
      <c r="B80" t="s">
        <v>499</v>
      </c>
      <c r="C80">
        <v>0.85529999999999995</v>
      </c>
      <c r="D80">
        <v>1.161</v>
      </c>
      <c r="E80">
        <v>7.2579999999999997E-3</v>
      </c>
      <c r="F80" s="13">
        <v>8.9110000000000003E-4</v>
      </c>
      <c r="G80">
        <v>0.40620000000000001</v>
      </c>
      <c r="H80">
        <v>4.1609999999999996</v>
      </c>
      <c r="I80">
        <v>40001</v>
      </c>
      <c r="J80">
        <v>120000</v>
      </c>
    </row>
    <row r="81" spans="2:10" x14ac:dyDescent="0.25">
      <c r="B81" t="s">
        <v>500</v>
      </c>
      <c r="C81">
        <v>0.6532</v>
      </c>
      <c r="D81">
        <v>0.94469999999999998</v>
      </c>
      <c r="E81">
        <v>5.2259999999999997E-3</v>
      </c>
      <c r="F81" s="13">
        <v>6.6890000000000005E-4</v>
      </c>
      <c r="G81">
        <v>0.29520000000000002</v>
      </c>
      <c r="H81">
        <v>3.3260000000000001</v>
      </c>
      <c r="I81">
        <v>40001</v>
      </c>
      <c r="J81">
        <v>120000</v>
      </c>
    </row>
    <row r="82" spans="2:10" x14ac:dyDescent="0.25">
      <c r="B82" t="s">
        <v>501</v>
      </c>
      <c r="C82">
        <v>0.84970000000000001</v>
      </c>
      <c r="D82">
        <v>1.1579999999999999</v>
      </c>
      <c r="E82">
        <v>6.79E-3</v>
      </c>
      <c r="F82" s="13">
        <v>8.8670000000000003E-4</v>
      </c>
      <c r="G82">
        <v>0.40260000000000001</v>
      </c>
      <c r="H82">
        <v>4.125</v>
      </c>
      <c r="I82">
        <v>40001</v>
      </c>
      <c r="J82">
        <v>120000</v>
      </c>
    </row>
    <row r="83" spans="2:10" x14ac:dyDescent="0.25">
      <c r="B83" t="s">
        <v>502</v>
      </c>
      <c r="C83">
        <v>0.65090000000000003</v>
      </c>
      <c r="D83">
        <v>0.93220000000000003</v>
      </c>
      <c r="E83">
        <v>4.9789999999999999E-3</v>
      </c>
      <c r="F83" s="13">
        <v>6.1149999999999996E-4</v>
      </c>
      <c r="G83">
        <v>0.29449999999999998</v>
      </c>
      <c r="H83">
        <v>3.2909999999999999</v>
      </c>
      <c r="I83">
        <v>40001</v>
      </c>
      <c r="J83">
        <v>120000</v>
      </c>
    </row>
    <row r="84" spans="2:10" x14ac:dyDescent="0.25">
      <c r="B84" t="s">
        <v>503</v>
      </c>
      <c r="C84">
        <v>0.87519999999999998</v>
      </c>
      <c r="D84">
        <v>1.089</v>
      </c>
      <c r="E84">
        <v>1.189E-2</v>
      </c>
      <c r="F84">
        <v>1.0300000000000001E-3</v>
      </c>
      <c r="G84">
        <v>0.46700000000000003</v>
      </c>
      <c r="H84">
        <v>3.8809999999999998</v>
      </c>
      <c r="I84">
        <v>40001</v>
      </c>
      <c r="J84">
        <v>120000</v>
      </c>
    </row>
    <row r="85" spans="2:10" x14ac:dyDescent="0.25">
      <c r="B85" t="s">
        <v>504</v>
      </c>
      <c r="C85">
        <v>0.68859999999999999</v>
      </c>
      <c r="D85">
        <v>0.98729999999999996</v>
      </c>
      <c r="E85">
        <v>4.2230000000000002E-3</v>
      </c>
      <c r="F85" s="13">
        <v>6.6940000000000001E-4</v>
      </c>
      <c r="G85">
        <v>0.30840000000000001</v>
      </c>
      <c r="H85">
        <v>3.504</v>
      </c>
      <c r="I85">
        <v>40001</v>
      </c>
      <c r="J85">
        <v>120000</v>
      </c>
    </row>
    <row r="86" spans="2:10" x14ac:dyDescent="0.25">
      <c r="B86" t="s">
        <v>505</v>
      </c>
      <c r="C86">
        <v>0.79490000000000005</v>
      </c>
      <c r="D86">
        <v>1.1459999999999999</v>
      </c>
      <c r="E86">
        <v>7.8759999999999993E-3</v>
      </c>
      <c r="F86" s="13">
        <v>7.4739999999999995E-4</v>
      </c>
      <c r="G86">
        <v>0.35659999999999997</v>
      </c>
      <c r="H86">
        <v>4.0590000000000002</v>
      </c>
      <c r="I86">
        <v>40001</v>
      </c>
      <c r="J86">
        <v>120000</v>
      </c>
    </row>
    <row r="87" spans="2:10" x14ac:dyDescent="0.25">
      <c r="B87" t="s">
        <v>506</v>
      </c>
      <c r="C87">
        <v>1.0229999999999999</v>
      </c>
      <c r="D87">
        <v>1.371</v>
      </c>
      <c r="E87">
        <v>1.341E-2</v>
      </c>
      <c r="F87">
        <v>1.1559999999999999E-3</v>
      </c>
      <c r="G87">
        <v>0.49030000000000001</v>
      </c>
      <c r="H87">
        <v>4.8650000000000002</v>
      </c>
      <c r="I87">
        <v>40001</v>
      </c>
      <c r="J87">
        <v>120000</v>
      </c>
    </row>
    <row r="88" spans="2:10" x14ac:dyDescent="0.25">
      <c r="B88" t="s">
        <v>507</v>
      </c>
      <c r="C88">
        <v>0.82</v>
      </c>
      <c r="D88">
        <v>1.1579999999999999</v>
      </c>
      <c r="E88">
        <v>9.6930000000000002E-3</v>
      </c>
      <c r="F88" s="13">
        <v>8.0579999999999996E-4</v>
      </c>
      <c r="G88">
        <v>0.37380000000000002</v>
      </c>
      <c r="H88">
        <v>4.1020000000000003</v>
      </c>
      <c r="I88">
        <v>40001</v>
      </c>
      <c r="J88">
        <v>120000</v>
      </c>
    </row>
    <row r="89" spans="2:10" x14ac:dyDescent="0.25">
      <c r="B89" t="s">
        <v>508</v>
      </c>
      <c r="C89">
        <v>0.84409999999999996</v>
      </c>
      <c r="D89">
        <v>1.19</v>
      </c>
      <c r="E89">
        <v>8.7170000000000008E-3</v>
      </c>
      <c r="F89" s="13">
        <v>8.566E-4</v>
      </c>
      <c r="G89">
        <v>0.38450000000000001</v>
      </c>
      <c r="H89">
        <v>4.22</v>
      </c>
      <c r="I89">
        <v>40001</v>
      </c>
      <c r="J89">
        <v>120000</v>
      </c>
    </row>
    <row r="90" spans="2:10" x14ac:dyDescent="0.25">
      <c r="B90" t="s">
        <v>509</v>
      </c>
      <c r="C90">
        <v>1.167</v>
      </c>
      <c r="D90">
        <v>1.617</v>
      </c>
      <c r="E90">
        <v>6.1370000000000001E-3</v>
      </c>
      <c r="F90">
        <v>1.1199999999999999E-3</v>
      </c>
      <c r="G90">
        <v>0.53710000000000002</v>
      </c>
      <c r="H90">
        <v>5.76</v>
      </c>
      <c r="I90">
        <v>40001</v>
      </c>
      <c r="J90">
        <v>120000</v>
      </c>
    </row>
    <row r="91" spans="2:10" x14ac:dyDescent="0.25">
      <c r="B91" t="s">
        <v>510</v>
      </c>
      <c r="C91">
        <v>2.4379999999999999E-2</v>
      </c>
      <c r="D91">
        <v>0.22950000000000001</v>
      </c>
      <c r="E91">
        <v>4.9020000000000001E-3</v>
      </c>
      <c r="F91">
        <v>0</v>
      </c>
      <c r="G91">
        <v>0</v>
      </c>
      <c r="H91">
        <v>0.12989999999999999</v>
      </c>
      <c r="I91">
        <v>40001</v>
      </c>
      <c r="J91">
        <v>120000</v>
      </c>
    </row>
    <row r="92" spans="2:10" x14ac:dyDescent="0.25">
      <c r="B92" t="s">
        <v>511</v>
      </c>
      <c r="C92">
        <v>2.3290000000000002</v>
      </c>
      <c r="D92">
        <v>1.821</v>
      </c>
      <c r="E92">
        <v>1.555E-2</v>
      </c>
      <c r="F92">
        <v>0.2321</v>
      </c>
      <c r="G92">
        <v>1.8660000000000001</v>
      </c>
      <c r="H92">
        <v>7.04</v>
      </c>
      <c r="I92">
        <v>40001</v>
      </c>
      <c r="J92">
        <v>120000</v>
      </c>
    </row>
    <row r="93" spans="2:10" x14ac:dyDescent="0.25">
      <c r="B93" t="s">
        <v>512</v>
      </c>
      <c r="C93">
        <v>2.4159999999999999</v>
      </c>
      <c r="D93">
        <v>2.4420000000000002</v>
      </c>
      <c r="E93">
        <v>2.1870000000000001E-2</v>
      </c>
      <c r="F93">
        <v>6.8050000000000003E-3</v>
      </c>
      <c r="G93">
        <v>1.7050000000000001</v>
      </c>
      <c r="H93">
        <v>8.7729999999999997</v>
      </c>
      <c r="I93">
        <v>40001</v>
      </c>
      <c r="J93">
        <v>120000</v>
      </c>
    </row>
    <row r="94" spans="2:10" x14ac:dyDescent="0.25">
      <c r="B94" t="s">
        <v>513</v>
      </c>
      <c r="C94">
        <v>1.002</v>
      </c>
      <c r="D94">
        <v>1.417</v>
      </c>
      <c r="E94">
        <v>9.972E-3</v>
      </c>
      <c r="F94">
        <v>1.0250000000000001E-3</v>
      </c>
      <c r="G94">
        <v>0.45639999999999997</v>
      </c>
      <c r="H94">
        <v>5.0140000000000002</v>
      </c>
      <c r="I94">
        <v>40001</v>
      </c>
      <c r="J94">
        <v>120000</v>
      </c>
    </row>
    <row r="95" spans="2:10" x14ac:dyDescent="0.25">
      <c r="B95" t="s">
        <v>514</v>
      </c>
      <c r="C95">
        <v>1.0169999999999999</v>
      </c>
      <c r="D95">
        <v>1.4370000000000001</v>
      </c>
      <c r="E95">
        <v>1.188E-2</v>
      </c>
      <c r="F95" s="13">
        <v>9.9200000000000004E-4</v>
      </c>
      <c r="G95">
        <v>0.46239999999999998</v>
      </c>
      <c r="H95">
        <v>5.0869999999999997</v>
      </c>
      <c r="I95">
        <v>40001</v>
      </c>
      <c r="J95">
        <v>120000</v>
      </c>
    </row>
    <row r="96" spans="2:10" x14ac:dyDescent="0.25">
      <c r="B96" t="s">
        <v>515</v>
      </c>
      <c r="C96">
        <v>1.1020000000000001</v>
      </c>
      <c r="D96">
        <v>1.5669999999999999</v>
      </c>
      <c r="E96">
        <v>2.4049999999999998E-2</v>
      </c>
      <c r="F96">
        <v>1.0690000000000001E-3</v>
      </c>
      <c r="G96">
        <v>0.50009999999999999</v>
      </c>
      <c r="H96">
        <v>5.61</v>
      </c>
      <c r="I96">
        <v>40001</v>
      </c>
      <c r="J96">
        <v>120000</v>
      </c>
    </row>
    <row r="97" spans="2:10" x14ac:dyDescent="0.25">
      <c r="B97" t="s">
        <v>516</v>
      </c>
      <c r="C97">
        <v>1.048</v>
      </c>
      <c r="D97">
        <v>1.4790000000000001</v>
      </c>
      <c r="E97">
        <v>1.223E-2</v>
      </c>
      <c r="F97">
        <v>1.077E-3</v>
      </c>
      <c r="G97">
        <v>0.4783</v>
      </c>
      <c r="H97">
        <v>5.2089999999999996</v>
      </c>
      <c r="I97">
        <v>40001</v>
      </c>
      <c r="J97">
        <v>120000</v>
      </c>
    </row>
    <row r="98" spans="2:10" x14ac:dyDescent="0.25">
      <c r="B98" t="s">
        <v>517</v>
      </c>
      <c r="C98">
        <v>1.1479999999999999</v>
      </c>
      <c r="D98">
        <v>1.0760000000000001</v>
      </c>
      <c r="E98">
        <v>1.7469999999999999E-2</v>
      </c>
      <c r="F98">
        <v>8.4339999999999998E-2</v>
      </c>
      <c r="G98">
        <v>0.83179999999999998</v>
      </c>
      <c r="H98">
        <v>4.0380000000000003</v>
      </c>
      <c r="I98">
        <v>40001</v>
      </c>
      <c r="J98">
        <v>120000</v>
      </c>
    </row>
    <row r="99" spans="2:10" x14ac:dyDescent="0.25">
      <c r="B99" t="s">
        <v>518</v>
      </c>
      <c r="C99">
        <v>1.2230000000000001</v>
      </c>
      <c r="D99">
        <v>1.6779999999999999</v>
      </c>
      <c r="E99">
        <v>8.0440000000000008E-3</v>
      </c>
      <c r="F99">
        <v>1.266E-3</v>
      </c>
      <c r="G99">
        <v>0.57450000000000001</v>
      </c>
      <c r="H99">
        <v>5.984</v>
      </c>
      <c r="I99">
        <v>40001</v>
      </c>
      <c r="J99">
        <v>120000</v>
      </c>
    </row>
    <row r="100" spans="2:10" x14ac:dyDescent="0.25">
      <c r="B100" t="s">
        <v>519</v>
      </c>
      <c r="C100">
        <v>1.206</v>
      </c>
      <c r="D100">
        <v>1.5269999999999999</v>
      </c>
      <c r="E100">
        <v>1.3339999999999999E-2</v>
      </c>
      <c r="F100">
        <v>1.4400000000000001E-3</v>
      </c>
      <c r="G100">
        <v>0.6331</v>
      </c>
      <c r="H100">
        <v>5.4610000000000003</v>
      </c>
      <c r="I100">
        <v>40001</v>
      </c>
      <c r="J100">
        <v>120000</v>
      </c>
    </row>
    <row r="101" spans="2:10" x14ac:dyDescent="0.25">
      <c r="B101" t="s">
        <v>520</v>
      </c>
      <c r="C101">
        <v>1.0289999999999999</v>
      </c>
      <c r="D101">
        <v>1.3939999999999999</v>
      </c>
      <c r="E101">
        <v>8.9359999999999995E-3</v>
      </c>
      <c r="F101">
        <v>1.109E-3</v>
      </c>
      <c r="G101">
        <v>0.49049999999999999</v>
      </c>
      <c r="H101">
        <v>5.0069999999999997</v>
      </c>
      <c r="I101">
        <v>40001</v>
      </c>
      <c r="J101">
        <v>120000</v>
      </c>
    </row>
    <row r="102" spans="2:10" x14ac:dyDescent="0.25">
      <c r="B102" t="s">
        <v>521</v>
      </c>
      <c r="C102">
        <v>0.7147</v>
      </c>
      <c r="D102">
        <v>1.008</v>
      </c>
      <c r="E102">
        <v>6.3460000000000001E-3</v>
      </c>
      <c r="F102" s="13">
        <v>6.7869999999999996E-4</v>
      </c>
      <c r="G102">
        <v>0.32590000000000002</v>
      </c>
      <c r="H102">
        <v>3.569</v>
      </c>
      <c r="I102">
        <v>40001</v>
      </c>
      <c r="J102">
        <v>120000</v>
      </c>
    </row>
    <row r="103" spans="2:10" x14ac:dyDescent="0.25">
      <c r="B103" t="s">
        <v>522</v>
      </c>
      <c r="C103">
        <v>0.77590000000000003</v>
      </c>
      <c r="D103">
        <v>1.036</v>
      </c>
      <c r="E103">
        <v>7.7939999999999997E-3</v>
      </c>
      <c r="F103" s="13">
        <v>8.5119999999999998E-4</v>
      </c>
      <c r="G103">
        <v>0.37659999999999999</v>
      </c>
      <c r="H103">
        <v>3.69</v>
      </c>
      <c r="I103">
        <v>40001</v>
      </c>
      <c r="J103">
        <v>120000</v>
      </c>
    </row>
    <row r="104" spans="2:10" x14ac:dyDescent="0.25">
      <c r="B104" t="s">
        <v>523</v>
      </c>
      <c r="C104">
        <v>0.61060000000000003</v>
      </c>
      <c r="D104">
        <v>0.86780000000000002</v>
      </c>
      <c r="E104">
        <v>2.9369999999999999E-3</v>
      </c>
      <c r="F104" s="13">
        <v>6.2069999999999996E-4</v>
      </c>
      <c r="G104">
        <v>0.2767</v>
      </c>
      <c r="H104">
        <v>3.0790000000000002</v>
      </c>
      <c r="I104">
        <v>40001</v>
      </c>
      <c r="J104">
        <v>120000</v>
      </c>
    </row>
    <row r="105" spans="2:10" x14ac:dyDescent="0.25">
      <c r="B105" t="s">
        <v>524</v>
      </c>
      <c r="C105">
        <v>0.63380000000000003</v>
      </c>
      <c r="D105">
        <v>0.87570000000000003</v>
      </c>
      <c r="E105">
        <v>3.2450000000000001E-3</v>
      </c>
      <c r="F105" s="13">
        <v>6.6189999999999999E-4</v>
      </c>
      <c r="G105">
        <v>0.29409999999999997</v>
      </c>
      <c r="H105">
        <v>3.109</v>
      </c>
      <c r="I105">
        <v>40001</v>
      </c>
      <c r="J105">
        <v>120000</v>
      </c>
    </row>
    <row r="106" spans="2:10" x14ac:dyDescent="0.25">
      <c r="B106" t="s">
        <v>525</v>
      </c>
      <c r="C106">
        <v>1.0549999999999999</v>
      </c>
      <c r="D106">
        <v>1.54</v>
      </c>
      <c r="E106">
        <v>1.932E-2</v>
      </c>
      <c r="F106" s="13">
        <v>9.9850000000000004E-4</v>
      </c>
      <c r="G106">
        <v>0.46910000000000002</v>
      </c>
      <c r="H106">
        <v>5.4169999999999998</v>
      </c>
      <c r="I106">
        <v>40001</v>
      </c>
      <c r="J106">
        <v>120000</v>
      </c>
    </row>
    <row r="107" spans="2:10" x14ac:dyDescent="0.25">
      <c r="B107" t="s">
        <v>526</v>
      </c>
      <c r="C107">
        <v>1.0820000000000001</v>
      </c>
      <c r="D107">
        <v>1.538</v>
      </c>
      <c r="E107">
        <v>2.1350000000000001E-2</v>
      </c>
      <c r="F107">
        <v>1.0759999999999999E-3</v>
      </c>
      <c r="G107">
        <v>0.49109999999999998</v>
      </c>
      <c r="H107">
        <v>5.4790000000000001</v>
      </c>
      <c r="I107">
        <v>40001</v>
      </c>
      <c r="J107">
        <v>120000</v>
      </c>
    </row>
    <row r="108" spans="2:10" x14ac:dyDescent="0.25">
      <c r="B108" t="s">
        <v>527</v>
      </c>
      <c r="C108">
        <v>1.25</v>
      </c>
      <c r="D108">
        <v>1.3819999999999999</v>
      </c>
      <c r="E108">
        <v>1.21E-2</v>
      </c>
      <c r="F108">
        <v>2.7599999999999999E-3</v>
      </c>
      <c r="G108">
        <v>0.79959999999999998</v>
      </c>
      <c r="H108">
        <v>4.944</v>
      </c>
      <c r="I108">
        <v>40001</v>
      </c>
      <c r="J108">
        <v>120000</v>
      </c>
    </row>
    <row r="109" spans="2:10" x14ac:dyDescent="0.25">
      <c r="B109" t="s">
        <v>528</v>
      </c>
      <c r="C109">
        <v>1.4179999999999999</v>
      </c>
      <c r="D109">
        <v>1.7629999999999999</v>
      </c>
      <c r="E109">
        <v>8.9899999999999997E-3</v>
      </c>
      <c r="F109">
        <v>1.797E-3</v>
      </c>
      <c r="G109">
        <v>0.76039999999999996</v>
      </c>
      <c r="H109">
        <v>6.3120000000000003</v>
      </c>
      <c r="I109">
        <v>40001</v>
      </c>
      <c r="J109">
        <v>120000</v>
      </c>
    </row>
    <row r="110" spans="2:10" x14ac:dyDescent="0.25">
      <c r="B110" t="s">
        <v>529</v>
      </c>
      <c r="C110">
        <v>1.161</v>
      </c>
      <c r="D110">
        <v>1.609</v>
      </c>
      <c r="E110">
        <v>4.9420000000000002E-3</v>
      </c>
      <c r="F110">
        <v>1.1640000000000001E-3</v>
      </c>
      <c r="G110">
        <v>0.54310000000000003</v>
      </c>
      <c r="H110">
        <v>5.7359999999999998</v>
      </c>
      <c r="I110">
        <v>40001</v>
      </c>
      <c r="J110">
        <v>120000</v>
      </c>
    </row>
    <row r="111" spans="2:10" x14ac:dyDescent="0.25">
      <c r="B111" t="s">
        <v>530</v>
      </c>
      <c r="C111">
        <v>1.9210000000000001E-2</v>
      </c>
      <c r="D111">
        <v>0.183</v>
      </c>
      <c r="E111">
        <v>3.5899999999999999E-3</v>
      </c>
      <c r="F111">
        <v>0</v>
      </c>
      <c r="G111">
        <v>0</v>
      </c>
      <c r="H111">
        <v>0.1067</v>
      </c>
      <c r="I111">
        <v>40001</v>
      </c>
      <c r="J111">
        <v>120000</v>
      </c>
    </row>
    <row r="112" spans="2:10" x14ac:dyDescent="0.25">
      <c r="B112" t="s">
        <v>531</v>
      </c>
      <c r="C112">
        <v>0.64810000000000001</v>
      </c>
      <c r="D112">
        <v>0.9456</v>
      </c>
      <c r="E112">
        <v>5.3379999999999999E-3</v>
      </c>
      <c r="F112" s="13">
        <v>6.0349999999999998E-4</v>
      </c>
      <c r="G112">
        <v>0.28920000000000001</v>
      </c>
      <c r="H112">
        <v>3.302</v>
      </c>
      <c r="I112">
        <v>40001</v>
      </c>
      <c r="J112">
        <v>120000</v>
      </c>
    </row>
    <row r="113" spans="2:10" x14ac:dyDescent="0.25">
      <c r="B113" t="s">
        <v>532</v>
      </c>
      <c r="C113">
        <v>0.84819999999999995</v>
      </c>
      <c r="D113">
        <v>1.1559999999999999</v>
      </c>
      <c r="E113">
        <v>7.0569999999999999E-3</v>
      </c>
      <c r="F113" s="13">
        <v>8.832E-4</v>
      </c>
      <c r="G113">
        <v>0.4012</v>
      </c>
      <c r="H113">
        <v>4.1580000000000004</v>
      </c>
      <c r="I113">
        <v>40001</v>
      </c>
      <c r="J113">
        <v>120000</v>
      </c>
    </row>
    <row r="114" spans="2:10" x14ac:dyDescent="0.25">
      <c r="B114" t="s">
        <v>533</v>
      </c>
      <c r="C114">
        <v>1.9570000000000001</v>
      </c>
      <c r="D114">
        <v>2.2730000000000001</v>
      </c>
      <c r="E114">
        <v>2.1409999999999998E-2</v>
      </c>
      <c r="F114">
        <v>3.0079999999999998E-3</v>
      </c>
      <c r="G114">
        <v>1.1619999999999999</v>
      </c>
      <c r="H114">
        <v>8.1609999999999996</v>
      </c>
      <c r="I114">
        <v>40001</v>
      </c>
      <c r="J114">
        <v>120000</v>
      </c>
    </row>
    <row r="115" spans="2:10" x14ac:dyDescent="0.25">
      <c r="B115" t="s">
        <v>534</v>
      </c>
      <c r="C115">
        <v>2.4569999999999999</v>
      </c>
      <c r="D115">
        <v>1.762</v>
      </c>
      <c r="E115">
        <v>1.975E-2</v>
      </c>
      <c r="F115">
        <v>0.35859999999999997</v>
      </c>
      <c r="G115">
        <v>2.032</v>
      </c>
      <c r="H115">
        <v>6.9720000000000004</v>
      </c>
      <c r="I115">
        <v>40001</v>
      </c>
      <c r="J115">
        <v>120000</v>
      </c>
    </row>
    <row r="116" spans="2:10" x14ac:dyDescent="0.25">
      <c r="B116" t="s">
        <v>535</v>
      </c>
      <c r="C116">
        <v>0.59519999999999995</v>
      </c>
      <c r="D116">
        <v>0.84150000000000003</v>
      </c>
      <c r="E116">
        <v>2.5669999999999998E-3</v>
      </c>
      <c r="F116" s="13">
        <v>5.7090000000000005E-4</v>
      </c>
      <c r="G116">
        <v>0.26979999999999998</v>
      </c>
      <c r="H116">
        <v>2.9889999999999999</v>
      </c>
      <c r="I116">
        <v>40001</v>
      </c>
      <c r="J116">
        <v>120000</v>
      </c>
    </row>
    <row r="117" spans="2:10" x14ac:dyDescent="0.25">
      <c r="B117" t="s">
        <v>536</v>
      </c>
      <c r="C117">
        <v>0.61899999999999999</v>
      </c>
      <c r="D117">
        <v>0.84440000000000004</v>
      </c>
      <c r="E117">
        <v>2.872E-3</v>
      </c>
      <c r="F117" s="13">
        <v>6.399E-4</v>
      </c>
      <c r="G117">
        <v>0.29360000000000003</v>
      </c>
      <c r="H117">
        <v>3.0150000000000001</v>
      </c>
      <c r="I117">
        <v>40001</v>
      </c>
      <c r="J117">
        <v>120000</v>
      </c>
    </row>
    <row r="118" spans="2:10" x14ac:dyDescent="0.25">
      <c r="B118" t="s">
        <v>537</v>
      </c>
      <c r="C118">
        <v>2.036</v>
      </c>
      <c r="D118">
        <v>2.1179999999999999</v>
      </c>
      <c r="E118">
        <v>1.311E-2</v>
      </c>
      <c r="F118">
        <v>4.7540000000000004E-3</v>
      </c>
      <c r="G118">
        <v>1.39</v>
      </c>
      <c r="H118">
        <v>7.5919999999999996</v>
      </c>
      <c r="I118">
        <v>40001</v>
      </c>
      <c r="J118">
        <v>120000</v>
      </c>
    </row>
    <row r="119" spans="2:10" x14ac:dyDescent="0.25">
      <c r="B119" t="s">
        <v>538</v>
      </c>
      <c r="C119">
        <v>1.6850000000000001</v>
      </c>
      <c r="D119">
        <v>1.74</v>
      </c>
      <c r="E119">
        <v>1.01E-2</v>
      </c>
      <c r="F119">
        <v>5.0489999999999997E-3</v>
      </c>
      <c r="G119">
        <v>1.161</v>
      </c>
      <c r="H119">
        <v>6.3090000000000002</v>
      </c>
      <c r="I119">
        <v>40001</v>
      </c>
      <c r="J119">
        <v>120000</v>
      </c>
    </row>
    <row r="120" spans="2:10" x14ac:dyDescent="0.25">
      <c r="B120" t="s">
        <v>539</v>
      </c>
      <c r="C120">
        <v>1.504</v>
      </c>
      <c r="D120">
        <v>1.879</v>
      </c>
      <c r="E120">
        <v>6.4640000000000001E-3</v>
      </c>
      <c r="F120">
        <v>1.9350000000000001E-3</v>
      </c>
      <c r="G120">
        <v>0.80810000000000004</v>
      </c>
      <c r="H120">
        <v>6.7160000000000002</v>
      </c>
      <c r="I120">
        <v>40001</v>
      </c>
      <c r="J120">
        <v>120000</v>
      </c>
    </row>
    <row r="121" spans="2:10" x14ac:dyDescent="0.25">
      <c r="B121" t="s">
        <v>540</v>
      </c>
      <c r="C121">
        <v>0.94469999999999998</v>
      </c>
      <c r="D121">
        <v>0.99470000000000003</v>
      </c>
      <c r="E121">
        <v>4.2430000000000002E-3</v>
      </c>
      <c r="F121">
        <v>2.206E-2</v>
      </c>
      <c r="G121">
        <v>0.62960000000000005</v>
      </c>
      <c r="H121">
        <v>3.66</v>
      </c>
      <c r="I121">
        <v>40001</v>
      </c>
      <c r="J121">
        <v>120000</v>
      </c>
    </row>
    <row r="122" spans="2:10" x14ac:dyDescent="0.25">
      <c r="B122" t="s">
        <v>541</v>
      </c>
      <c r="C122">
        <v>0.57909999999999995</v>
      </c>
      <c r="D122">
        <v>0.80030000000000001</v>
      </c>
      <c r="E122">
        <v>2.3630000000000001E-3</v>
      </c>
      <c r="F122" s="13">
        <v>5.9869999999999997E-4</v>
      </c>
      <c r="G122">
        <v>0.27010000000000001</v>
      </c>
      <c r="H122">
        <v>2.8370000000000002</v>
      </c>
      <c r="I122">
        <v>40001</v>
      </c>
      <c r="J122">
        <v>120000</v>
      </c>
    </row>
    <row r="123" spans="2:10" x14ac:dyDescent="0.25">
      <c r="B123" t="s">
        <v>542</v>
      </c>
      <c r="C123">
        <v>0.65549999999999997</v>
      </c>
      <c r="D123">
        <v>0.8891</v>
      </c>
      <c r="E123">
        <v>2.6450000000000002E-3</v>
      </c>
      <c r="F123" s="13">
        <v>7.2409999999999998E-4</v>
      </c>
      <c r="G123">
        <v>0.31359999999999999</v>
      </c>
      <c r="H123">
        <v>3.17</v>
      </c>
      <c r="I123">
        <v>40001</v>
      </c>
      <c r="J123">
        <v>120000</v>
      </c>
    </row>
    <row r="124" spans="2:10" x14ac:dyDescent="0.25">
      <c r="B124" t="s">
        <v>543</v>
      </c>
      <c r="C124">
        <v>1.153</v>
      </c>
      <c r="D124">
        <v>1.177</v>
      </c>
      <c r="E124">
        <v>1.406E-2</v>
      </c>
      <c r="F124">
        <v>2.7550000000000001E-3</v>
      </c>
      <c r="G124">
        <v>0.80149999999999999</v>
      </c>
      <c r="H124">
        <v>4.2060000000000004</v>
      </c>
      <c r="I124">
        <v>40001</v>
      </c>
      <c r="J124">
        <v>120000</v>
      </c>
    </row>
    <row r="125" spans="2:10" x14ac:dyDescent="0.25">
      <c r="B125" t="s">
        <v>544</v>
      </c>
      <c r="C125">
        <v>0.75729999999999997</v>
      </c>
      <c r="D125">
        <v>1.093</v>
      </c>
      <c r="E125">
        <v>4.0600000000000002E-3</v>
      </c>
      <c r="F125" s="13">
        <v>7.3059999999999998E-4</v>
      </c>
      <c r="G125">
        <v>0.33989999999999998</v>
      </c>
      <c r="H125">
        <v>3.84</v>
      </c>
      <c r="I125">
        <v>40001</v>
      </c>
      <c r="J125">
        <v>120000</v>
      </c>
    </row>
    <row r="126" spans="2:10" x14ac:dyDescent="0.25">
      <c r="B126" t="s">
        <v>545</v>
      </c>
      <c r="C126">
        <v>1.026</v>
      </c>
      <c r="D126">
        <v>1.4650000000000001</v>
      </c>
      <c r="E126">
        <v>1.5800000000000002E-2</v>
      </c>
      <c r="F126" s="13">
        <v>9.9780000000000008E-4</v>
      </c>
      <c r="G126">
        <v>0.45850000000000002</v>
      </c>
      <c r="H126">
        <v>5.2060000000000004</v>
      </c>
      <c r="I126">
        <v>40001</v>
      </c>
      <c r="J126">
        <v>120000</v>
      </c>
    </row>
    <row r="127" spans="2:10" x14ac:dyDescent="0.25">
      <c r="B127" t="s">
        <v>546</v>
      </c>
      <c r="C127">
        <v>1.018</v>
      </c>
      <c r="D127">
        <v>1.4239999999999999</v>
      </c>
      <c r="E127">
        <v>1.244E-2</v>
      </c>
      <c r="F127">
        <v>1.039E-3</v>
      </c>
      <c r="G127">
        <v>0.47060000000000002</v>
      </c>
      <c r="H127">
        <v>5.0570000000000004</v>
      </c>
      <c r="I127">
        <v>40001</v>
      </c>
      <c r="J127">
        <v>120000</v>
      </c>
    </row>
    <row r="128" spans="2:10" x14ac:dyDescent="0.25">
      <c r="B128" t="s">
        <v>547</v>
      </c>
      <c r="C128">
        <v>0.59799999999999998</v>
      </c>
      <c r="D128">
        <v>0.86209999999999998</v>
      </c>
      <c r="E128">
        <v>4.3670000000000002E-3</v>
      </c>
      <c r="F128" s="13">
        <v>5.8330000000000003E-4</v>
      </c>
      <c r="G128">
        <v>0.26910000000000001</v>
      </c>
      <c r="H128">
        <v>3.0270000000000001</v>
      </c>
      <c r="I128">
        <v>40001</v>
      </c>
      <c r="J128">
        <v>120000</v>
      </c>
    </row>
    <row r="129" spans="2:10" x14ac:dyDescent="0.25">
      <c r="B129" t="s">
        <v>548</v>
      </c>
      <c r="C129">
        <v>0.80049999999999999</v>
      </c>
      <c r="D129">
        <v>1.105</v>
      </c>
      <c r="E129">
        <v>4.7349999999999996E-3</v>
      </c>
      <c r="F129" s="13">
        <v>8.7730000000000002E-4</v>
      </c>
      <c r="G129">
        <v>0.37419999999999998</v>
      </c>
      <c r="H129">
        <v>3.964</v>
      </c>
      <c r="I129">
        <v>40001</v>
      </c>
      <c r="J129">
        <v>120000</v>
      </c>
    </row>
    <row r="130" spans="2:10" x14ac:dyDescent="0.25">
      <c r="B130" t="s">
        <v>549</v>
      </c>
      <c r="C130">
        <v>0.69510000000000005</v>
      </c>
      <c r="D130">
        <v>0.83550000000000002</v>
      </c>
      <c r="E130">
        <v>7.3109999999999998E-3</v>
      </c>
      <c r="F130">
        <v>1.3050000000000001E-2</v>
      </c>
      <c r="G130">
        <v>0.41360000000000002</v>
      </c>
      <c r="H130">
        <v>2.9809999999999999</v>
      </c>
      <c r="I130">
        <v>40001</v>
      </c>
      <c r="J130">
        <v>120000</v>
      </c>
    </row>
    <row r="131" spans="2:10" x14ac:dyDescent="0.25">
      <c r="B131" t="s">
        <v>550</v>
      </c>
      <c r="C131">
        <v>1.38</v>
      </c>
      <c r="D131">
        <v>1.7969999999999999</v>
      </c>
      <c r="E131">
        <v>7.1130000000000004E-3</v>
      </c>
      <c r="F131">
        <v>1.6459999999999999E-3</v>
      </c>
      <c r="G131">
        <v>0.70330000000000004</v>
      </c>
      <c r="H131">
        <v>6.4009999999999998</v>
      </c>
      <c r="I131">
        <v>40001</v>
      </c>
      <c r="J131">
        <v>120000</v>
      </c>
    </row>
    <row r="132" spans="2:10" x14ac:dyDescent="0.25">
      <c r="B132" t="s">
        <v>551</v>
      </c>
      <c r="C132">
        <v>1.087</v>
      </c>
      <c r="D132">
        <v>1.456</v>
      </c>
      <c r="E132">
        <v>1.0619999999999999E-2</v>
      </c>
      <c r="F132">
        <v>1.1119999999999999E-3</v>
      </c>
      <c r="G132">
        <v>0.52969999999999995</v>
      </c>
      <c r="H132">
        <v>5.2220000000000004</v>
      </c>
      <c r="I132">
        <v>40001</v>
      </c>
      <c r="J132">
        <v>120000</v>
      </c>
    </row>
    <row r="133" spans="2:10" x14ac:dyDescent="0.25">
      <c r="B133" t="s">
        <v>552</v>
      </c>
      <c r="C133">
        <v>0.77439999999999998</v>
      </c>
      <c r="D133">
        <v>1.1160000000000001</v>
      </c>
      <c r="E133">
        <v>9.4549999999999999E-3</v>
      </c>
      <c r="F133" s="13">
        <v>7.2460000000000005E-4</v>
      </c>
      <c r="G133">
        <v>0.34570000000000001</v>
      </c>
      <c r="H133">
        <v>3.9740000000000002</v>
      </c>
      <c r="I133">
        <v>40001</v>
      </c>
      <c r="J133">
        <v>120000</v>
      </c>
    </row>
    <row r="134" spans="2:10" x14ac:dyDescent="0.25">
      <c r="B134" t="s">
        <v>553</v>
      </c>
      <c r="C134">
        <v>0.77249999999999996</v>
      </c>
      <c r="D134">
        <v>1.0489999999999999</v>
      </c>
      <c r="E134">
        <v>5.757E-3</v>
      </c>
      <c r="F134" s="13">
        <v>8.3009999999999996E-4</v>
      </c>
      <c r="G134">
        <v>0.36770000000000003</v>
      </c>
      <c r="H134">
        <v>3.7480000000000002</v>
      </c>
      <c r="I134">
        <v>40001</v>
      </c>
      <c r="J134">
        <v>120000</v>
      </c>
    </row>
    <row r="135" spans="2:10" x14ac:dyDescent="0.25">
      <c r="B135" t="s">
        <v>554</v>
      </c>
      <c r="C135">
        <v>0.69440000000000002</v>
      </c>
      <c r="D135">
        <v>0.99629999999999996</v>
      </c>
      <c r="E135">
        <v>4.006E-3</v>
      </c>
      <c r="F135" s="13">
        <v>7.0799999999999997E-4</v>
      </c>
      <c r="G135">
        <v>0.31330000000000002</v>
      </c>
      <c r="H135">
        <v>3.5219999999999998</v>
      </c>
      <c r="I135">
        <v>40001</v>
      </c>
      <c r="J135">
        <v>120000</v>
      </c>
    </row>
    <row r="136" spans="2:10" x14ac:dyDescent="0.25">
      <c r="B136" t="s">
        <v>555</v>
      </c>
      <c r="C136">
        <v>0.72150000000000003</v>
      </c>
      <c r="D136">
        <v>1.0309999999999999</v>
      </c>
      <c r="E136">
        <v>4.3290000000000004E-3</v>
      </c>
      <c r="F136" s="13">
        <v>6.4990000000000002E-4</v>
      </c>
      <c r="G136">
        <v>0.32540000000000002</v>
      </c>
      <c r="H136">
        <v>3.64</v>
      </c>
      <c r="I136">
        <v>40001</v>
      </c>
      <c r="J136">
        <v>120000</v>
      </c>
    </row>
    <row r="137" spans="2:10" x14ac:dyDescent="0.25">
      <c r="B137" t="s">
        <v>556</v>
      </c>
      <c r="C137">
        <v>0.7117</v>
      </c>
      <c r="D137">
        <v>0.98839999999999995</v>
      </c>
      <c r="E137">
        <v>5.1919999999999996E-3</v>
      </c>
      <c r="F137" s="13">
        <v>7.3059999999999998E-4</v>
      </c>
      <c r="G137">
        <v>0.33339999999999997</v>
      </c>
      <c r="H137">
        <v>3.4940000000000002</v>
      </c>
      <c r="I137">
        <v>40001</v>
      </c>
      <c r="J137">
        <v>120000</v>
      </c>
    </row>
    <row r="138" spans="2:10" x14ac:dyDescent="0.25">
      <c r="B138" t="s">
        <v>557</v>
      </c>
      <c r="C138">
        <v>0.7077</v>
      </c>
      <c r="D138">
        <v>0.98939999999999995</v>
      </c>
      <c r="E138">
        <v>3.5409999999999999E-3</v>
      </c>
      <c r="F138" s="13">
        <v>6.8659999999999999E-4</v>
      </c>
      <c r="G138">
        <v>0.32340000000000002</v>
      </c>
      <c r="H138">
        <v>3.5129999999999999</v>
      </c>
      <c r="I138">
        <v>40001</v>
      </c>
      <c r="J138">
        <v>120000</v>
      </c>
    </row>
    <row r="139" spans="2:10" x14ac:dyDescent="0.25">
      <c r="B139" t="s">
        <v>558</v>
      </c>
      <c r="C139">
        <v>0.53520000000000001</v>
      </c>
      <c r="D139">
        <v>0.76980000000000004</v>
      </c>
      <c r="E139">
        <v>3.0279999999999999E-3</v>
      </c>
      <c r="F139" s="13">
        <v>5.0799999999999999E-4</v>
      </c>
      <c r="G139">
        <v>0.2399</v>
      </c>
      <c r="H139">
        <v>2.7050000000000001</v>
      </c>
      <c r="I139">
        <v>40001</v>
      </c>
      <c r="J139">
        <v>120000</v>
      </c>
    </row>
    <row r="140" spans="2:10" x14ac:dyDescent="0.25">
      <c r="B140" t="s">
        <v>559</v>
      </c>
      <c r="C140">
        <v>0.87219999999999998</v>
      </c>
      <c r="D140">
        <v>1.2210000000000001</v>
      </c>
      <c r="E140">
        <v>5.973E-3</v>
      </c>
      <c r="F140" s="13">
        <v>8.7670000000000001E-4</v>
      </c>
      <c r="G140">
        <v>0.4032</v>
      </c>
      <c r="H140">
        <v>4.3360000000000003</v>
      </c>
      <c r="I140">
        <v>40001</v>
      </c>
      <c r="J140">
        <v>120000</v>
      </c>
    </row>
    <row r="141" spans="2:10" x14ac:dyDescent="0.25">
      <c r="B141" t="s">
        <v>560</v>
      </c>
      <c r="C141">
        <v>0.54979999999999996</v>
      </c>
      <c r="D141">
        <v>0.82450000000000001</v>
      </c>
      <c r="E141">
        <v>5.829E-3</v>
      </c>
      <c r="F141" s="13">
        <v>5.0690000000000002E-4</v>
      </c>
      <c r="G141">
        <v>0.23880000000000001</v>
      </c>
      <c r="H141">
        <v>2.8839999999999999</v>
      </c>
      <c r="I141">
        <v>40001</v>
      </c>
      <c r="J141">
        <v>120000</v>
      </c>
    </row>
    <row r="142" spans="2:10" x14ac:dyDescent="0.25">
      <c r="B142" t="s">
        <v>561</v>
      </c>
      <c r="C142">
        <v>1.5349999999999999</v>
      </c>
      <c r="D142">
        <v>1.827</v>
      </c>
      <c r="E142">
        <v>2.1409999999999998E-2</v>
      </c>
      <c r="F142">
        <v>2.1419999999999998E-3</v>
      </c>
      <c r="G142">
        <v>0.87849999999999995</v>
      </c>
      <c r="H142">
        <v>6.5389999999999997</v>
      </c>
      <c r="I142">
        <v>40001</v>
      </c>
      <c r="J142">
        <v>120000</v>
      </c>
    </row>
    <row r="143" spans="2:10" x14ac:dyDescent="0.25">
      <c r="B143" t="s">
        <v>562</v>
      </c>
      <c r="C143">
        <v>1.544</v>
      </c>
      <c r="D143">
        <v>1.853</v>
      </c>
      <c r="E143">
        <v>1.9269999999999999E-2</v>
      </c>
      <c r="F143">
        <v>2.1619999999999999E-3</v>
      </c>
      <c r="G143">
        <v>0.877</v>
      </c>
      <c r="H143">
        <v>6.6369999999999996</v>
      </c>
      <c r="I143">
        <v>40001</v>
      </c>
      <c r="J143">
        <v>120000</v>
      </c>
    </row>
    <row r="144" spans="2:10" x14ac:dyDescent="0.25">
      <c r="B144" t="s">
        <v>563</v>
      </c>
      <c r="C144">
        <v>0.97370000000000001</v>
      </c>
      <c r="D144">
        <v>1.323</v>
      </c>
      <c r="E144">
        <v>8.5710000000000005E-3</v>
      </c>
      <c r="F144" s="13">
        <v>9.923E-4</v>
      </c>
      <c r="G144">
        <v>0.46189999999999998</v>
      </c>
      <c r="H144">
        <v>4.7370000000000001</v>
      </c>
      <c r="I144">
        <v>40001</v>
      </c>
      <c r="J144">
        <v>120000</v>
      </c>
    </row>
    <row r="145" spans="2:10" x14ac:dyDescent="0.25">
      <c r="B145" t="s">
        <v>564</v>
      </c>
      <c r="C145">
        <v>0.74060000000000004</v>
      </c>
      <c r="D145">
        <v>1.0649999999999999</v>
      </c>
      <c r="E145">
        <v>7.7990000000000004E-3</v>
      </c>
      <c r="F145" s="13">
        <v>6.7319999999999999E-4</v>
      </c>
      <c r="G145">
        <v>0.33339999999999997</v>
      </c>
      <c r="H145">
        <v>3.7610000000000001</v>
      </c>
      <c r="I145">
        <v>40001</v>
      </c>
      <c r="J145">
        <v>120000</v>
      </c>
    </row>
    <row r="146" spans="2:10" x14ac:dyDescent="0.25">
      <c r="B146" t="s">
        <v>565</v>
      </c>
      <c r="C146">
        <v>1.0529999999999999</v>
      </c>
      <c r="D146">
        <v>1.4350000000000001</v>
      </c>
      <c r="E146">
        <v>3.073E-2</v>
      </c>
      <c r="F146">
        <v>1.0970000000000001E-3</v>
      </c>
      <c r="G146">
        <v>0.49490000000000001</v>
      </c>
      <c r="H146">
        <v>5.2779999999999996</v>
      </c>
      <c r="I146">
        <v>40001</v>
      </c>
      <c r="J146">
        <v>120000</v>
      </c>
    </row>
    <row r="147" spans="2:10" x14ac:dyDescent="0.25">
      <c r="B147" t="s">
        <v>566</v>
      </c>
      <c r="C147">
        <v>0.93400000000000005</v>
      </c>
      <c r="D147">
        <v>1.325</v>
      </c>
      <c r="E147">
        <v>7.0749999999999997E-3</v>
      </c>
      <c r="F147" s="13">
        <v>8.9130000000000003E-4</v>
      </c>
      <c r="G147">
        <v>0.4229</v>
      </c>
      <c r="H147">
        <v>4.718</v>
      </c>
      <c r="I147">
        <v>40001</v>
      </c>
      <c r="J147">
        <v>120000</v>
      </c>
    </row>
    <row r="148" spans="2:10" x14ac:dyDescent="0.25">
      <c r="B148" t="s">
        <v>567</v>
      </c>
      <c r="C148">
        <v>0.82169999999999999</v>
      </c>
      <c r="D148">
        <v>1.141</v>
      </c>
      <c r="E148">
        <v>8.8900000000000003E-3</v>
      </c>
      <c r="F148" s="13">
        <v>8.072E-4</v>
      </c>
      <c r="G148">
        <v>0.37869999999999998</v>
      </c>
      <c r="H148">
        <v>4.0590000000000002</v>
      </c>
      <c r="I148">
        <v>40001</v>
      </c>
      <c r="J148">
        <v>120000</v>
      </c>
    </row>
    <row r="149" spans="2:10" x14ac:dyDescent="0.25">
      <c r="B149" t="s">
        <v>568</v>
      </c>
      <c r="C149">
        <v>0.67210000000000003</v>
      </c>
      <c r="D149">
        <v>0.94210000000000005</v>
      </c>
      <c r="E149">
        <v>6.6740000000000002E-3</v>
      </c>
      <c r="F149" s="13">
        <v>6.7619999999999996E-4</v>
      </c>
      <c r="G149">
        <v>0.309</v>
      </c>
      <c r="H149">
        <v>3.3210000000000002</v>
      </c>
      <c r="I149">
        <v>40001</v>
      </c>
      <c r="J149">
        <v>120000</v>
      </c>
    </row>
    <row r="150" spans="2:10" x14ac:dyDescent="0.25">
      <c r="B150" t="s">
        <v>569</v>
      </c>
      <c r="C150">
        <v>0.91800000000000004</v>
      </c>
      <c r="D150">
        <v>1.284</v>
      </c>
      <c r="E150">
        <v>2.0799999999999999E-2</v>
      </c>
      <c r="F150" s="13">
        <v>9.6210000000000002E-4</v>
      </c>
      <c r="G150">
        <v>0.42059999999999997</v>
      </c>
      <c r="H150">
        <v>4.6020000000000003</v>
      </c>
      <c r="I150">
        <v>40001</v>
      </c>
      <c r="J150">
        <v>120000</v>
      </c>
    </row>
    <row r="151" spans="2:10" x14ac:dyDescent="0.25">
      <c r="B151" t="s">
        <v>570</v>
      </c>
      <c r="C151">
        <v>0.91979999999999995</v>
      </c>
      <c r="D151">
        <v>1.3029999999999999</v>
      </c>
      <c r="E151">
        <v>8.3739999999999995E-3</v>
      </c>
      <c r="F151" s="13">
        <v>9.2599999999999996E-4</v>
      </c>
      <c r="G151">
        <v>0.41849999999999998</v>
      </c>
      <c r="H151">
        <v>4.6109999999999998</v>
      </c>
      <c r="I151">
        <v>40001</v>
      </c>
      <c r="J151">
        <v>120000</v>
      </c>
    </row>
    <row r="152" spans="2:10" x14ac:dyDescent="0.25">
      <c r="B152" t="s">
        <v>571</v>
      </c>
      <c r="C152">
        <v>1.4179999999999999</v>
      </c>
      <c r="D152">
        <v>1.8180000000000001</v>
      </c>
      <c r="E152">
        <v>5.64E-3</v>
      </c>
      <c r="F152">
        <v>1.663E-3</v>
      </c>
      <c r="G152">
        <v>0.7329</v>
      </c>
      <c r="H152">
        <v>6.5270000000000001</v>
      </c>
      <c r="I152">
        <v>40001</v>
      </c>
      <c r="J152">
        <v>120000</v>
      </c>
    </row>
    <row r="153" spans="2:10" x14ac:dyDescent="0.25">
      <c r="B153" t="s">
        <v>572</v>
      </c>
      <c r="C153">
        <v>0.83099999999999996</v>
      </c>
      <c r="D153">
        <v>0.88280000000000003</v>
      </c>
      <c r="E153">
        <v>3.7569999999999999E-3</v>
      </c>
      <c r="F153">
        <v>1.883E-2</v>
      </c>
      <c r="G153">
        <v>0.54779999999999995</v>
      </c>
      <c r="H153">
        <v>3.2309999999999999</v>
      </c>
      <c r="I153">
        <v>40001</v>
      </c>
      <c r="J153">
        <v>120000</v>
      </c>
    </row>
    <row r="154" spans="2:10" x14ac:dyDescent="0.25">
      <c r="B154" t="s">
        <v>573</v>
      </c>
      <c r="C154">
        <v>0.72640000000000005</v>
      </c>
      <c r="D154">
        <v>1.032</v>
      </c>
      <c r="E154">
        <v>4.3470000000000002E-3</v>
      </c>
      <c r="F154" s="13">
        <v>7.339E-4</v>
      </c>
      <c r="G154">
        <v>0.33160000000000001</v>
      </c>
      <c r="H154">
        <v>3.661</v>
      </c>
      <c r="I154">
        <v>40001</v>
      </c>
      <c r="J154">
        <v>120000</v>
      </c>
    </row>
    <row r="155" spans="2:10" x14ac:dyDescent="0.25">
      <c r="B155" t="s">
        <v>574</v>
      </c>
      <c r="C155">
        <v>0.79410000000000003</v>
      </c>
      <c r="D155">
        <v>1.0509999999999999</v>
      </c>
      <c r="E155">
        <v>5.6010000000000001E-3</v>
      </c>
      <c r="F155" s="13">
        <v>8.7909999999999996E-4</v>
      </c>
      <c r="G155">
        <v>0.3906</v>
      </c>
      <c r="H155">
        <v>3.74</v>
      </c>
      <c r="I155">
        <v>40001</v>
      </c>
      <c r="J155">
        <v>120000</v>
      </c>
    </row>
    <row r="156" spans="2:10" x14ac:dyDescent="0.25">
      <c r="B156" t="s">
        <v>575</v>
      </c>
      <c r="C156">
        <v>0.74529999999999996</v>
      </c>
      <c r="D156">
        <v>1.0760000000000001</v>
      </c>
      <c r="E156">
        <v>4.1780000000000003E-3</v>
      </c>
      <c r="F156" s="13">
        <v>7.2820000000000003E-4</v>
      </c>
      <c r="G156">
        <v>0.33279999999999998</v>
      </c>
      <c r="H156">
        <v>3.8</v>
      </c>
      <c r="I156">
        <v>40001</v>
      </c>
      <c r="J156">
        <v>120000</v>
      </c>
    </row>
    <row r="157" spans="2:10" x14ac:dyDescent="0.25">
      <c r="B157" t="s">
        <v>576</v>
      </c>
      <c r="C157">
        <v>1.018</v>
      </c>
      <c r="D157">
        <v>1.1659999999999999</v>
      </c>
      <c r="E157">
        <v>1.073E-2</v>
      </c>
      <c r="F157">
        <v>1.5740000000000001E-3</v>
      </c>
      <c r="G157">
        <v>0.61360000000000003</v>
      </c>
      <c r="H157">
        <v>4.1660000000000004</v>
      </c>
      <c r="I157">
        <v>40001</v>
      </c>
      <c r="J157">
        <v>120000</v>
      </c>
    </row>
    <row r="158" spans="2:10" x14ac:dyDescent="0.25">
      <c r="B158" t="s">
        <v>577</v>
      </c>
      <c r="C158">
        <v>0.7944</v>
      </c>
      <c r="D158">
        <v>1.131</v>
      </c>
      <c r="E158">
        <v>6.1939999999999999E-3</v>
      </c>
      <c r="F158" s="13">
        <v>7.9480000000000002E-4</v>
      </c>
      <c r="G158">
        <v>0.35949999999999999</v>
      </c>
      <c r="H158">
        <v>3.996</v>
      </c>
      <c r="I158">
        <v>40001</v>
      </c>
      <c r="J158">
        <v>120000</v>
      </c>
    </row>
    <row r="159" spans="2:10" x14ac:dyDescent="0.25">
      <c r="B159" t="s">
        <v>578</v>
      </c>
      <c r="C159">
        <v>1.028</v>
      </c>
      <c r="D159">
        <v>1.2989999999999999</v>
      </c>
      <c r="E159">
        <v>8.2500000000000004E-3</v>
      </c>
      <c r="F159">
        <v>1.245E-3</v>
      </c>
      <c r="G159">
        <v>0.5403</v>
      </c>
      <c r="H159">
        <v>4.6520000000000001</v>
      </c>
      <c r="I159">
        <v>40001</v>
      </c>
      <c r="J159">
        <v>120000</v>
      </c>
    </row>
    <row r="160" spans="2:10" x14ac:dyDescent="0.25">
      <c r="B160" t="s">
        <v>579</v>
      </c>
      <c r="C160">
        <v>0.97240000000000004</v>
      </c>
      <c r="D160">
        <v>1.335</v>
      </c>
      <c r="E160">
        <v>1.2189999999999999E-2</v>
      </c>
      <c r="F160" s="13">
        <v>9.6060000000000004E-4</v>
      </c>
      <c r="G160">
        <v>0.45590000000000003</v>
      </c>
      <c r="H160">
        <v>4.7460000000000004</v>
      </c>
      <c r="I160">
        <v>40001</v>
      </c>
      <c r="J160">
        <v>120000</v>
      </c>
    </row>
    <row r="161" spans="1:10" x14ac:dyDescent="0.25">
      <c r="B161" t="s">
        <v>580</v>
      </c>
      <c r="C161">
        <v>0.79990000000000006</v>
      </c>
      <c r="D161">
        <v>1.1539999999999999</v>
      </c>
      <c r="E161">
        <v>7.4609999999999998E-3</v>
      </c>
      <c r="F161" s="13">
        <v>7.4030000000000005E-4</v>
      </c>
      <c r="G161">
        <v>0.35799999999999998</v>
      </c>
      <c r="H161">
        <v>4.1150000000000002</v>
      </c>
      <c r="I161">
        <v>40001</v>
      </c>
      <c r="J161">
        <v>120000</v>
      </c>
    </row>
    <row r="162" spans="1:10" x14ac:dyDescent="0.25">
      <c r="B162" t="s">
        <v>736</v>
      </c>
      <c r="C162">
        <v>87.31</v>
      </c>
      <c r="D162">
        <v>11.88</v>
      </c>
      <c r="E162">
        <v>0.12429999999999999</v>
      </c>
      <c r="F162">
        <v>65.94</v>
      </c>
      <c r="G162">
        <v>86.65</v>
      </c>
      <c r="H162">
        <v>112.4</v>
      </c>
      <c r="I162">
        <v>40001</v>
      </c>
      <c r="J162">
        <v>120000</v>
      </c>
    </row>
    <row r="163" spans="1:10" x14ac:dyDescent="0.25">
      <c r="A163" t="s">
        <v>895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0.42857142857142855</v>
      </c>
      <c r="B2" s="19">
        <v>9.4285714285714288</v>
      </c>
      <c r="C2" s="19">
        <v>0.5714285714285714</v>
      </c>
      <c r="D2" s="19">
        <v>12.571428571428571</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1</v>
      </c>
      <c r="V2" s="16">
        <v>3</v>
      </c>
      <c r="W2" s="16" t="s">
        <v>376</v>
      </c>
      <c r="X2" s="16" t="s">
        <v>376</v>
      </c>
      <c r="Y2" t="s">
        <v>376</v>
      </c>
      <c r="Z2" t="s">
        <v>376</v>
      </c>
      <c r="AA2" t="s">
        <v>376</v>
      </c>
      <c r="AB2" t="s">
        <v>376</v>
      </c>
      <c r="AC2" t="s">
        <v>376</v>
      </c>
      <c r="AD2" t="s">
        <v>376</v>
      </c>
      <c r="AE2">
        <v>2</v>
      </c>
    </row>
    <row r="3" spans="1:31" x14ac:dyDescent="0.25">
      <c r="A3" s="19">
        <v>9</v>
      </c>
      <c r="B3" s="19">
        <v>68</v>
      </c>
      <c r="C3" s="19">
        <v>9</v>
      </c>
      <c r="D3" s="19">
        <v>68</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2</v>
      </c>
      <c r="V3" s="16">
        <v>10</v>
      </c>
      <c r="W3" s="16" t="s">
        <v>376</v>
      </c>
      <c r="X3" s="16" t="s">
        <v>376</v>
      </c>
      <c r="Y3" t="s">
        <v>376</v>
      </c>
      <c r="Z3" t="s">
        <v>376</v>
      </c>
      <c r="AA3" t="s">
        <v>376</v>
      </c>
      <c r="AB3" t="s">
        <v>376</v>
      </c>
      <c r="AC3" t="s">
        <v>376</v>
      </c>
      <c r="AD3" t="s">
        <v>376</v>
      </c>
      <c r="AE3">
        <v>2</v>
      </c>
    </row>
    <row r="4" spans="1:31" x14ac:dyDescent="0.25">
      <c r="A4" s="19">
        <v>4</v>
      </c>
      <c r="B4" s="19">
        <v>39</v>
      </c>
      <c r="C4" s="19">
        <v>2</v>
      </c>
      <c r="D4" s="19">
        <v>38</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1</v>
      </c>
      <c r="V4" s="16">
        <v>4</v>
      </c>
      <c r="W4" s="16" t="s">
        <v>376</v>
      </c>
      <c r="X4" s="16" t="s">
        <v>376</v>
      </c>
      <c r="Y4" t="s">
        <v>376</v>
      </c>
      <c r="Z4" t="s">
        <v>376</v>
      </c>
      <c r="AA4" t="s">
        <v>376</v>
      </c>
      <c r="AB4" t="s">
        <v>376</v>
      </c>
      <c r="AC4" t="s">
        <v>376</v>
      </c>
      <c r="AD4" t="s">
        <v>376</v>
      </c>
      <c r="AE4">
        <v>2</v>
      </c>
    </row>
    <row r="5" spans="1:31" x14ac:dyDescent="0.25">
      <c r="A5" s="19">
        <v>2</v>
      </c>
      <c r="B5" s="19">
        <v>80</v>
      </c>
      <c r="C5" s="19">
        <v>3</v>
      </c>
      <c r="D5" s="19">
        <v>80</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3</v>
      </c>
      <c r="V5" s="16">
        <v>4</v>
      </c>
      <c r="W5" s="16" t="s">
        <v>376</v>
      </c>
      <c r="X5" s="16" t="s">
        <v>376</v>
      </c>
      <c r="Y5" t="s">
        <v>376</v>
      </c>
      <c r="Z5" t="s">
        <v>376</v>
      </c>
      <c r="AA5" t="s">
        <v>376</v>
      </c>
      <c r="AB5" t="s">
        <v>376</v>
      </c>
      <c r="AC5" t="s">
        <v>376</v>
      </c>
      <c r="AD5" t="s">
        <v>376</v>
      </c>
      <c r="AE5">
        <v>2</v>
      </c>
    </row>
    <row r="6" spans="1:31" x14ac:dyDescent="0.25">
      <c r="A6" s="19">
        <v>3</v>
      </c>
      <c r="B6" s="19">
        <v>34</v>
      </c>
      <c r="C6" s="19">
        <v>2</v>
      </c>
      <c r="D6" s="19">
        <v>36</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3</v>
      </c>
      <c r="B7" s="19">
        <v>50</v>
      </c>
      <c r="C7" s="19">
        <v>2</v>
      </c>
      <c r="D7" s="19">
        <v>52</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2</v>
      </c>
      <c r="V7" s="16">
        <v>3</v>
      </c>
      <c r="W7" s="16" t="s">
        <v>376</v>
      </c>
      <c r="X7" s="16" t="s">
        <v>376</v>
      </c>
      <c r="Y7" t="s">
        <v>376</v>
      </c>
      <c r="Z7" t="s">
        <v>376</v>
      </c>
      <c r="AA7" t="s">
        <v>376</v>
      </c>
      <c r="AB7" t="s">
        <v>376</v>
      </c>
      <c r="AC7" t="s">
        <v>376</v>
      </c>
      <c r="AD7" t="s">
        <v>376</v>
      </c>
      <c r="AE7">
        <v>2</v>
      </c>
    </row>
    <row r="8" spans="1:31" x14ac:dyDescent="0.25">
      <c r="A8" s="19">
        <v>1</v>
      </c>
      <c r="B8" s="19">
        <v>33</v>
      </c>
      <c r="C8" s="19">
        <v>1</v>
      </c>
      <c r="D8" s="19">
        <v>33</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3</v>
      </c>
      <c r="V8" s="16">
        <v>10</v>
      </c>
      <c r="W8" s="16" t="s">
        <v>376</v>
      </c>
      <c r="X8" s="16" t="s">
        <v>376</v>
      </c>
      <c r="Y8" t="s">
        <v>376</v>
      </c>
      <c r="Z8" t="s">
        <v>376</v>
      </c>
      <c r="AA8" t="s">
        <v>376</v>
      </c>
      <c r="AB8" t="s">
        <v>376</v>
      </c>
      <c r="AC8" t="s">
        <v>376</v>
      </c>
      <c r="AD8" t="s">
        <v>376</v>
      </c>
      <c r="AE8">
        <v>2</v>
      </c>
    </row>
    <row r="9" spans="1:31" x14ac:dyDescent="0.25">
      <c r="A9" s="19">
        <v>3</v>
      </c>
      <c r="B9" s="19">
        <v>32</v>
      </c>
      <c r="C9" s="19">
        <v>4</v>
      </c>
      <c r="D9" s="19">
        <v>32</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2</v>
      </c>
      <c r="V9" s="16">
        <v>3</v>
      </c>
      <c r="W9" s="16" t="s">
        <v>376</v>
      </c>
      <c r="X9" s="16" t="s">
        <v>376</v>
      </c>
      <c r="Y9" t="s">
        <v>376</v>
      </c>
      <c r="Z9" t="s">
        <v>376</v>
      </c>
      <c r="AA9" t="s">
        <v>376</v>
      </c>
      <c r="AB9" t="s">
        <v>376</v>
      </c>
      <c r="AC9" t="s">
        <v>376</v>
      </c>
      <c r="AD9" t="s">
        <v>376</v>
      </c>
      <c r="AE9">
        <v>2</v>
      </c>
    </row>
    <row r="10" spans="1:31" x14ac:dyDescent="0.25">
      <c r="A10" s="19">
        <v>10</v>
      </c>
      <c r="B10" s="19">
        <v>15</v>
      </c>
      <c r="C10" s="19">
        <v>6</v>
      </c>
      <c r="D10" s="19">
        <v>15</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1</v>
      </c>
      <c r="V10" s="16">
        <v>3</v>
      </c>
      <c r="W10" s="16" t="s">
        <v>376</v>
      </c>
      <c r="X10" s="16" t="s">
        <v>376</v>
      </c>
      <c r="Y10" t="s">
        <v>376</v>
      </c>
      <c r="Z10" t="s">
        <v>376</v>
      </c>
      <c r="AA10" t="s">
        <v>376</v>
      </c>
      <c r="AB10" t="s">
        <v>376</v>
      </c>
      <c r="AC10" t="s">
        <v>376</v>
      </c>
      <c r="AD10" t="s">
        <v>376</v>
      </c>
      <c r="AE10">
        <v>2</v>
      </c>
    </row>
    <row r="11" spans="1:31" x14ac:dyDescent="0.25">
      <c r="A11" s="19">
        <v>1</v>
      </c>
      <c r="B11" s="19">
        <v>14</v>
      </c>
      <c r="C11" s="19">
        <v>0</v>
      </c>
      <c r="D11" s="19">
        <v>18</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1</v>
      </c>
      <c r="V11" s="16">
        <v>8</v>
      </c>
      <c r="W11" s="16" t="s">
        <v>376</v>
      </c>
      <c r="X11" s="16" t="s">
        <v>376</v>
      </c>
      <c r="Y11" t="s">
        <v>376</v>
      </c>
      <c r="Z11" t="s">
        <v>376</v>
      </c>
      <c r="AA11" t="s">
        <v>376</v>
      </c>
      <c r="AB11" t="s">
        <v>376</v>
      </c>
      <c r="AC11" t="s">
        <v>376</v>
      </c>
      <c r="AD11" t="s">
        <v>376</v>
      </c>
      <c r="AE11">
        <v>2</v>
      </c>
    </row>
    <row r="12" spans="1:31" x14ac:dyDescent="0.25">
      <c r="A12" s="19">
        <v>0</v>
      </c>
      <c r="B12" s="19">
        <v>20</v>
      </c>
      <c r="C12" s="19">
        <v>2</v>
      </c>
      <c r="D12" s="19">
        <v>19</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1</v>
      </c>
      <c r="V12" s="16">
        <v>10</v>
      </c>
      <c r="W12" s="16" t="s">
        <v>376</v>
      </c>
      <c r="X12" s="16" t="s">
        <v>376</v>
      </c>
      <c r="Y12" t="s">
        <v>376</v>
      </c>
      <c r="Z12" t="s">
        <v>376</v>
      </c>
      <c r="AA12" t="s">
        <v>376</v>
      </c>
      <c r="AB12" t="s">
        <v>376</v>
      </c>
      <c r="AC12" t="s">
        <v>376</v>
      </c>
      <c r="AD12" t="s">
        <v>376</v>
      </c>
      <c r="AE12">
        <v>2</v>
      </c>
    </row>
    <row r="13" spans="1:31" x14ac:dyDescent="0.25">
      <c r="A13" s="19">
        <v>9</v>
      </c>
      <c r="B13" s="19">
        <v>32</v>
      </c>
      <c r="C13" s="19">
        <v>7</v>
      </c>
      <c r="D13" s="19">
        <v>31</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2</v>
      </c>
      <c r="V13" s="16">
        <v>8</v>
      </c>
      <c r="W13" s="16" t="s">
        <v>376</v>
      </c>
      <c r="X13" s="16" t="s">
        <v>376</v>
      </c>
      <c r="Y13" t="s">
        <v>376</v>
      </c>
      <c r="Z13" t="s">
        <v>376</v>
      </c>
      <c r="AA13" t="s">
        <v>376</v>
      </c>
      <c r="AB13" t="s">
        <v>376</v>
      </c>
      <c r="AC13" t="s">
        <v>376</v>
      </c>
      <c r="AD13" t="s">
        <v>376</v>
      </c>
      <c r="AE13">
        <v>2</v>
      </c>
    </row>
    <row r="14" spans="1:31" x14ac:dyDescent="0.25">
      <c r="A14" s="19">
        <v>3</v>
      </c>
      <c r="B14" s="19">
        <v>35</v>
      </c>
      <c r="C14" s="19">
        <v>4</v>
      </c>
      <c r="D14" s="19">
        <v>35</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2</v>
      </c>
      <c r="V14" s="16">
        <v>5</v>
      </c>
      <c r="W14" s="16" t="s">
        <v>376</v>
      </c>
      <c r="X14" s="16" t="s">
        <v>376</v>
      </c>
      <c r="Y14" t="s">
        <v>376</v>
      </c>
      <c r="Z14" t="s">
        <v>376</v>
      </c>
      <c r="AA14" t="s">
        <v>376</v>
      </c>
      <c r="AB14" t="s">
        <v>376</v>
      </c>
      <c r="AC14" t="s">
        <v>376</v>
      </c>
      <c r="AD14" t="s">
        <v>376</v>
      </c>
      <c r="AE14">
        <v>2</v>
      </c>
    </row>
    <row r="15" spans="1:31" x14ac:dyDescent="0.25">
      <c r="A15" s="19">
        <v>0</v>
      </c>
      <c r="B15" s="19">
        <v>18</v>
      </c>
      <c r="C15" s="19">
        <v>3</v>
      </c>
      <c r="D15" s="19">
        <v>18</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3</v>
      </c>
      <c r="V15" s="16">
        <v>9</v>
      </c>
      <c r="W15" s="16" t="s">
        <v>376</v>
      </c>
      <c r="X15" s="16" t="s">
        <v>376</v>
      </c>
      <c r="Y15" t="s">
        <v>376</v>
      </c>
      <c r="Z15" t="s">
        <v>376</v>
      </c>
      <c r="AA15" t="s">
        <v>376</v>
      </c>
      <c r="AB15" t="s">
        <v>376</v>
      </c>
      <c r="AC15" t="s">
        <v>376</v>
      </c>
      <c r="AD15" t="s">
        <v>376</v>
      </c>
      <c r="AE15">
        <v>2</v>
      </c>
    </row>
    <row r="16" spans="1:31" x14ac:dyDescent="0.25">
      <c r="A16" s="19">
        <v>10</v>
      </c>
      <c r="B16" s="19">
        <v>50</v>
      </c>
      <c r="C16" s="19">
        <v>9</v>
      </c>
      <c r="D16" s="19">
        <v>55</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9</v>
      </c>
      <c r="W16" s="16" t="s">
        <v>376</v>
      </c>
      <c r="X16" s="16" t="s">
        <v>376</v>
      </c>
      <c r="Y16" t="s">
        <v>376</v>
      </c>
      <c r="Z16" t="s">
        <v>376</v>
      </c>
      <c r="AA16" t="s">
        <v>376</v>
      </c>
      <c r="AB16" t="s">
        <v>376</v>
      </c>
      <c r="AC16" t="s">
        <v>376</v>
      </c>
      <c r="AD16" t="s">
        <v>376</v>
      </c>
      <c r="AE16">
        <v>2</v>
      </c>
    </row>
    <row r="17" spans="1:31" x14ac:dyDescent="0.25">
      <c r="A17" s="19">
        <v>2</v>
      </c>
      <c r="B17" s="19">
        <v>44</v>
      </c>
      <c r="C17" s="19">
        <v>2</v>
      </c>
      <c r="D17" s="19">
        <v>48</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1</v>
      </c>
      <c r="V17" s="16">
        <v>10</v>
      </c>
      <c r="W17" s="16" t="s">
        <v>376</v>
      </c>
      <c r="X17" s="16" t="s">
        <v>376</v>
      </c>
      <c r="Y17" t="s">
        <v>376</v>
      </c>
      <c r="Z17" t="s">
        <v>376</v>
      </c>
      <c r="AA17" t="s">
        <v>376</v>
      </c>
      <c r="AB17" t="s">
        <v>376</v>
      </c>
      <c r="AC17" t="s">
        <v>376</v>
      </c>
      <c r="AD17" t="s">
        <v>376</v>
      </c>
      <c r="AE17">
        <v>2</v>
      </c>
    </row>
    <row r="18" spans="1:31" x14ac:dyDescent="0.25">
      <c r="A18" s="19">
        <v>2</v>
      </c>
      <c r="B18" s="19">
        <v>81</v>
      </c>
      <c r="C18" s="19">
        <v>2</v>
      </c>
      <c r="D18" s="19">
        <v>94</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1</v>
      </c>
      <c r="V18" s="16">
        <v>2</v>
      </c>
      <c r="W18" s="16" t="s">
        <v>376</v>
      </c>
      <c r="X18" s="16" t="s">
        <v>376</v>
      </c>
      <c r="Y18" t="s">
        <v>376</v>
      </c>
      <c r="Z18" t="s">
        <v>376</v>
      </c>
      <c r="AA18" t="s">
        <v>376</v>
      </c>
      <c r="AB18" t="s">
        <v>376</v>
      </c>
      <c r="AC18" t="s">
        <v>376</v>
      </c>
      <c r="AD18" t="s">
        <v>376</v>
      </c>
      <c r="AE18">
        <v>2</v>
      </c>
    </row>
    <row r="19" spans="1:31" x14ac:dyDescent="0.25">
      <c r="A19" s="19">
        <v>7</v>
      </c>
      <c r="B19" s="19">
        <v>56</v>
      </c>
      <c r="C19" s="19">
        <v>3</v>
      </c>
      <c r="D19" s="19">
        <v>55</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2</v>
      </c>
      <c r="V19" s="16">
        <v>7</v>
      </c>
      <c r="W19" s="16" t="s">
        <v>376</v>
      </c>
      <c r="X19" s="16" t="s">
        <v>376</v>
      </c>
      <c r="Y19" t="s">
        <v>376</v>
      </c>
      <c r="Z19" t="s">
        <v>376</v>
      </c>
      <c r="AA19" t="s">
        <v>376</v>
      </c>
      <c r="AB19" t="s">
        <v>376</v>
      </c>
      <c r="AC19" t="s">
        <v>376</v>
      </c>
      <c r="AD19" t="s">
        <v>376</v>
      </c>
      <c r="AE19">
        <v>2</v>
      </c>
    </row>
    <row r="20" spans="1:31" x14ac:dyDescent="0.25">
      <c r="A20" s="19">
        <v>1</v>
      </c>
      <c r="B20" s="19">
        <v>69</v>
      </c>
      <c r="C20" s="19">
        <v>5</v>
      </c>
      <c r="D20" s="19">
        <v>71</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9</v>
      </c>
      <c r="W20" s="16" t="s">
        <v>376</v>
      </c>
      <c r="X20" s="16" t="s">
        <v>376</v>
      </c>
      <c r="Y20" t="s">
        <v>376</v>
      </c>
      <c r="Z20" t="s">
        <v>376</v>
      </c>
      <c r="AA20" t="s">
        <v>376</v>
      </c>
      <c r="AB20" t="s">
        <v>376</v>
      </c>
      <c r="AC20" t="s">
        <v>376</v>
      </c>
      <c r="AD20" t="s">
        <v>376</v>
      </c>
      <c r="AE20">
        <v>2</v>
      </c>
    </row>
    <row r="21" spans="1:31" x14ac:dyDescent="0.25">
      <c r="A21" s="19">
        <v>1</v>
      </c>
      <c r="B21" s="19">
        <v>24</v>
      </c>
      <c r="C21" s="19">
        <v>0</v>
      </c>
      <c r="D21" s="19">
        <v>23</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9</v>
      </c>
      <c r="V21" s="16">
        <v>10</v>
      </c>
      <c r="W21" s="16" t="s">
        <v>376</v>
      </c>
      <c r="X21" s="16" t="s">
        <v>376</v>
      </c>
      <c r="Y21" t="s">
        <v>376</v>
      </c>
      <c r="Z21" t="s">
        <v>376</v>
      </c>
      <c r="AA21" t="s">
        <v>376</v>
      </c>
      <c r="AB21" t="s">
        <v>376</v>
      </c>
      <c r="AC21" t="s">
        <v>376</v>
      </c>
      <c r="AD21" t="s">
        <v>376</v>
      </c>
      <c r="AE21">
        <v>2</v>
      </c>
    </row>
    <row r="22" spans="1:31" x14ac:dyDescent="0.25">
      <c r="A22" s="19">
        <v>2</v>
      </c>
      <c r="B22" s="19">
        <v>40</v>
      </c>
      <c r="C22" s="19">
        <v>3</v>
      </c>
      <c r="D22" s="19">
        <v>40</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3</v>
      </c>
      <c r="V22" s="16">
        <v>4</v>
      </c>
      <c r="W22" s="16" t="s">
        <v>376</v>
      </c>
      <c r="X22" s="16" t="s">
        <v>376</v>
      </c>
      <c r="Y22" t="s">
        <v>376</v>
      </c>
      <c r="Z22" t="s">
        <v>376</v>
      </c>
      <c r="AA22" t="s">
        <v>376</v>
      </c>
      <c r="AB22" t="s">
        <v>376</v>
      </c>
      <c r="AC22" t="s">
        <v>376</v>
      </c>
      <c r="AD22" t="s">
        <v>376</v>
      </c>
      <c r="AE22">
        <v>2</v>
      </c>
    </row>
    <row r="23" spans="1:31" x14ac:dyDescent="0.25">
      <c r="A23" s="19">
        <v>3</v>
      </c>
      <c r="B23" s="19">
        <v>35</v>
      </c>
      <c r="C23" s="19">
        <v>0</v>
      </c>
      <c r="D23" s="19">
        <v>35</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1</v>
      </c>
      <c r="V23" s="16">
        <v>10</v>
      </c>
      <c r="W23" s="16" t="s">
        <v>376</v>
      </c>
      <c r="X23" s="16" t="s">
        <v>376</v>
      </c>
      <c r="Y23" t="s">
        <v>376</v>
      </c>
      <c r="Z23" t="s">
        <v>376</v>
      </c>
      <c r="AA23" t="s">
        <v>376</v>
      </c>
      <c r="AB23" t="s">
        <v>376</v>
      </c>
      <c r="AC23" t="s">
        <v>376</v>
      </c>
      <c r="AD23" t="s">
        <v>376</v>
      </c>
      <c r="AE23">
        <v>2</v>
      </c>
    </row>
    <row r="24" spans="1:31" x14ac:dyDescent="0.25">
      <c r="A24" s="19">
        <v>1</v>
      </c>
      <c r="B24" s="19">
        <v>20</v>
      </c>
      <c r="C24" s="19">
        <v>1</v>
      </c>
      <c r="D24" s="19">
        <v>20</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1</v>
      </c>
      <c r="V24" s="16">
        <v>2</v>
      </c>
      <c r="W24" s="16" t="s">
        <v>376</v>
      </c>
      <c r="X24" s="16" t="s">
        <v>376</v>
      </c>
      <c r="Y24" t="s">
        <v>376</v>
      </c>
      <c r="Z24" t="s">
        <v>376</v>
      </c>
      <c r="AA24" t="s">
        <v>376</v>
      </c>
      <c r="AB24" t="s">
        <v>376</v>
      </c>
      <c r="AC24" t="s">
        <v>376</v>
      </c>
      <c r="AD24" t="s">
        <v>376</v>
      </c>
      <c r="AE24">
        <v>2</v>
      </c>
    </row>
    <row r="25" spans="1:31" x14ac:dyDescent="0.25">
      <c r="A25" s="19">
        <v>4</v>
      </c>
      <c r="B25" s="19">
        <v>64</v>
      </c>
      <c r="C25" s="19">
        <v>1</v>
      </c>
      <c r="D25" s="19">
        <v>63</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9</v>
      </c>
      <c r="W25" s="16" t="s">
        <v>376</v>
      </c>
      <c r="X25" s="16" t="s">
        <v>376</v>
      </c>
      <c r="Y25" t="s">
        <v>376</v>
      </c>
      <c r="Z25" t="s">
        <v>376</v>
      </c>
      <c r="AA25" t="s">
        <v>376</v>
      </c>
      <c r="AB25" t="s">
        <v>376</v>
      </c>
      <c r="AC25" t="s">
        <v>376</v>
      </c>
      <c r="AD25" t="s">
        <v>376</v>
      </c>
      <c r="AE25">
        <v>2</v>
      </c>
    </row>
    <row r="26" spans="1:31" x14ac:dyDescent="0.25">
      <c r="A26" s="19">
        <v>1</v>
      </c>
      <c r="B26" s="19">
        <v>15</v>
      </c>
      <c r="C26" s="19">
        <v>0</v>
      </c>
      <c r="D26" s="19">
        <v>18</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0.47058823529411764</v>
      </c>
      <c r="B27" s="19">
        <v>8.4705882352941178</v>
      </c>
      <c r="C27" s="19">
        <v>0.52941176470588236</v>
      </c>
      <c r="D27" s="19">
        <v>9.5294117647058822</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2</v>
      </c>
      <c r="W27" s="16" t="s">
        <v>376</v>
      </c>
      <c r="X27" s="16" t="s">
        <v>376</v>
      </c>
      <c r="Y27" t="s">
        <v>376</v>
      </c>
      <c r="Z27" t="s">
        <v>376</v>
      </c>
      <c r="AA27" t="s">
        <v>376</v>
      </c>
      <c r="AB27" t="s">
        <v>376</v>
      </c>
      <c r="AC27" t="s">
        <v>376</v>
      </c>
      <c r="AD27" t="s">
        <v>376</v>
      </c>
      <c r="AE27">
        <v>2</v>
      </c>
    </row>
    <row r="28" spans="1:31" x14ac:dyDescent="0.25">
      <c r="A28" s="19">
        <v>0.5</v>
      </c>
      <c r="B28" s="19">
        <v>10.5</v>
      </c>
      <c r="C28" s="19">
        <v>0.5</v>
      </c>
      <c r="D28" s="19">
        <v>10.5</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3</v>
      </c>
      <c r="V28" s="16">
        <v>9</v>
      </c>
      <c r="W28" s="16" t="s">
        <v>376</v>
      </c>
      <c r="X28" s="16" t="s">
        <v>376</v>
      </c>
      <c r="Y28" t="s">
        <v>376</v>
      </c>
      <c r="Z28" t="s">
        <v>376</v>
      </c>
      <c r="AA28" t="s">
        <v>376</v>
      </c>
      <c r="AB28" t="s">
        <v>376</v>
      </c>
      <c r="AC28" t="s">
        <v>376</v>
      </c>
      <c r="AD28" t="s">
        <v>376</v>
      </c>
      <c r="AE28">
        <v>2</v>
      </c>
    </row>
    <row r="29" spans="1:31" x14ac:dyDescent="0.25">
      <c r="A29" s="19">
        <v>5</v>
      </c>
      <c r="B29" s="19">
        <v>30</v>
      </c>
      <c r="C29" s="19">
        <v>4</v>
      </c>
      <c r="D29" s="19">
        <v>30</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3</v>
      </c>
      <c r="V29" s="16">
        <v>6</v>
      </c>
      <c r="W29" s="16" t="s">
        <v>376</v>
      </c>
      <c r="X29" s="16" t="s">
        <v>376</v>
      </c>
      <c r="Y29" t="s">
        <v>376</v>
      </c>
      <c r="Z29" t="s">
        <v>376</v>
      </c>
      <c r="AA29" t="s">
        <v>376</v>
      </c>
      <c r="AB29" t="s">
        <v>376</v>
      </c>
      <c r="AC29" t="s">
        <v>376</v>
      </c>
      <c r="AD29" t="s">
        <v>376</v>
      </c>
      <c r="AE29">
        <v>2</v>
      </c>
    </row>
    <row r="30" spans="1:31" x14ac:dyDescent="0.25">
      <c r="A30" s="19">
        <v>3</v>
      </c>
      <c r="B30" s="19">
        <v>36</v>
      </c>
      <c r="C30" s="19">
        <v>5</v>
      </c>
      <c r="D30" s="19">
        <v>34</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1</v>
      </c>
      <c r="V30" s="16">
        <v>9</v>
      </c>
      <c r="W30" s="16" t="s">
        <v>376</v>
      </c>
      <c r="X30" s="16" t="s">
        <v>376</v>
      </c>
      <c r="Y30" t="s">
        <v>376</v>
      </c>
      <c r="Z30" t="s">
        <v>376</v>
      </c>
      <c r="AA30" t="s">
        <v>376</v>
      </c>
      <c r="AB30" t="s">
        <v>376</v>
      </c>
      <c r="AC30" t="s">
        <v>376</v>
      </c>
      <c r="AD30" t="s">
        <v>376</v>
      </c>
      <c r="AE30">
        <v>2</v>
      </c>
    </row>
    <row r="31" spans="1:31" x14ac:dyDescent="0.25">
      <c r="A31" s="19">
        <v>0</v>
      </c>
      <c r="B31" s="19">
        <v>31</v>
      </c>
      <c r="C31" s="19">
        <v>1</v>
      </c>
      <c r="D31" s="19">
        <v>31</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3</v>
      </c>
      <c r="V31" s="16">
        <v>10</v>
      </c>
      <c r="W31" s="16" t="s">
        <v>376</v>
      </c>
      <c r="X31" s="16" t="s">
        <v>376</v>
      </c>
      <c r="Y31" t="s">
        <v>376</v>
      </c>
      <c r="Z31" t="s">
        <v>376</v>
      </c>
      <c r="AA31" t="s">
        <v>376</v>
      </c>
      <c r="AB31" t="s">
        <v>376</v>
      </c>
      <c r="AC31" t="s">
        <v>376</v>
      </c>
      <c r="AD31" t="s">
        <v>376</v>
      </c>
      <c r="AE31">
        <v>2</v>
      </c>
    </row>
    <row r="32" spans="1:31" x14ac:dyDescent="0.25">
      <c r="A32" s="19">
        <v>5</v>
      </c>
      <c r="B32" s="19">
        <v>54</v>
      </c>
      <c r="C32" s="19">
        <v>2</v>
      </c>
      <c r="D32" s="19">
        <v>51</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2</v>
      </c>
      <c r="V32" s="16">
        <v>10</v>
      </c>
      <c r="W32" s="16" t="s">
        <v>376</v>
      </c>
      <c r="X32" s="16" t="s">
        <v>376</v>
      </c>
      <c r="Y32" t="s">
        <v>376</v>
      </c>
      <c r="Z32" t="s">
        <v>376</v>
      </c>
      <c r="AA32" t="s">
        <v>376</v>
      </c>
      <c r="AB32" t="s">
        <v>376</v>
      </c>
      <c r="AC32" t="s">
        <v>376</v>
      </c>
      <c r="AD32" t="s">
        <v>376</v>
      </c>
      <c r="AE32">
        <v>2</v>
      </c>
    </row>
    <row r="33" spans="1:31" x14ac:dyDescent="0.25">
      <c r="A33" s="19">
        <v>4</v>
      </c>
      <c r="B33" s="19">
        <v>46</v>
      </c>
      <c r="C33" s="19">
        <v>4</v>
      </c>
      <c r="D33" s="19">
        <v>47</v>
      </c>
      <c r="E33" s="19" t="s">
        <v>376</v>
      </c>
      <c r="F33" s="19">
        <v>1</v>
      </c>
      <c r="G33" s="19" t="s">
        <v>376</v>
      </c>
      <c r="H33" s="19">
        <v>1</v>
      </c>
      <c r="I33" s="19" t="s">
        <v>376</v>
      </c>
      <c r="J33" s="19">
        <v>1</v>
      </c>
      <c r="K33" s="19" t="s">
        <v>376</v>
      </c>
      <c r="L33" s="19">
        <v>1</v>
      </c>
      <c r="M33" s="19" t="s">
        <v>376</v>
      </c>
      <c r="N33" s="19">
        <v>1</v>
      </c>
      <c r="O33" s="19" t="s">
        <v>376</v>
      </c>
      <c r="P33" s="19">
        <v>1</v>
      </c>
      <c r="Q33" s="19" t="s">
        <v>376</v>
      </c>
      <c r="R33" s="19">
        <v>1</v>
      </c>
      <c r="S33" s="19" t="s">
        <v>376</v>
      </c>
      <c r="T33" s="16">
        <v>1</v>
      </c>
      <c r="U33" s="16">
        <v>1</v>
      </c>
      <c r="V33" s="16">
        <v>9</v>
      </c>
      <c r="W33" s="16" t="s">
        <v>376</v>
      </c>
      <c r="X33" s="16" t="s">
        <v>376</v>
      </c>
      <c r="Y33" t="s">
        <v>376</v>
      </c>
      <c r="Z33" t="s">
        <v>376</v>
      </c>
      <c r="AA33" t="s">
        <v>376</v>
      </c>
      <c r="AB33" t="s">
        <v>376</v>
      </c>
      <c r="AC33" t="s">
        <v>376</v>
      </c>
      <c r="AD33" t="s">
        <v>376</v>
      </c>
      <c r="AE33">
        <v>2</v>
      </c>
    </row>
    <row r="34" spans="1:31" x14ac:dyDescent="0.25">
      <c r="A34" s="19">
        <v>7</v>
      </c>
      <c r="B34" s="19">
        <v>59</v>
      </c>
      <c r="C34" s="19">
        <v>6</v>
      </c>
      <c r="D34" s="19">
        <v>60</v>
      </c>
      <c r="E34" s="19" t="s">
        <v>376</v>
      </c>
      <c r="F34" s="19">
        <v>1</v>
      </c>
      <c r="G34" s="19" t="s">
        <v>376</v>
      </c>
      <c r="H34" s="19">
        <v>1</v>
      </c>
      <c r="I34" s="19" t="s">
        <v>376</v>
      </c>
      <c r="J34" s="19">
        <v>1</v>
      </c>
      <c r="K34" s="19" t="s">
        <v>376</v>
      </c>
      <c r="L34" s="19">
        <v>1</v>
      </c>
      <c r="M34" s="19" t="s">
        <v>376</v>
      </c>
      <c r="N34" s="19">
        <v>1</v>
      </c>
      <c r="O34" s="19" t="s">
        <v>376</v>
      </c>
      <c r="P34" s="19">
        <v>1</v>
      </c>
      <c r="Q34" s="19" t="s">
        <v>376</v>
      </c>
      <c r="R34" s="19">
        <v>1</v>
      </c>
      <c r="S34" s="19" t="s">
        <v>376</v>
      </c>
      <c r="T34" s="16">
        <v>1</v>
      </c>
      <c r="U34" s="16">
        <v>1</v>
      </c>
      <c r="V34" s="16">
        <v>2</v>
      </c>
      <c r="W34" s="16" t="s">
        <v>376</v>
      </c>
      <c r="X34" s="16" t="s">
        <v>376</v>
      </c>
      <c r="Y34" t="s">
        <v>376</v>
      </c>
      <c r="Z34" t="s">
        <v>376</v>
      </c>
      <c r="AA34" t="s">
        <v>376</v>
      </c>
      <c r="AB34" t="s">
        <v>376</v>
      </c>
      <c r="AC34" t="s">
        <v>376</v>
      </c>
      <c r="AD34" t="s">
        <v>376</v>
      </c>
      <c r="AE34">
        <v>2</v>
      </c>
    </row>
    <row r="35" spans="1:31" x14ac:dyDescent="0.25">
      <c r="A35" s="19">
        <v>3</v>
      </c>
      <c r="B35" s="19">
        <v>31</v>
      </c>
      <c r="C35" s="19">
        <v>2</v>
      </c>
      <c r="D35" s="19">
        <v>32</v>
      </c>
      <c r="E35" s="19" t="s">
        <v>376</v>
      </c>
      <c r="F35" s="19">
        <v>1</v>
      </c>
      <c r="G35" s="19" t="s">
        <v>376</v>
      </c>
      <c r="H35" s="19">
        <v>1</v>
      </c>
      <c r="I35" s="19" t="s">
        <v>376</v>
      </c>
      <c r="J35" s="19">
        <v>1</v>
      </c>
      <c r="K35" s="19" t="s">
        <v>376</v>
      </c>
      <c r="L35" s="19">
        <v>1</v>
      </c>
      <c r="M35" s="19" t="s">
        <v>376</v>
      </c>
      <c r="N35" s="19">
        <v>1</v>
      </c>
      <c r="O35" s="19" t="s">
        <v>376</v>
      </c>
      <c r="P35" s="19">
        <v>1</v>
      </c>
      <c r="Q35" s="19" t="s">
        <v>376</v>
      </c>
      <c r="R35" s="19">
        <v>1</v>
      </c>
      <c r="S35" s="19" t="s">
        <v>376</v>
      </c>
      <c r="T35" s="16">
        <v>1</v>
      </c>
      <c r="U35" s="16">
        <v>1</v>
      </c>
      <c r="V35" s="16">
        <v>2</v>
      </c>
      <c r="W35" s="16" t="s">
        <v>376</v>
      </c>
      <c r="X35" s="16" t="s">
        <v>376</v>
      </c>
      <c r="Y35" t="s">
        <v>376</v>
      </c>
      <c r="Z35" t="s">
        <v>376</v>
      </c>
      <c r="AA35" t="s">
        <v>376</v>
      </c>
      <c r="AB35" t="s">
        <v>376</v>
      </c>
      <c r="AC35" t="s">
        <v>376</v>
      </c>
      <c r="AD35" t="s">
        <v>376</v>
      </c>
      <c r="AE35">
        <v>2</v>
      </c>
    </row>
    <row r="36" spans="1:31" x14ac:dyDescent="0.25">
      <c r="A36" s="19">
        <v>3</v>
      </c>
      <c r="B36" s="19">
        <v>9</v>
      </c>
      <c r="C36" s="19">
        <v>1</v>
      </c>
      <c r="D36" s="19">
        <v>9</v>
      </c>
      <c r="E36" s="19" t="s">
        <v>376</v>
      </c>
      <c r="F36" s="19">
        <v>1</v>
      </c>
      <c r="G36" s="19" t="s">
        <v>376</v>
      </c>
      <c r="H36" s="19">
        <v>1</v>
      </c>
      <c r="I36" s="19" t="s">
        <v>376</v>
      </c>
      <c r="J36" s="19">
        <v>1</v>
      </c>
      <c r="K36" s="19" t="s">
        <v>376</v>
      </c>
      <c r="L36" s="19">
        <v>1</v>
      </c>
      <c r="M36" s="19" t="s">
        <v>376</v>
      </c>
      <c r="N36" s="19">
        <v>1</v>
      </c>
      <c r="O36" s="19" t="s">
        <v>376</v>
      </c>
      <c r="P36" s="19">
        <v>1</v>
      </c>
      <c r="Q36" s="19" t="s">
        <v>376</v>
      </c>
      <c r="R36" s="19">
        <v>1</v>
      </c>
      <c r="S36" s="19" t="s">
        <v>376</v>
      </c>
      <c r="T36" s="16">
        <v>1</v>
      </c>
      <c r="U36" s="16">
        <v>1</v>
      </c>
      <c r="V36" s="16">
        <v>3</v>
      </c>
      <c r="W36" s="16" t="s">
        <v>376</v>
      </c>
      <c r="X36" s="16" t="s">
        <v>376</v>
      </c>
      <c r="Y36" t="s">
        <v>376</v>
      </c>
      <c r="Z36" t="s">
        <v>376</v>
      </c>
      <c r="AA36" t="s">
        <v>376</v>
      </c>
      <c r="AB36" t="s">
        <v>376</v>
      </c>
      <c r="AC36" t="s">
        <v>376</v>
      </c>
      <c r="AD36" t="s">
        <v>376</v>
      </c>
      <c r="AE36">
        <v>2</v>
      </c>
    </row>
    <row r="37" spans="1:31" x14ac:dyDescent="0.25">
      <c r="A37" s="19">
        <v>8</v>
      </c>
      <c r="B37" s="19">
        <v>31</v>
      </c>
      <c r="C37" s="19">
        <v>16</v>
      </c>
      <c r="D37" s="19">
        <v>30</v>
      </c>
      <c r="E37" s="19" t="s">
        <v>376</v>
      </c>
      <c r="F37" s="19">
        <v>1</v>
      </c>
      <c r="G37" s="19" t="s">
        <v>376</v>
      </c>
      <c r="H37" s="19">
        <v>1</v>
      </c>
      <c r="I37" s="19" t="s">
        <v>376</v>
      </c>
      <c r="J37" s="19">
        <v>1</v>
      </c>
      <c r="K37" s="19" t="s">
        <v>376</v>
      </c>
      <c r="L37" s="19">
        <v>1</v>
      </c>
      <c r="M37" s="19" t="s">
        <v>376</v>
      </c>
      <c r="N37" s="19">
        <v>1</v>
      </c>
      <c r="O37" s="19" t="s">
        <v>376</v>
      </c>
      <c r="P37" s="19">
        <v>1</v>
      </c>
      <c r="Q37" s="19" t="s">
        <v>376</v>
      </c>
      <c r="R37" s="19">
        <v>1</v>
      </c>
      <c r="S37" s="19" t="s">
        <v>376</v>
      </c>
      <c r="T37" s="16">
        <v>1</v>
      </c>
      <c r="U37" s="16">
        <v>1</v>
      </c>
      <c r="V37" s="16">
        <v>9</v>
      </c>
      <c r="W37" s="16" t="s">
        <v>376</v>
      </c>
      <c r="X37" s="16" t="s">
        <v>376</v>
      </c>
      <c r="Y37" t="s">
        <v>376</v>
      </c>
      <c r="Z37" t="s">
        <v>376</v>
      </c>
      <c r="AA37" t="s">
        <v>376</v>
      </c>
      <c r="AB37" t="s">
        <v>376</v>
      </c>
      <c r="AC37" t="s">
        <v>376</v>
      </c>
      <c r="AD37" t="s">
        <v>376</v>
      </c>
      <c r="AE37">
        <v>2</v>
      </c>
    </row>
    <row r="38" spans="1:31" x14ac:dyDescent="0.25">
      <c r="A38" s="19">
        <v>8</v>
      </c>
      <c r="B38" s="19">
        <v>74</v>
      </c>
      <c r="C38" s="19">
        <v>4</v>
      </c>
      <c r="D38" s="19">
        <v>74</v>
      </c>
      <c r="E38" s="19" t="s">
        <v>376</v>
      </c>
      <c r="F38" s="19">
        <v>1</v>
      </c>
      <c r="G38" s="19" t="s">
        <v>376</v>
      </c>
      <c r="H38" s="19">
        <v>1</v>
      </c>
      <c r="I38" s="19" t="s">
        <v>376</v>
      </c>
      <c r="J38" s="19">
        <v>1</v>
      </c>
      <c r="K38" s="19" t="s">
        <v>376</v>
      </c>
      <c r="L38" s="19">
        <v>1</v>
      </c>
      <c r="M38" s="19" t="s">
        <v>376</v>
      </c>
      <c r="N38" s="19">
        <v>1</v>
      </c>
      <c r="O38" s="19" t="s">
        <v>376</v>
      </c>
      <c r="P38" s="19">
        <v>1</v>
      </c>
      <c r="Q38" s="19" t="s">
        <v>376</v>
      </c>
      <c r="R38" s="19">
        <v>1</v>
      </c>
      <c r="S38" s="19" t="s">
        <v>376</v>
      </c>
      <c r="T38" s="16">
        <v>1</v>
      </c>
      <c r="U38" s="16">
        <v>1</v>
      </c>
      <c r="V38" s="16">
        <v>2</v>
      </c>
      <c r="W38" s="16" t="s">
        <v>376</v>
      </c>
      <c r="X38" s="16" t="s">
        <v>376</v>
      </c>
      <c r="Y38" t="s">
        <v>376</v>
      </c>
      <c r="Z38" t="s">
        <v>376</v>
      </c>
      <c r="AA38" t="s">
        <v>376</v>
      </c>
      <c r="AB38" t="s">
        <v>376</v>
      </c>
      <c r="AC38" t="s">
        <v>376</v>
      </c>
      <c r="AD38" t="s">
        <v>376</v>
      </c>
      <c r="AE38">
        <v>2</v>
      </c>
    </row>
    <row r="39" spans="1:31" x14ac:dyDescent="0.25">
      <c r="A39" s="19">
        <v>2</v>
      </c>
      <c r="B39" s="19">
        <v>48</v>
      </c>
      <c r="C39" s="19">
        <v>5</v>
      </c>
      <c r="D39" s="19">
        <v>35</v>
      </c>
      <c r="E39" s="19" t="s">
        <v>376</v>
      </c>
      <c r="F39" s="19">
        <v>1</v>
      </c>
      <c r="G39" s="19" t="s">
        <v>376</v>
      </c>
      <c r="H39" s="19">
        <v>1</v>
      </c>
      <c r="I39" s="19" t="s">
        <v>376</v>
      </c>
      <c r="J39" s="19">
        <v>1</v>
      </c>
      <c r="K39" s="19" t="s">
        <v>376</v>
      </c>
      <c r="L39" s="19">
        <v>1</v>
      </c>
      <c r="M39" s="19" t="s">
        <v>376</v>
      </c>
      <c r="N39" s="19">
        <v>1</v>
      </c>
      <c r="O39" s="19" t="s">
        <v>376</v>
      </c>
      <c r="P39" s="19">
        <v>1</v>
      </c>
      <c r="Q39" s="19" t="s">
        <v>376</v>
      </c>
      <c r="R39" s="19">
        <v>1</v>
      </c>
      <c r="S39" s="19" t="s">
        <v>376</v>
      </c>
      <c r="T39" s="16">
        <v>1</v>
      </c>
      <c r="U39" s="16">
        <v>3</v>
      </c>
      <c r="V39" s="16">
        <v>9</v>
      </c>
      <c r="W39" s="16" t="s">
        <v>376</v>
      </c>
      <c r="X39" s="16" t="s">
        <v>376</v>
      </c>
      <c r="Y39" t="s">
        <v>376</v>
      </c>
      <c r="Z39" t="s">
        <v>376</v>
      </c>
      <c r="AA39" t="s">
        <v>376</v>
      </c>
      <c r="AB39" t="s">
        <v>376</v>
      </c>
      <c r="AC39" t="s">
        <v>376</v>
      </c>
      <c r="AD39" t="s">
        <v>376</v>
      </c>
      <c r="AE39">
        <v>2</v>
      </c>
    </row>
    <row r="40" spans="1:31" x14ac:dyDescent="0.25">
      <c r="A40" s="19">
        <v>3</v>
      </c>
      <c r="B40" s="19">
        <v>28</v>
      </c>
      <c r="C40" s="19">
        <v>2</v>
      </c>
      <c r="D40" s="19">
        <v>27</v>
      </c>
      <c r="E40" s="19" t="s">
        <v>376</v>
      </c>
      <c r="F40" s="19">
        <v>1</v>
      </c>
      <c r="G40" s="19" t="s">
        <v>376</v>
      </c>
      <c r="H40" s="19">
        <v>1</v>
      </c>
      <c r="I40" s="19" t="s">
        <v>376</v>
      </c>
      <c r="J40" s="19">
        <v>1</v>
      </c>
      <c r="K40" s="19" t="s">
        <v>376</v>
      </c>
      <c r="L40" s="19">
        <v>1</v>
      </c>
      <c r="M40" s="19" t="s">
        <v>376</v>
      </c>
      <c r="N40" s="19">
        <v>1</v>
      </c>
      <c r="O40" s="19" t="s">
        <v>376</v>
      </c>
      <c r="P40" s="19">
        <v>1</v>
      </c>
      <c r="Q40" s="19" t="s">
        <v>376</v>
      </c>
      <c r="R40" s="19">
        <v>1</v>
      </c>
      <c r="S40" s="19" t="s">
        <v>376</v>
      </c>
      <c r="T40" s="16">
        <v>1</v>
      </c>
      <c r="U40" s="16">
        <v>1</v>
      </c>
      <c r="V40" s="16">
        <v>10</v>
      </c>
      <c r="W40" s="16" t="s">
        <v>376</v>
      </c>
      <c r="X40" s="16" t="s">
        <v>376</v>
      </c>
      <c r="Y40" t="s">
        <v>376</v>
      </c>
      <c r="Z40" t="s">
        <v>376</v>
      </c>
      <c r="AA40" t="s">
        <v>376</v>
      </c>
      <c r="AB40" t="s">
        <v>376</v>
      </c>
      <c r="AC40" t="s">
        <v>376</v>
      </c>
      <c r="AD40" t="s">
        <v>376</v>
      </c>
      <c r="AE40">
        <v>2</v>
      </c>
    </row>
    <row r="41" spans="1:31" x14ac:dyDescent="0.25">
      <c r="A41" s="19">
        <v>3</v>
      </c>
      <c r="B41" s="19">
        <v>32</v>
      </c>
      <c r="C41" s="19">
        <v>5</v>
      </c>
      <c r="D41" s="19">
        <v>32</v>
      </c>
      <c r="E41" s="19" t="s">
        <v>376</v>
      </c>
      <c r="F41" s="19">
        <v>1</v>
      </c>
      <c r="G41" s="19" t="s">
        <v>376</v>
      </c>
      <c r="H41" s="19">
        <v>1</v>
      </c>
      <c r="I41" s="19" t="s">
        <v>376</v>
      </c>
      <c r="J41" s="19">
        <v>1</v>
      </c>
      <c r="K41" s="19" t="s">
        <v>376</v>
      </c>
      <c r="L41" s="19">
        <v>1</v>
      </c>
      <c r="M41" s="19" t="s">
        <v>376</v>
      </c>
      <c r="N41" s="19">
        <v>1</v>
      </c>
      <c r="O41" s="19" t="s">
        <v>376</v>
      </c>
      <c r="P41" s="19">
        <v>1</v>
      </c>
      <c r="Q41" s="19" t="s">
        <v>376</v>
      </c>
      <c r="R41" s="19">
        <v>1</v>
      </c>
      <c r="S41" s="19" t="s">
        <v>376</v>
      </c>
      <c r="T41" s="16">
        <v>1</v>
      </c>
      <c r="U41" s="16">
        <v>3</v>
      </c>
      <c r="V41" s="16">
        <v>10</v>
      </c>
      <c r="W41" s="16" t="s">
        <v>376</v>
      </c>
      <c r="X41" s="16" t="s">
        <v>376</v>
      </c>
      <c r="Y41" t="s">
        <v>376</v>
      </c>
      <c r="Z41" t="s">
        <v>376</v>
      </c>
      <c r="AA41" t="s">
        <v>376</v>
      </c>
      <c r="AB41" t="s">
        <v>376</v>
      </c>
      <c r="AC41" t="s">
        <v>376</v>
      </c>
      <c r="AD41" t="s">
        <v>376</v>
      </c>
      <c r="AE41">
        <v>2</v>
      </c>
    </row>
    <row r="42" spans="1:31" x14ac:dyDescent="0.25">
      <c r="A42" s="19">
        <v>1</v>
      </c>
      <c r="B42" s="19">
        <v>24</v>
      </c>
      <c r="C42" s="19">
        <v>0</v>
      </c>
      <c r="D42" s="19">
        <v>23</v>
      </c>
      <c r="E42" s="19" t="s">
        <v>376</v>
      </c>
      <c r="F42" s="19">
        <v>1</v>
      </c>
      <c r="G42" s="19" t="s">
        <v>376</v>
      </c>
      <c r="H42" s="19">
        <v>1</v>
      </c>
      <c r="I42" s="19" t="s">
        <v>376</v>
      </c>
      <c r="J42" s="19">
        <v>1</v>
      </c>
      <c r="K42" s="19" t="s">
        <v>376</v>
      </c>
      <c r="L42" s="19">
        <v>1</v>
      </c>
      <c r="M42" s="19" t="s">
        <v>376</v>
      </c>
      <c r="N42" s="19">
        <v>1</v>
      </c>
      <c r="O42" s="19" t="s">
        <v>376</v>
      </c>
      <c r="P42" s="19">
        <v>1</v>
      </c>
      <c r="Q42" s="19" t="s">
        <v>376</v>
      </c>
      <c r="R42" s="19">
        <v>1</v>
      </c>
      <c r="S42" s="19" t="s">
        <v>376</v>
      </c>
      <c r="T42" s="16">
        <v>1</v>
      </c>
      <c r="U42" s="16">
        <v>1</v>
      </c>
      <c r="V42" s="16">
        <v>2</v>
      </c>
      <c r="W42" s="16" t="s">
        <v>376</v>
      </c>
      <c r="X42" s="16" t="s">
        <v>376</v>
      </c>
      <c r="Y42" t="s">
        <v>376</v>
      </c>
      <c r="Z42" t="s">
        <v>376</v>
      </c>
      <c r="AA42" t="s">
        <v>376</v>
      </c>
      <c r="AB42" t="s">
        <v>376</v>
      </c>
      <c r="AC42" t="s">
        <v>376</v>
      </c>
      <c r="AD42" t="s">
        <v>376</v>
      </c>
      <c r="AE42">
        <v>2</v>
      </c>
    </row>
    <row r="43" spans="1:31" x14ac:dyDescent="0.25">
      <c r="A43" s="20">
        <v>3</v>
      </c>
      <c r="B43" s="20">
        <v>19</v>
      </c>
      <c r="C43" s="20">
        <v>3</v>
      </c>
      <c r="D43" s="20">
        <v>16</v>
      </c>
      <c r="E43" s="20" t="s">
        <v>376</v>
      </c>
      <c r="F43" s="20">
        <v>1</v>
      </c>
      <c r="G43" s="20" t="s">
        <v>376</v>
      </c>
      <c r="H43" s="20">
        <v>1</v>
      </c>
      <c r="I43" s="20" t="s">
        <v>376</v>
      </c>
      <c r="J43" s="20">
        <v>1</v>
      </c>
      <c r="K43" s="20" t="s">
        <v>376</v>
      </c>
      <c r="L43" s="20">
        <v>1</v>
      </c>
      <c r="M43" s="20" t="s">
        <v>376</v>
      </c>
      <c r="N43" s="20">
        <v>1</v>
      </c>
      <c r="O43" s="20" t="s">
        <v>376</v>
      </c>
      <c r="P43" s="20">
        <v>1</v>
      </c>
      <c r="Q43" s="20" t="s">
        <v>376</v>
      </c>
      <c r="R43" s="20">
        <v>1</v>
      </c>
      <c r="S43" s="20" t="s">
        <v>376</v>
      </c>
      <c r="T43">
        <v>1</v>
      </c>
      <c r="U43">
        <v>1</v>
      </c>
      <c r="V43">
        <v>2</v>
      </c>
      <c r="W43" t="s">
        <v>376</v>
      </c>
      <c r="X43" t="s">
        <v>376</v>
      </c>
      <c r="Y43" t="s">
        <v>376</v>
      </c>
      <c r="Z43" t="s">
        <v>376</v>
      </c>
      <c r="AA43" t="s">
        <v>376</v>
      </c>
      <c r="AB43" t="s">
        <v>376</v>
      </c>
      <c r="AC43" t="s">
        <v>376</v>
      </c>
      <c r="AD43" t="s">
        <v>376</v>
      </c>
      <c r="AE43">
        <v>2</v>
      </c>
    </row>
    <row r="44" spans="1:31" x14ac:dyDescent="0.25">
      <c r="A44" s="20">
        <v>1</v>
      </c>
      <c r="B44" s="20">
        <v>18</v>
      </c>
      <c r="C44" s="20">
        <v>1</v>
      </c>
      <c r="D44" s="20">
        <v>16</v>
      </c>
      <c r="E44" s="20" t="s">
        <v>376</v>
      </c>
      <c r="F44" s="20">
        <v>1</v>
      </c>
      <c r="G44" s="20" t="s">
        <v>376</v>
      </c>
      <c r="H44" s="20">
        <v>1</v>
      </c>
      <c r="I44" s="20" t="s">
        <v>376</v>
      </c>
      <c r="J44" s="20">
        <v>1</v>
      </c>
      <c r="K44" s="20" t="s">
        <v>376</v>
      </c>
      <c r="L44" s="20">
        <v>1</v>
      </c>
      <c r="M44" s="20" t="s">
        <v>376</v>
      </c>
      <c r="N44" s="20">
        <v>1</v>
      </c>
      <c r="O44" s="20" t="s">
        <v>376</v>
      </c>
      <c r="P44" s="20">
        <v>1</v>
      </c>
      <c r="Q44" s="20" t="s">
        <v>376</v>
      </c>
      <c r="R44" s="20">
        <v>1</v>
      </c>
      <c r="S44" s="20" t="s">
        <v>376</v>
      </c>
      <c r="T44">
        <v>1</v>
      </c>
      <c r="U44">
        <v>1</v>
      </c>
      <c r="V44">
        <v>3</v>
      </c>
      <c r="W44" t="s">
        <v>376</v>
      </c>
      <c r="X44" t="s">
        <v>376</v>
      </c>
      <c r="Y44" t="s">
        <v>376</v>
      </c>
      <c r="Z44" t="s">
        <v>376</v>
      </c>
      <c r="AA44" t="s">
        <v>376</v>
      </c>
      <c r="AB44" t="s">
        <v>376</v>
      </c>
      <c r="AC44" t="s">
        <v>376</v>
      </c>
      <c r="AD44" t="s">
        <v>376</v>
      </c>
      <c r="AE44">
        <v>2</v>
      </c>
    </row>
    <row r="45" spans="1:31" x14ac:dyDescent="0.25">
      <c r="A45" s="20">
        <v>3</v>
      </c>
      <c r="B45" s="20">
        <v>73</v>
      </c>
      <c r="C45" s="20">
        <v>4</v>
      </c>
      <c r="D45" s="20">
        <v>71</v>
      </c>
      <c r="E45" s="20" t="s">
        <v>376</v>
      </c>
      <c r="F45" s="20">
        <v>1</v>
      </c>
      <c r="G45" s="20" t="s">
        <v>376</v>
      </c>
      <c r="H45" s="20">
        <v>1</v>
      </c>
      <c r="I45" s="20" t="s">
        <v>376</v>
      </c>
      <c r="J45" s="20">
        <v>1</v>
      </c>
      <c r="K45" s="20" t="s">
        <v>376</v>
      </c>
      <c r="L45" s="20">
        <v>1</v>
      </c>
      <c r="M45" s="20" t="s">
        <v>376</v>
      </c>
      <c r="N45" s="20">
        <v>1</v>
      </c>
      <c r="O45" s="20" t="s">
        <v>376</v>
      </c>
      <c r="P45" s="20">
        <v>1</v>
      </c>
      <c r="Q45" s="20" t="s">
        <v>376</v>
      </c>
      <c r="R45" s="20">
        <v>1</v>
      </c>
      <c r="S45" s="20" t="s">
        <v>376</v>
      </c>
      <c r="T45">
        <v>1</v>
      </c>
      <c r="U45">
        <v>1</v>
      </c>
      <c r="V45">
        <v>2</v>
      </c>
      <c r="W45" t="s">
        <v>376</v>
      </c>
      <c r="X45" t="s">
        <v>376</v>
      </c>
      <c r="Y45" t="s">
        <v>376</v>
      </c>
      <c r="Z45" t="s">
        <v>376</v>
      </c>
      <c r="AA45" t="s">
        <v>376</v>
      </c>
      <c r="AB45" t="s">
        <v>376</v>
      </c>
      <c r="AC45" t="s">
        <v>376</v>
      </c>
      <c r="AD45" t="s">
        <v>376</v>
      </c>
      <c r="AE45">
        <v>2</v>
      </c>
    </row>
    <row r="46" spans="1:31" x14ac:dyDescent="0.25">
      <c r="A46" s="20">
        <v>5</v>
      </c>
      <c r="B46" s="20">
        <v>43</v>
      </c>
      <c r="C46" s="20">
        <v>4</v>
      </c>
      <c r="D46" s="20">
        <v>44</v>
      </c>
      <c r="E46" s="20" t="s">
        <v>376</v>
      </c>
      <c r="F46" s="20">
        <v>1</v>
      </c>
      <c r="G46" s="20" t="s">
        <v>376</v>
      </c>
      <c r="H46" s="20">
        <v>1</v>
      </c>
      <c r="I46" s="20" t="s">
        <v>376</v>
      </c>
      <c r="J46" s="20">
        <v>1</v>
      </c>
      <c r="K46" s="20" t="s">
        <v>376</v>
      </c>
      <c r="L46" s="20">
        <v>1</v>
      </c>
      <c r="M46" s="20" t="s">
        <v>376</v>
      </c>
      <c r="N46" s="20">
        <v>1</v>
      </c>
      <c r="O46" s="20" t="s">
        <v>376</v>
      </c>
      <c r="P46" s="20">
        <v>1</v>
      </c>
      <c r="Q46" s="20" t="s">
        <v>376</v>
      </c>
      <c r="R46" s="20">
        <v>1</v>
      </c>
      <c r="S46" s="20" t="s">
        <v>376</v>
      </c>
      <c r="T46">
        <v>1</v>
      </c>
      <c r="U46">
        <v>3</v>
      </c>
      <c r="V46">
        <v>4</v>
      </c>
      <c r="W46" t="s">
        <v>376</v>
      </c>
      <c r="X46" t="s">
        <v>376</v>
      </c>
      <c r="Y46" t="s">
        <v>376</v>
      </c>
      <c r="Z46" t="s">
        <v>376</v>
      </c>
      <c r="AA46" t="s">
        <v>376</v>
      </c>
      <c r="AB46" t="s">
        <v>376</v>
      </c>
      <c r="AC46" t="s">
        <v>376</v>
      </c>
      <c r="AD46" t="s">
        <v>376</v>
      </c>
      <c r="AE46">
        <v>2</v>
      </c>
    </row>
    <row r="47" spans="1:31" x14ac:dyDescent="0.25">
      <c r="A47" s="20" t="s">
        <v>377</v>
      </c>
      <c r="B47" s="20"/>
      <c r="C47" s="20"/>
      <c r="D47" s="20"/>
      <c r="E47" s="20"/>
      <c r="F47" s="20"/>
      <c r="G47" s="20"/>
      <c r="H47" s="20"/>
      <c r="I47" s="20"/>
      <c r="J47" s="20"/>
      <c r="K47" s="20"/>
      <c r="L47" s="20"/>
      <c r="M47" s="20"/>
      <c r="N47" s="20"/>
      <c r="O47" s="20"/>
      <c r="P47" s="20"/>
      <c r="Q47" s="20"/>
      <c r="R47" s="20"/>
      <c r="S47" s="20"/>
    </row>
    <row r="48" spans="1:31"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16 2018 3 42 07 PM.txt')</v>
      </c>
    </row>
    <row r="46" spans="1:1" x14ac:dyDescent="0.25">
      <c r="A46" t="str">
        <f ca="1">IF(auto_run,CONCATENATE("save('",SUBSTITUTE(results_directory,"\","/"),FEresults_name,TEXT(date_time," m d yyyy h mm ss AM/PM"),".odc')"),"")</f>
        <v>save('C:/WinBUGS Results/Fixed Effect Results 1 16 2018 3 42 07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update(40000)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16 2018 3 42 07 PM.txt')</v>
      </c>
    </row>
    <row r="46" spans="1:1" x14ac:dyDescent="0.25">
      <c r="A46" t="str">
        <f ca="1">IF(auto_run,CONCATENATE("save('",SUBSTITUTE(results_directory,"\","/"),REresults_name,TEXT(date_time," m d yyyy h mm ss AM/PM"),".odc')"),"")</f>
        <v>save('C:/WinBUGS Results/Random Effect Results (Vague ) 1 16 2018 3 42 07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update(40000)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16 2018 3 42 07 PM.txt')</v>
      </c>
    </row>
    <row r="32" spans="1:1" x14ac:dyDescent="0.25">
      <c r="A32" t="str">
        <f ca="1">IF(auto_run,CONCATENATE("save('",SUBSTITUTE(results_directory,"\","/"),"Inconsistency ",FEresults_name,TEXT(date_time," m d yyyy h mm ss AM/PM"),".odc')"),"")</f>
        <v>save('C:/WinBUGS Results/Inconsistency Fixed Effect Results 1 16 2018 3 42 07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update(40000)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update(40000)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16 2018 3 42 07 PM.txt')</v>
      </c>
    </row>
    <row r="31" spans="1:1" x14ac:dyDescent="0.25">
      <c r="A31" t="str">
        <f ca="1">IF(auto_run,CONCATENATE("save('",SUBSTITUTE(results_directory,"\","/"),"Inconsistency ",REresults_name,TEXT(date_time," m d yyyy h mm ss AM/PM"),".odc')"),"")</f>
        <v>save('C:/WinBUGS Results/Inconsistency Random Effect Results (Vague ) 1 16 2018 3 42 07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357</v>
      </c>
      <c r="B5" s="54">
        <v>7</v>
      </c>
      <c r="C5" s="54">
        <v>2.63</v>
      </c>
      <c r="E5" s="19">
        <v>5</v>
      </c>
      <c r="F5" s="59">
        <v>1</v>
      </c>
      <c r="G5" s="54" t="s">
        <v>752</v>
      </c>
      <c r="H5" s="16">
        <v>0.17649999999999999</v>
      </c>
      <c r="I5" s="16">
        <v>0.97650000000000003</v>
      </c>
      <c r="J5" s="16">
        <v>6.0359999999999996</v>
      </c>
      <c r="K5" s="59" t="str">
        <f t="shared" ref="K5:K49" si="0">CONCATENATE(TEXT(I5,"0.00")," (",TEXT(H5,"0.00")," – ",TEXT(J5,"0.00"),")")</f>
        <v>0.98 (0.18 – 6.04)</v>
      </c>
      <c r="L5" s="16" t="str">
        <f t="shared" ref="L5:L49" si="1">CONCATENATE(TEXT(I5,"0.00"),"
(",TEXT(H5,"0.00")," – ",TEXT(J5,"0.00"),")")</f>
        <v>0.98
(0.18 – 6.04)</v>
      </c>
      <c r="N5" s="59" t="s">
        <v>426</v>
      </c>
      <c r="O5" s="104" t="s">
        <v>749</v>
      </c>
      <c r="P5">
        <v>0.41720000000000002</v>
      </c>
      <c r="Q5">
        <v>0.68489999999999995</v>
      </c>
      <c r="R5">
        <v>1.1200000000000001</v>
      </c>
      <c r="S5">
        <v>2</v>
      </c>
      <c r="T5">
        <v>1</v>
      </c>
    </row>
    <row r="6" spans="1:20" x14ac:dyDescent="0.25">
      <c r="A6" t="s">
        <v>356</v>
      </c>
      <c r="B6" s="54">
        <v>6</v>
      </c>
      <c r="C6" s="54">
        <v>3.2370000000000001</v>
      </c>
      <c r="E6" s="57">
        <v>8</v>
      </c>
      <c r="F6" s="57">
        <v>4</v>
      </c>
      <c r="G6" s="57" t="s">
        <v>776</v>
      </c>
      <c r="H6" s="57">
        <v>0.20810000000000001</v>
      </c>
      <c r="I6" s="57">
        <v>0.95789999999999997</v>
      </c>
      <c r="J6" s="57">
        <v>4.3150000000000004</v>
      </c>
      <c r="K6" s="59" t="str">
        <f t="shared" si="0"/>
        <v>0.96 (0.21 – 4.32)</v>
      </c>
      <c r="L6" s="16" t="str">
        <f t="shared" si="1"/>
        <v>0.96
(0.21 – 4.32)</v>
      </c>
      <c r="N6" s="59" t="s">
        <v>427</v>
      </c>
      <c r="O6" s="16" t="s">
        <v>750</v>
      </c>
      <c r="P6">
        <v>0.21679999999999999</v>
      </c>
      <c r="Q6">
        <v>0.4123</v>
      </c>
      <c r="R6">
        <v>0.76129999999999998</v>
      </c>
      <c r="S6">
        <v>3</v>
      </c>
      <c r="T6">
        <v>1</v>
      </c>
    </row>
    <row r="7" spans="1:20" x14ac:dyDescent="0.25">
      <c r="A7" t="s">
        <v>353</v>
      </c>
      <c r="B7" s="19">
        <v>3</v>
      </c>
      <c r="C7" s="19">
        <v>3.6110000000000002</v>
      </c>
      <c r="E7" s="19">
        <v>3</v>
      </c>
      <c r="F7" s="19">
        <v>8</v>
      </c>
      <c r="G7" s="19" t="s">
        <v>801</v>
      </c>
      <c r="H7" s="19">
        <v>0.25913449080072559</v>
      </c>
      <c r="I7" s="19">
        <v>0.93632958801498123</v>
      </c>
      <c r="J7" s="19">
        <v>3.4965034965034967</v>
      </c>
      <c r="K7" s="59" t="str">
        <f t="shared" si="0"/>
        <v>0.94 (0.26 – 3.50)</v>
      </c>
      <c r="L7" s="16" t="str">
        <f t="shared" si="1"/>
        <v>0.94
(0.26 – 3.50)</v>
      </c>
      <c r="N7" s="59" t="s">
        <v>428</v>
      </c>
      <c r="O7" s="16" t="s">
        <v>751</v>
      </c>
      <c r="P7">
        <v>0.1706</v>
      </c>
      <c r="Q7">
        <v>0.45989999999999998</v>
      </c>
      <c r="R7">
        <v>1.21</v>
      </c>
      <c r="S7">
        <v>4</v>
      </c>
      <c r="T7">
        <v>1</v>
      </c>
    </row>
    <row r="8" spans="1:20" x14ac:dyDescent="0.25">
      <c r="A8" t="s">
        <v>358</v>
      </c>
      <c r="B8" s="54">
        <v>8</v>
      </c>
      <c r="C8" s="54">
        <v>4.2409999999999997</v>
      </c>
      <c r="E8" s="19">
        <v>3</v>
      </c>
      <c r="F8" s="19">
        <v>4</v>
      </c>
      <c r="G8" s="19" t="s">
        <v>875</v>
      </c>
      <c r="H8" s="19">
        <v>0.38066235249333846</v>
      </c>
      <c r="I8" s="19">
        <v>0.89525514771709935</v>
      </c>
      <c r="J8" s="19">
        <v>2.1186440677966103</v>
      </c>
      <c r="K8" s="59" t="str">
        <f t="shared" si="0"/>
        <v>0.90 (0.38 – 2.12)</v>
      </c>
      <c r="L8" s="16" t="str">
        <f t="shared" si="1"/>
        <v>0.90
(0.38 – 2.12)</v>
      </c>
      <c r="N8" s="59" t="s">
        <v>429</v>
      </c>
      <c r="O8" s="16" t="s">
        <v>752</v>
      </c>
      <c r="P8">
        <v>0.17649999999999999</v>
      </c>
      <c r="Q8">
        <v>0.97650000000000003</v>
      </c>
      <c r="R8">
        <v>6.0359999999999996</v>
      </c>
      <c r="S8">
        <v>5</v>
      </c>
      <c r="T8">
        <v>1</v>
      </c>
    </row>
    <row r="9" spans="1:20" x14ac:dyDescent="0.25">
      <c r="A9" t="s">
        <v>354</v>
      </c>
      <c r="B9" s="54">
        <v>4</v>
      </c>
      <c r="C9" s="54">
        <v>4.3579999999999997</v>
      </c>
      <c r="E9" s="57">
        <v>10</v>
      </c>
      <c r="F9" s="57">
        <v>2</v>
      </c>
      <c r="G9" s="57" t="s">
        <v>765</v>
      </c>
      <c r="H9" s="57">
        <v>0.47010000000000002</v>
      </c>
      <c r="I9" s="57">
        <v>0.89229999999999998</v>
      </c>
      <c r="J9" s="57">
        <v>1.6879999999999999</v>
      </c>
      <c r="K9" s="59" t="str">
        <f t="shared" si="0"/>
        <v>0.89 (0.47 – 1.69)</v>
      </c>
      <c r="L9" s="16" t="str">
        <f t="shared" si="1"/>
        <v>0.89
(0.47 – 1.69)</v>
      </c>
      <c r="N9" s="59" t="s">
        <v>430</v>
      </c>
      <c r="O9" s="16" t="s">
        <v>753</v>
      </c>
      <c r="P9">
        <v>5.9639999999999999E-2</v>
      </c>
      <c r="Q9">
        <v>0.30620000000000003</v>
      </c>
      <c r="R9">
        <v>1.55</v>
      </c>
      <c r="S9">
        <v>6</v>
      </c>
      <c r="T9">
        <v>1</v>
      </c>
    </row>
    <row r="10" spans="1:20" x14ac:dyDescent="0.25">
      <c r="A10" t="s">
        <v>360</v>
      </c>
      <c r="B10" s="19">
        <v>10</v>
      </c>
      <c r="C10" s="19">
        <v>5.6420000000000003</v>
      </c>
      <c r="E10" s="19">
        <v>7</v>
      </c>
      <c r="F10" s="19">
        <v>6</v>
      </c>
      <c r="G10" s="19" t="s">
        <v>784</v>
      </c>
      <c r="H10" s="19">
        <v>8.5449999999999998E-2</v>
      </c>
      <c r="I10" s="19">
        <v>0.82589999999999997</v>
      </c>
      <c r="J10" s="19">
        <v>7.319</v>
      </c>
      <c r="K10" s="59" t="str">
        <f t="shared" si="0"/>
        <v>0.83 (0.09 – 7.32)</v>
      </c>
      <c r="L10" s="16" t="str">
        <f t="shared" si="1"/>
        <v>0.83
(0.09 – 7.32)</v>
      </c>
      <c r="N10" s="59" t="s">
        <v>431</v>
      </c>
      <c r="O10" s="16" t="s">
        <v>754</v>
      </c>
      <c r="P10">
        <v>4.6940000000000003E-2</v>
      </c>
      <c r="Q10">
        <v>0.25800000000000001</v>
      </c>
      <c r="R10">
        <v>1.1220000000000001</v>
      </c>
      <c r="S10">
        <v>7</v>
      </c>
      <c r="T10">
        <v>1</v>
      </c>
    </row>
    <row r="11" spans="1:20" x14ac:dyDescent="0.25">
      <c r="A11" t="s">
        <v>352</v>
      </c>
      <c r="B11" s="54">
        <v>2</v>
      </c>
      <c r="C11" s="54">
        <v>6.3</v>
      </c>
      <c r="E11" s="19">
        <v>4</v>
      </c>
      <c r="F11" s="19">
        <v>10</v>
      </c>
      <c r="G11" s="19" t="s">
        <v>799</v>
      </c>
      <c r="H11" s="19">
        <v>0.25220680958385877</v>
      </c>
      <c r="I11" s="19">
        <v>0.75075075075075071</v>
      </c>
      <c r="J11" s="19">
        <v>2.2261798753339272</v>
      </c>
      <c r="K11" s="59" t="str">
        <f t="shared" si="0"/>
        <v>0.75 (0.25 – 2.23)</v>
      </c>
      <c r="L11" s="16" t="str">
        <f t="shared" si="1"/>
        <v>0.75
(0.25 – 2.23)</v>
      </c>
      <c r="N11" s="59" t="s">
        <v>432</v>
      </c>
      <c r="O11" s="16" t="s">
        <v>755</v>
      </c>
      <c r="P11">
        <v>0.1255</v>
      </c>
      <c r="Q11">
        <v>0.44059999999999999</v>
      </c>
      <c r="R11">
        <v>1.468</v>
      </c>
      <c r="S11">
        <v>8</v>
      </c>
      <c r="T11">
        <v>1</v>
      </c>
    </row>
    <row r="12" spans="1:20" x14ac:dyDescent="0.25">
      <c r="A12" t="s">
        <v>355</v>
      </c>
      <c r="B12" s="19">
        <v>5</v>
      </c>
      <c r="C12" s="19">
        <v>7.2939999999999996</v>
      </c>
      <c r="E12" s="19">
        <v>6</v>
      </c>
      <c r="F12" s="19">
        <v>3</v>
      </c>
      <c r="G12" s="19" t="s">
        <v>768</v>
      </c>
      <c r="H12" s="19">
        <v>0.1638</v>
      </c>
      <c r="I12" s="19">
        <v>0.74960000000000004</v>
      </c>
      <c r="J12" s="19">
        <v>3.3090000000000002</v>
      </c>
      <c r="K12" s="59" t="str">
        <f t="shared" si="0"/>
        <v>0.75 (0.16 – 3.31)</v>
      </c>
      <c r="L12" s="16" t="str">
        <f t="shared" si="1"/>
        <v>0.75
(0.16 – 3.31)</v>
      </c>
      <c r="N12" s="59" t="s">
        <v>433</v>
      </c>
      <c r="O12" s="16" t="s">
        <v>756</v>
      </c>
      <c r="P12">
        <v>0.92589999999999995</v>
      </c>
      <c r="Q12">
        <v>1.5249999999999999</v>
      </c>
      <c r="R12">
        <v>2.5449999999999999</v>
      </c>
      <c r="S12">
        <v>9</v>
      </c>
      <c r="T12">
        <v>1</v>
      </c>
    </row>
    <row r="13" spans="1:20" x14ac:dyDescent="0.25">
      <c r="A13" t="s">
        <v>351</v>
      </c>
      <c r="B13" s="19">
        <v>1</v>
      </c>
      <c r="C13" s="19">
        <v>8.1590000000000007</v>
      </c>
      <c r="E13" s="19">
        <v>8</v>
      </c>
      <c r="F13" s="59">
        <v>10</v>
      </c>
      <c r="G13" s="54" t="s">
        <v>804</v>
      </c>
      <c r="H13" s="16">
        <v>0.19171779141104295</v>
      </c>
      <c r="I13" s="16">
        <v>0.72098053352559477</v>
      </c>
      <c r="J13" s="16">
        <v>2.6055237102657638</v>
      </c>
      <c r="K13" s="59" t="str">
        <f t="shared" si="0"/>
        <v>0.72 (0.19 – 2.61)</v>
      </c>
      <c r="L13" s="16" t="str">
        <f t="shared" si="1"/>
        <v>0.72
(0.19 – 2.61)</v>
      </c>
      <c r="N13" s="59" t="s">
        <v>434</v>
      </c>
      <c r="O13" s="16" t="s">
        <v>757</v>
      </c>
      <c r="P13">
        <v>0.31059999999999999</v>
      </c>
      <c r="Q13">
        <v>0.6109</v>
      </c>
      <c r="R13">
        <v>1.1930000000000001</v>
      </c>
      <c r="S13">
        <v>10</v>
      </c>
      <c r="T13">
        <v>1</v>
      </c>
    </row>
    <row r="14" spans="1:20" x14ac:dyDescent="0.25">
      <c r="A14" t="s">
        <v>359</v>
      </c>
      <c r="B14" s="19">
        <v>9</v>
      </c>
      <c r="C14" s="19">
        <v>9.5289999999999999</v>
      </c>
      <c r="E14" s="57">
        <v>2</v>
      </c>
      <c r="F14" s="57">
        <v>5</v>
      </c>
      <c r="G14" s="57" t="s">
        <v>879</v>
      </c>
      <c r="H14" s="57">
        <v>0.12096286440062902</v>
      </c>
      <c r="I14" s="57">
        <v>0.70372976776917662</v>
      </c>
      <c r="J14" s="57">
        <v>3.652300949598247</v>
      </c>
      <c r="K14" s="59" t="str">
        <f t="shared" si="0"/>
        <v>0.70 (0.12 – 3.65)</v>
      </c>
      <c r="L14" s="16" t="str">
        <f t="shared" si="1"/>
        <v>0.70
(0.12 – 3.65)</v>
      </c>
      <c r="N14" s="59" t="s">
        <v>435</v>
      </c>
      <c r="O14" s="16" t="s">
        <v>758</v>
      </c>
      <c r="P14">
        <v>0.31030000000000002</v>
      </c>
      <c r="Q14">
        <v>0.60160000000000002</v>
      </c>
      <c r="R14">
        <v>1.1399999999999999</v>
      </c>
      <c r="S14">
        <v>3</v>
      </c>
      <c r="T14">
        <v>2</v>
      </c>
    </row>
    <row r="15" spans="1:20" ht="15" customHeight="1" x14ac:dyDescent="0.25">
      <c r="E15" s="19">
        <v>6</v>
      </c>
      <c r="F15" s="19">
        <v>8</v>
      </c>
      <c r="G15" s="19" t="s">
        <v>795</v>
      </c>
      <c r="H15" s="19">
        <v>9.569377990430622E-2</v>
      </c>
      <c r="I15" s="19">
        <v>0.69735006973500702</v>
      </c>
      <c r="J15" s="19">
        <v>5.1546391752577314</v>
      </c>
      <c r="K15" s="59" t="str">
        <f t="shared" si="0"/>
        <v>0.70 (0.10 – 5.15)</v>
      </c>
      <c r="L15" s="16" t="str">
        <f t="shared" si="1"/>
        <v>0.70
(0.10 – 5.15)</v>
      </c>
      <c r="N15" s="59" t="s">
        <v>436</v>
      </c>
      <c r="O15" s="16" t="s">
        <v>759</v>
      </c>
      <c r="P15">
        <v>0.24079999999999999</v>
      </c>
      <c r="Q15">
        <v>0.67069999999999996</v>
      </c>
      <c r="R15">
        <v>1.8420000000000001</v>
      </c>
      <c r="S15">
        <v>4</v>
      </c>
      <c r="T15">
        <v>2</v>
      </c>
    </row>
    <row r="16" spans="1:20" ht="15" customHeight="1" x14ac:dyDescent="0.25">
      <c r="E16" s="19">
        <v>2</v>
      </c>
      <c r="F16" s="19">
        <v>1</v>
      </c>
      <c r="G16" s="19" t="s">
        <v>749</v>
      </c>
      <c r="H16" s="19">
        <v>0.41720000000000002</v>
      </c>
      <c r="I16" s="19">
        <v>0.68489999999999995</v>
      </c>
      <c r="J16" s="19">
        <v>1.1200000000000001</v>
      </c>
      <c r="K16" s="59" t="str">
        <f t="shared" si="0"/>
        <v>0.68 (0.42 – 1.12)</v>
      </c>
      <c r="L16" s="16" t="str">
        <f t="shared" si="1"/>
        <v>0.68
(0.42 – 1.12)</v>
      </c>
      <c r="N16" s="59" t="s">
        <v>437</v>
      </c>
      <c r="O16" s="16" t="s">
        <v>760</v>
      </c>
      <c r="P16">
        <v>0.27379999999999999</v>
      </c>
      <c r="Q16">
        <v>1.421</v>
      </c>
      <c r="R16">
        <v>8.2669999999999995</v>
      </c>
      <c r="S16">
        <v>5</v>
      </c>
      <c r="T16">
        <v>2</v>
      </c>
    </row>
    <row r="17" spans="5:20" ht="15" customHeight="1" x14ac:dyDescent="0.25">
      <c r="E17" s="19">
        <v>3</v>
      </c>
      <c r="F17" s="19">
        <v>10</v>
      </c>
      <c r="G17" s="19" t="s">
        <v>802</v>
      </c>
      <c r="H17" s="19">
        <v>0.31456432840515886</v>
      </c>
      <c r="I17" s="19">
        <v>0.67430883344571813</v>
      </c>
      <c r="J17" s="19">
        <v>1.4208581983518045</v>
      </c>
      <c r="K17" s="59" t="str">
        <f t="shared" si="0"/>
        <v>0.67 (0.31 – 1.42)</v>
      </c>
      <c r="L17" s="16" t="str">
        <f t="shared" si="1"/>
        <v>0.67
(0.31 – 1.42)</v>
      </c>
      <c r="N17" s="59" t="s">
        <v>438</v>
      </c>
      <c r="O17" s="16" t="s">
        <v>761</v>
      </c>
      <c r="P17">
        <v>8.5540000000000005E-2</v>
      </c>
      <c r="Q17">
        <v>0.44819999999999999</v>
      </c>
      <c r="R17">
        <v>2.2639999999999998</v>
      </c>
      <c r="S17">
        <v>6</v>
      </c>
      <c r="T17">
        <v>2</v>
      </c>
    </row>
    <row r="18" spans="5:20" ht="15" customHeight="1" x14ac:dyDescent="0.25">
      <c r="E18" s="57">
        <v>6</v>
      </c>
      <c r="F18" s="57">
        <v>4</v>
      </c>
      <c r="G18" s="57" t="s">
        <v>774</v>
      </c>
      <c r="H18" s="57">
        <v>0.1171</v>
      </c>
      <c r="I18" s="57">
        <v>0.67190000000000005</v>
      </c>
      <c r="J18" s="57">
        <v>3.734</v>
      </c>
      <c r="K18" s="59" t="str">
        <f t="shared" si="0"/>
        <v>0.67 (0.12 – 3.73)</v>
      </c>
      <c r="L18" s="16" t="str">
        <f t="shared" si="1"/>
        <v>0.67
(0.12 – 3.73)</v>
      </c>
      <c r="N18" s="59" t="s">
        <v>439</v>
      </c>
      <c r="O18" s="16" t="s">
        <v>762</v>
      </c>
      <c r="P18">
        <v>7.3190000000000005E-2</v>
      </c>
      <c r="Q18">
        <v>0.37740000000000001</v>
      </c>
      <c r="R18">
        <v>1.4990000000000001</v>
      </c>
      <c r="S18">
        <v>7</v>
      </c>
      <c r="T18">
        <v>2</v>
      </c>
    </row>
    <row r="19" spans="5:20" ht="15" customHeight="1" x14ac:dyDescent="0.25">
      <c r="E19" s="19">
        <v>4</v>
      </c>
      <c r="F19" s="19">
        <v>2</v>
      </c>
      <c r="G19" s="19" t="s">
        <v>759</v>
      </c>
      <c r="H19" s="19">
        <v>0.24079999999999999</v>
      </c>
      <c r="I19" s="19">
        <v>0.67069999999999996</v>
      </c>
      <c r="J19" s="19">
        <v>1.8420000000000001</v>
      </c>
      <c r="K19" s="59" t="str">
        <f t="shared" si="0"/>
        <v>0.67 (0.24 – 1.84)</v>
      </c>
      <c r="L19" s="16" t="str">
        <f t="shared" si="1"/>
        <v>0.67
(0.24 – 1.84)</v>
      </c>
      <c r="N19" s="59" t="s">
        <v>440</v>
      </c>
      <c r="O19" s="16" t="s">
        <v>763</v>
      </c>
      <c r="P19">
        <v>0.20080000000000001</v>
      </c>
      <c r="Q19">
        <v>0.64219999999999999</v>
      </c>
      <c r="R19">
        <v>1.9690000000000001</v>
      </c>
      <c r="S19">
        <v>8</v>
      </c>
      <c r="T19">
        <v>2</v>
      </c>
    </row>
    <row r="20" spans="5:20" ht="15" customHeight="1" x14ac:dyDescent="0.25">
      <c r="E20" s="19">
        <v>1</v>
      </c>
      <c r="F20" s="59">
        <v>9</v>
      </c>
      <c r="G20" s="54" t="s">
        <v>803</v>
      </c>
      <c r="H20" s="16">
        <v>0.39292730844793716</v>
      </c>
      <c r="I20" s="16">
        <v>0.65573770491803285</v>
      </c>
      <c r="J20" s="16">
        <v>1.0800302408467437</v>
      </c>
      <c r="K20" s="59" t="str">
        <f t="shared" si="0"/>
        <v>0.66 (0.39 – 1.08)</v>
      </c>
      <c r="L20" s="16" t="str">
        <f t="shared" si="1"/>
        <v>0.66
(0.39 – 1.08)</v>
      </c>
      <c r="N20" s="59" t="s">
        <v>441</v>
      </c>
      <c r="O20" s="16" t="s">
        <v>764</v>
      </c>
      <c r="P20">
        <v>1.125</v>
      </c>
      <c r="Q20">
        <v>2.2269999999999999</v>
      </c>
      <c r="R20">
        <v>4.431</v>
      </c>
      <c r="S20">
        <v>9</v>
      </c>
      <c r="T20">
        <v>2</v>
      </c>
    </row>
    <row r="21" spans="5:20" ht="15" customHeight="1" x14ac:dyDescent="0.25">
      <c r="E21" s="19">
        <v>8</v>
      </c>
      <c r="F21" s="59">
        <v>2</v>
      </c>
      <c r="G21" s="54" t="s">
        <v>763</v>
      </c>
      <c r="H21" s="16">
        <v>0.20080000000000001</v>
      </c>
      <c r="I21" s="16">
        <v>0.64219999999999999</v>
      </c>
      <c r="J21" s="16">
        <v>1.9690000000000001</v>
      </c>
      <c r="K21" s="59" t="str">
        <f t="shared" si="0"/>
        <v>0.64 (0.20 – 1.97)</v>
      </c>
      <c r="L21" s="16" t="str">
        <f t="shared" si="1"/>
        <v>0.64
(0.20 – 1.97)</v>
      </c>
      <c r="N21" s="59" t="s">
        <v>442</v>
      </c>
      <c r="O21" s="16" t="s">
        <v>765</v>
      </c>
      <c r="P21">
        <v>0.47010000000000002</v>
      </c>
      <c r="Q21">
        <v>0.89229999999999998</v>
      </c>
      <c r="R21">
        <v>1.6879999999999999</v>
      </c>
      <c r="S21">
        <v>10</v>
      </c>
      <c r="T21">
        <v>2</v>
      </c>
    </row>
    <row r="22" spans="5:20" ht="15" customHeight="1" x14ac:dyDescent="0.25">
      <c r="E22" s="19">
        <v>5</v>
      </c>
      <c r="F22" s="19">
        <v>9</v>
      </c>
      <c r="G22" s="19" t="s">
        <v>797</v>
      </c>
      <c r="H22" s="19">
        <v>0.107342206955775</v>
      </c>
      <c r="I22" s="19">
        <v>0.63897763578274758</v>
      </c>
      <c r="J22" s="19">
        <v>4.1946308724832218</v>
      </c>
      <c r="K22" s="59" t="str">
        <f t="shared" si="0"/>
        <v>0.64 (0.11 – 4.19)</v>
      </c>
      <c r="L22" s="16" t="str">
        <f t="shared" si="1"/>
        <v>0.64
(0.11 – 4.19)</v>
      </c>
      <c r="N22" s="59" t="s">
        <v>443</v>
      </c>
      <c r="O22" s="16" t="s">
        <v>766</v>
      </c>
      <c r="P22">
        <v>0.47199999999999998</v>
      </c>
      <c r="Q22">
        <v>1.117</v>
      </c>
      <c r="R22">
        <v>2.6269999999999998</v>
      </c>
      <c r="S22">
        <v>4</v>
      </c>
      <c r="T22">
        <v>3</v>
      </c>
    </row>
    <row r="23" spans="5:20" ht="15" customHeight="1" x14ac:dyDescent="0.25">
      <c r="E23" s="19">
        <v>10</v>
      </c>
      <c r="F23" s="19">
        <v>5</v>
      </c>
      <c r="G23" s="19" t="s">
        <v>783</v>
      </c>
      <c r="H23" s="19">
        <v>9.5560000000000006E-2</v>
      </c>
      <c r="I23" s="19">
        <v>0.62619999999999998</v>
      </c>
      <c r="J23" s="19">
        <v>3.661</v>
      </c>
      <c r="K23" s="59" t="str">
        <f t="shared" si="0"/>
        <v>0.63 (0.10 – 3.66)</v>
      </c>
      <c r="L23" s="16" t="str">
        <f t="shared" si="1"/>
        <v>0.63
(0.10 – 3.66)</v>
      </c>
      <c r="N23" s="59" t="s">
        <v>444</v>
      </c>
      <c r="O23" s="16" t="s">
        <v>767</v>
      </c>
      <c r="P23">
        <v>0.40620000000000001</v>
      </c>
      <c r="Q23">
        <v>2.3759999999999999</v>
      </c>
      <c r="R23">
        <v>15.56</v>
      </c>
      <c r="S23">
        <v>5</v>
      </c>
      <c r="T23">
        <v>3</v>
      </c>
    </row>
    <row r="24" spans="5:20" ht="15" customHeight="1" x14ac:dyDescent="0.25">
      <c r="E24" s="19">
        <v>7</v>
      </c>
      <c r="F24" s="19">
        <v>3</v>
      </c>
      <c r="G24" s="19" t="s">
        <v>769</v>
      </c>
      <c r="H24" s="19">
        <v>0.10979999999999999</v>
      </c>
      <c r="I24" s="19">
        <v>0.62529999999999997</v>
      </c>
      <c r="J24" s="19">
        <v>2.9169999999999998</v>
      </c>
      <c r="K24" s="59" t="str">
        <f t="shared" si="0"/>
        <v>0.63 (0.11 – 2.92)</v>
      </c>
      <c r="L24" s="16" t="str">
        <f t="shared" si="1"/>
        <v>0.63
(0.11 – 2.92)</v>
      </c>
      <c r="N24" s="59" t="s">
        <v>445</v>
      </c>
      <c r="O24" s="16" t="s">
        <v>768</v>
      </c>
      <c r="P24">
        <v>0.1638</v>
      </c>
      <c r="Q24">
        <v>0.74960000000000004</v>
      </c>
      <c r="R24">
        <v>3.3090000000000002</v>
      </c>
      <c r="S24">
        <v>6</v>
      </c>
      <c r="T24">
        <v>3</v>
      </c>
    </row>
    <row r="25" spans="5:20" ht="15" customHeight="1" x14ac:dyDescent="0.25">
      <c r="E25" s="19">
        <v>10</v>
      </c>
      <c r="F25" s="19">
        <v>1</v>
      </c>
      <c r="G25" s="19" t="s">
        <v>757</v>
      </c>
      <c r="H25" s="19">
        <v>0.31059999999999999</v>
      </c>
      <c r="I25" s="19">
        <v>0.6109</v>
      </c>
      <c r="J25" s="19">
        <v>1.1930000000000001</v>
      </c>
      <c r="K25" s="59" t="str">
        <f t="shared" si="0"/>
        <v>0.61 (0.31 – 1.19)</v>
      </c>
      <c r="L25" s="16" t="str">
        <f t="shared" si="1"/>
        <v>0.61
(0.31 – 1.19)</v>
      </c>
      <c r="N25" s="59" t="s">
        <v>446</v>
      </c>
      <c r="O25" s="16" t="s">
        <v>769</v>
      </c>
      <c r="P25">
        <v>0.10979999999999999</v>
      </c>
      <c r="Q25">
        <v>0.62529999999999997</v>
      </c>
      <c r="R25">
        <v>2.9169999999999998</v>
      </c>
      <c r="S25">
        <v>7</v>
      </c>
      <c r="T25">
        <v>3</v>
      </c>
    </row>
    <row r="26" spans="5:20" ht="15" customHeight="1" x14ac:dyDescent="0.25">
      <c r="E26" s="57">
        <v>3</v>
      </c>
      <c r="F26" s="57">
        <v>2</v>
      </c>
      <c r="G26" s="57" t="s">
        <v>758</v>
      </c>
      <c r="H26" s="57">
        <v>0.31030000000000002</v>
      </c>
      <c r="I26" s="57">
        <v>0.60160000000000002</v>
      </c>
      <c r="J26" s="57">
        <v>1.1399999999999999</v>
      </c>
      <c r="K26" s="59" t="str">
        <f t="shared" si="0"/>
        <v>0.60 (0.31 – 1.14)</v>
      </c>
      <c r="L26" s="16" t="str">
        <f t="shared" si="1"/>
        <v>0.60
(0.31 – 1.14)</v>
      </c>
      <c r="N26" s="59" t="s">
        <v>447</v>
      </c>
      <c r="O26" s="16" t="s">
        <v>770</v>
      </c>
      <c r="P26">
        <v>0.28599999999999998</v>
      </c>
      <c r="Q26">
        <v>1.0680000000000001</v>
      </c>
      <c r="R26">
        <v>3.859</v>
      </c>
      <c r="S26">
        <v>8</v>
      </c>
      <c r="T26">
        <v>3</v>
      </c>
    </row>
    <row r="27" spans="5:20" ht="15" customHeight="1" x14ac:dyDescent="0.25">
      <c r="E27" s="19">
        <v>7</v>
      </c>
      <c r="F27" s="19">
        <v>8</v>
      </c>
      <c r="G27" s="19" t="s">
        <v>873</v>
      </c>
      <c r="H27" s="19">
        <v>8.2169268693508629E-2</v>
      </c>
      <c r="I27" s="19">
        <v>0.57971014492753625</v>
      </c>
      <c r="J27" s="19">
        <v>3.595828838547285</v>
      </c>
      <c r="K27" s="59" t="str">
        <f t="shared" si="0"/>
        <v>0.58 (0.08 – 3.60)</v>
      </c>
      <c r="L27" s="16" t="str">
        <f t="shared" si="1"/>
        <v>0.58
(0.08 – 3.60)</v>
      </c>
      <c r="N27" s="59" t="s">
        <v>448</v>
      </c>
      <c r="O27" s="16" t="s">
        <v>771</v>
      </c>
      <c r="P27">
        <v>1.7849999999999999</v>
      </c>
      <c r="Q27">
        <v>3.7040000000000002</v>
      </c>
      <c r="R27">
        <v>7.915</v>
      </c>
      <c r="S27">
        <v>9</v>
      </c>
      <c r="T27">
        <v>3</v>
      </c>
    </row>
    <row r="28" spans="5:20" ht="15" customHeight="1" x14ac:dyDescent="0.25">
      <c r="E28" s="19">
        <v>7</v>
      </c>
      <c r="F28" s="59">
        <v>4</v>
      </c>
      <c r="G28" s="54" t="s">
        <v>775</v>
      </c>
      <c r="H28" s="16">
        <v>8.4010000000000001E-2</v>
      </c>
      <c r="I28" s="16">
        <v>0.55600000000000005</v>
      </c>
      <c r="J28" s="16">
        <v>3.169</v>
      </c>
      <c r="K28" s="59" t="str">
        <f t="shared" si="0"/>
        <v>0.56 (0.08 – 3.17)</v>
      </c>
      <c r="L28" s="16" t="str">
        <f t="shared" si="1"/>
        <v>0.56
(0.08 – 3.17)</v>
      </c>
      <c r="N28" s="59" t="s">
        <v>449</v>
      </c>
      <c r="O28" s="16" t="s">
        <v>772</v>
      </c>
      <c r="P28">
        <v>0.70379999999999998</v>
      </c>
      <c r="Q28">
        <v>1.4830000000000001</v>
      </c>
      <c r="R28">
        <v>3.1789999999999998</v>
      </c>
      <c r="S28">
        <v>10</v>
      </c>
      <c r="T28">
        <v>3</v>
      </c>
    </row>
    <row r="29" spans="5:20" ht="15" customHeight="1" x14ac:dyDescent="0.25">
      <c r="E29" s="19">
        <v>6</v>
      </c>
      <c r="F29" s="19">
        <v>10</v>
      </c>
      <c r="G29" s="19" t="s">
        <v>796</v>
      </c>
      <c r="H29" s="19">
        <v>9.2936802973977703E-2</v>
      </c>
      <c r="I29" s="19">
        <v>0.50150451354062187</v>
      </c>
      <c r="J29" s="19">
        <v>2.6392187912377936</v>
      </c>
      <c r="K29" s="59" t="str">
        <f t="shared" si="0"/>
        <v>0.50 (0.09 – 2.64)</v>
      </c>
      <c r="L29" s="16" t="str">
        <f t="shared" si="1"/>
        <v>0.50
(0.09 – 2.64)</v>
      </c>
      <c r="N29" s="59" t="s">
        <v>450</v>
      </c>
      <c r="O29" s="16" t="s">
        <v>773</v>
      </c>
      <c r="P29">
        <v>0.30940000000000001</v>
      </c>
      <c r="Q29">
        <v>2.1309999999999998</v>
      </c>
      <c r="R29">
        <v>16.32</v>
      </c>
      <c r="S29">
        <v>5</v>
      </c>
      <c r="T29">
        <v>4</v>
      </c>
    </row>
    <row r="30" spans="5:20" ht="15" customHeight="1" x14ac:dyDescent="0.25">
      <c r="E30" s="57">
        <v>4</v>
      </c>
      <c r="F30" s="57">
        <v>5</v>
      </c>
      <c r="G30" s="57" t="s">
        <v>878</v>
      </c>
      <c r="H30" s="57">
        <v>6.1274509803921566E-2</v>
      </c>
      <c r="I30" s="57">
        <v>0.46926325668700147</v>
      </c>
      <c r="J30" s="57">
        <v>3.2320620555914674</v>
      </c>
      <c r="K30" s="59" t="str">
        <f t="shared" si="0"/>
        <v>0.47 (0.06 – 3.23)</v>
      </c>
      <c r="L30" s="16" t="str">
        <f t="shared" si="1"/>
        <v>0.47
(0.06 – 3.23)</v>
      </c>
      <c r="N30" s="59" t="s">
        <v>451</v>
      </c>
      <c r="O30" s="16" t="s">
        <v>774</v>
      </c>
      <c r="P30">
        <v>0.1171</v>
      </c>
      <c r="Q30">
        <v>0.67190000000000005</v>
      </c>
      <c r="R30">
        <v>3.734</v>
      </c>
      <c r="S30">
        <v>6</v>
      </c>
      <c r="T30">
        <v>4</v>
      </c>
    </row>
    <row r="31" spans="5:20" ht="15" customHeight="1" x14ac:dyDescent="0.25">
      <c r="E31" s="57">
        <v>4</v>
      </c>
      <c r="F31" s="57">
        <v>1</v>
      </c>
      <c r="G31" s="57" t="s">
        <v>751</v>
      </c>
      <c r="H31" s="57">
        <v>0.1706</v>
      </c>
      <c r="I31" s="57">
        <v>0.45989999999999998</v>
      </c>
      <c r="J31" s="57">
        <v>1.21</v>
      </c>
      <c r="K31" s="59" t="str">
        <f t="shared" si="0"/>
        <v>0.46 (0.17 – 1.21)</v>
      </c>
      <c r="L31" s="16" t="str">
        <f t="shared" si="1"/>
        <v>0.46
(0.17 – 1.21)</v>
      </c>
      <c r="N31" s="59" t="s">
        <v>452</v>
      </c>
      <c r="O31" s="16" t="s">
        <v>775</v>
      </c>
      <c r="P31">
        <v>8.4010000000000001E-2</v>
      </c>
      <c r="Q31">
        <v>0.55600000000000005</v>
      </c>
      <c r="R31">
        <v>3.169</v>
      </c>
      <c r="S31">
        <v>7</v>
      </c>
      <c r="T31">
        <v>4</v>
      </c>
    </row>
    <row r="32" spans="5:20" ht="15" customHeight="1" x14ac:dyDescent="0.25">
      <c r="E32" s="19">
        <v>2</v>
      </c>
      <c r="F32" s="59">
        <v>9</v>
      </c>
      <c r="G32" s="54" t="s">
        <v>880</v>
      </c>
      <c r="H32" s="16">
        <v>0.22568269013766643</v>
      </c>
      <c r="I32" s="16">
        <v>0.44903457566232602</v>
      </c>
      <c r="J32" s="16">
        <v>0.88888888888888884</v>
      </c>
      <c r="K32" s="59" t="str">
        <f t="shared" si="0"/>
        <v>0.45 (0.23 – 0.89)</v>
      </c>
      <c r="L32" s="16" t="str">
        <f t="shared" si="1"/>
        <v>0.45
(0.23 – 0.89)</v>
      </c>
      <c r="N32" s="59" t="s">
        <v>453</v>
      </c>
      <c r="O32" s="16" t="s">
        <v>776</v>
      </c>
      <c r="P32">
        <v>0.20810000000000001</v>
      </c>
      <c r="Q32">
        <v>0.95789999999999997</v>
      </c>
      <c r="R32">
        <v>4.3150000000000004</v>
      </c>
      <c r="S32">
        <v>8</v>
      </c>
      <c r="T32">
        <v>4</v>
      </c>
    </row>
    <row r="33" spans="3:20" ht="15" customHeight="1" x14ac:dyDescent="0.25">
      <c r="E33" s="19">
        <v>8</v>
      </c>
      <c r="F33" s="19">
        <v>5</v>
      </c>
      <c r="G33" s="19" t="s">
        <v>781</v>
      </c>
      <c r="H33" s="19">
        <v>5.4640000000000001E-2</v>
      </c>
      <c r="I33" s="19">
        <v>0.44840000000000002</v>
      </c>
      <c r="J33" s="19">
        <v>3.2879999999999998</v>
      </c>
      <c r="K33" s="59" t="str">
        <f t="shared" si="0"/>
        <v>0.45 (0.05 – 3.29)</v>
      </c>
      <c r="L33" s="16" t="str">
        <f t="shared" si="1"/>
        <v>0.45
(0.05 – 3.29)</v>
      </c>
      <c r="N33" s="59" t="s">
        <v>454</v>
      </c>
      <c r="O33" s="16" t="s">
        <v>777</v>
      </c>
      <c r="P33">
        <v>1.151</v>
      </c>
      <c r="Q33">
        <v>3.3290000000000002</v>
      </c>
      <c r="R33">
        <v>9.7780000000000005</v>
      </c>
      <c r="S33">
        <v>9</v>
      </c>
      <c r="T33">
        <v>4</v>
      </c>
    </row>
    <row r="34" spans="3:20" ht="15" customHeight="1" x14ac:dyDescent="0.25">
      <c r="E34" s="57">
        <v>6</v>
      </c>
      <c r="F34" s="57">
        <v>2</v>
      </c>
      <c r="G34" s="57" t="s">
        <v>761</v>
      </c>
      <c r="H34" s="57">
        <v>8.5540000000000005E-2</v>
      </c>
      <c r="I34" s="57">
        <v>0.44819999999999999</v>
      </c>
      <c r="J34" s="57">
        <v>2.2639999999999998</v>
      </c>
      <c r="K34" s="59" t="str">
        <f t="shared" si="0"/>
        <v>0.45 (0.09 – 2.26)</v>
      </c>
      <c r="L34" s="16" t="str">
        <f t="shared" si="1"/>
        <v>0.45
(0.09 – 2.26)</v>
      </c>
      <c r="N34" s="59" t="s">
        <v>455</v>
      </c>
      <c r="O34" s="16" t="s">
        <v>778</v>
      </c>
      <c r="P34">
        <v>0.44919999999999999</v>
      </c>
      <c r="Q34">
        <v>1.3320000000000001</v>
      </c>
      <c r="R34">
        <v>3.9649999999999999</v>
      </c>
      <c r="S34">
        <v>10</v>
      </c>
      <c r="T34">
        <v>4</v>
      </c>
    </row>
    <row r="35" spans="3:20" ht="15" customHeight="1" x14ac:dyDescent="0.25">
      <c r="E35" s="19">
        <v>8</v>
      </c>
      <c r="F35" s="19">
        <v>1</v>
      </c>
      <c r="G35" s="19" t="s">
        <v>755</v>
      </c>
      <c r="H35" s="19">
        <v>0.1255</v>
      </c>
      <c r="I35" s="19">
        <v>0.44059999999999999</v>
      </c>
      <c r="J35" s="19">
        <v>1.468</v>
      </c>
      <c r="K35" s="59" t="str">
        <f t="shared" si="0"/>
        <v>0.44 (0.13 – 1.47)</v>
      </c>
      <c r="L35" s="16" t="str">
        <f t="shared" si="1"/>
        <v>0.44
(0.13 – 1.47)</v>
      </c>
      <c r="N35" s="59" t="s">
        <v>456</v>
      </c>
      <c r="O35" s="16" t="s">
        <v>779</v>
      </c>
      <c r="P35">
        <v>2.8479999999999998E-2</v>
      </c>
      <c r="Q35">
        <v>0.31209999999999999</v>
      </c>
      <c r="R35">
        <v>3.177</v>
      </c>
      <c r="S35">
        <v>6</v>
      </c>
      <c r="T35">
        <v>5</v>
      </c>
    </row>
    <row r="36" spans="3:20" ht="15" customHeight="1" x14ac:dyDescent="0.25">
      <c r="C36" s="56"/>
      <c r="D36" s="57"/>
      <c r="E36" s="57">
        <v>3</v>
      </c>
      <c r="F36" s="57">
        <v>5</v>
      </c>
      <c r="G36" s="57" t="s">
        <v>876</v>
      </c>
      <c r="H36" s="57">
        <v>6.4267352185089971E-2</v>
      </c>
      <c r="I36" s="57">
        <v>0.4208754208754209</v>
      </c>
      <c r="J36" s="57">
        <v>2.4618414574101428</v>
      </c>
      <c r="K36" s="59" t="str">
        <f t="shared" si="0"/>
        <v>0.42 (0.06 – 2.46)</v>
      </c>
      <c r="L36" s="16" t="str">
        <f t="shared" si="1"/>
        <v>0.42
(0.06 – 2.46)</v>
      </c>
      <c r="M36" s="57"/>
      <c r="N36" s="59" t="s">
        <v>457</v>
      </c>
      <c r="O36" s="16" t="s">
        <v>780</v>
      </c>
      <c r="P36">
        <v>2.435E-2</v>
      </c>
      <c r="Q36">
        <v>0.25900000000000001</v>
      </c>
      <c r="R36">
        <v>2.2839999999999998</v>
      </c>
      <c r="S36">
        <v>7</v>
      </c>
      <c r="T36">
        <v>5</v>
      </c>
    </row>
    <row r="37" spans="3:20" ht="15" customHeight="1" x14ac:dyDescent="0.25">
      <c r="C37" s="56"/>
      <c r="D37" s="57"/>
      <c r="E37" s="19">
        <v>7</v>
      </c>
      <c r="F37" s="19">
        <v>10</v>
      </c>
      <c r="G37" s="19" t="s">
        <v>805</v>
      </c>
      <c r="H37" s="19">
        <v>7.3313782991202336E-2</v>
      </c>
      <c r="I37" s="19">
        <v>0.42069835927639887</v>
      </c>
      <c r="J37" s="19">
        <v>1.9512195121951221</v>
      </c>
      <c r="K37" s="59" t="str">
        <f t="shared" si="0"/>
        <v>0.42 (0.07 – 1.95)</v>
      </c>
      <c r="L37" s="16" t="str">
        <f t="shared" si="1"/>
        <v>0.42
(0.07 – 1.95)</v>
      </c>
      <c r="M37" s="57"/>
      <c r="N37" s="59" t="s">
        <v>458</v>
      </c>
      <c r="O37" s="16" t="s">
        <v>781</v>
      </c>
      <c r="P37">
        <v>5.4640000000000001E-2</v>
      </c>
      <c r="Q37">
        <v>0.44840000000000002</v>
      </c>
      <c r="R37">
        <v>3.2879999999999998</v>
      </c>
      <c r="S37">
        <v>8</v>
      </c>
      <c r="T37">
        <v>5</v>
      </c>
    </row>
    <row r="38" spans="3:20" ht="15" customHeight="1" x14ac:dyDescent="0.25">
      <c r="C38" s="56"/>
      <c r="D38" s="57"/>
      <c r="E38" s="19">
        <v>3</v>
      </c>
      <c r="F38" s="19">
        <v>1</v>
      </c>
      <c r="G38" s="19" t="s">
        <v>750</v>
      </c>
      <c r="H38" s="19">
        <v>0.21679999999999999</v>
      </c>
      <c r="I38" s="19">
        <v>0.4123</v>
      </c>
      <c r="J38" s="19">
        <v>0.76129999999999998</v>
      </c>
      <c r="K38" s="59" t="str">
        <f t="shared" si="0"/>
        <v>0.41 (0.22 – 0.76)</v>
      </c>
      <c r="L38" s="16" t="str">
        <f t="shared" si="1"/>
        <v>0.41
(0.22 – 0.76)</v>
      </c>
      <c r="M38" s="57"/>
      <c r="N38" s="59" t="s">
        <v>459</v>
      </c>
      <c r="O38" s="16" t="s">
        <v>782</v>
      </c>
      <c r="P38">
        <v>0.2384</v>
      </c>
      <c r="Q38">
        <v>1.5649999999999999</v>
      </c>
      <c r="R38">
        <v>9.3160000000000007</v>
      </c>
      <c r="S38">
        <v>9</v>
      </c>
      <c r="T38">
        <v>5</v>
      </c>
    </row>
    <row r="39" spans="3:20" ht="15" customHeight="1" x14ac:dyDescent="0.25">
      <c r="C39" s="56"/>
      <c r="D39" s="57"/>
      <c r="E39" s="19">
        <v>10</v>
      </c>
      <c r="F39" s="19">
        <v>9</v>
      </c>
      <c r="G39" s="19" t="s">
        <v>793</v>
      </c>
      <c r="H39" s="19">
        <v>0.1757</v>
      </c>
      <c r="I39" s="19">
        <v>0.40060000000000001</v>
      </c>
      <c r="J39" s="19">
        <v>0.90300000000000002</v>
      </c>
      <c r="K39" s="59" t="str">
        <f t="shared" si="0"/>
        <v>0.40 (0.18 – 0.90)</v>
      </c>
      <c r="L39" s="16" t="str">
        <f t="shared" si="1"/>
        <v>0.40
(0.18 – 0.90)</v>
      </c>
      <c r="M39" s="57"/>
      <c r="N39" s="59" t="s">
        <v>460</v>
      </c>
      <c r="O39" s="16" t="s">
        <v>783</v>
      </c>
      <c r="P39">
        <v>9.5560000000000006E-2</v>
      </c>
      <c r="Q39">
        <v>0.62619999999999998</v>
      </c>
      <c r="R39">
        <v>3.661</v>
      </c>
      <c r="S39">
        <v>10</v>
      </c>
      <c r="T39">
        <v>5</v>
      </c>
    </row>
    <row r="40" spans="3:20" ht="15" customHeight="1" x14ac:dyDescent="0.25">
      <c r="C40" s="56"/>
      <c r="D40" s="57"/>
      <c r="E40" s="19">
        <v>7</v>
      </c>
      <c r="F40" s="59">
        <v>2</v>
      </c>
      <c r="G40" s="54" t="s">
        <v>762</v>
      </c>
      <c r="H40" s="16">
        <v>7.3190000000000005E-2</v>
      </c>
      <c r="I40" s="16">
        <v>0.37740000000000001</v>
      </c>
      <c r="J40" s="16">
        <v>1.4990000000000001</v>
      </c>
      <c r="K40" s="59" t="str">
        <f t="shared" si="0"/>
        <v>0.38 (0.07 – 1.50)</v>
      </c>
      <c r="L40" s="16" t="str">
        <f t="shared" si="1"/>
        <v>0.38
(0.07 – 1.50)</v>
      </c>
      <c r="M40" s="57"/>
      <c r="N40" s="59" t="s">
        <v>461</v>
      </c>
      <c r="O40" s="16" t="s">
        <v>784</v>
      </c>
      <c r="P40">
        <v>8.5449999999999998E-2</v>
      </c>
      <c r="Q40">
        <v>0.82589999999999997</v>
      </c>
      <c r="R40">
        <v>7.319</v>
      </c>
      <c r="S40">
        <v>7</v>
      </c>
      <c r="T40">
        <v>6</v>
      </c>
    </row>
    <row r="41" spans="3:20" ht="15" customHeight="1" x14ac:dyDescent="0.25">
      <c r="C41" s="56"/>
      <c r="D41" s="57"/>
      <c r="E41" s="57">
        <v>6</v>
      </c>
      <c r="F41" s="57">
        <v>5</v>
      </c>
      <c r="G41" s="57" t="s">
        <v>779</v>
      </c>
      <c r="H41" s="57">
        <v>2.8479999999999998E-2</v>
      </c>
      <c r="I41" s="57">
        <v>0.31209999999999999</v>
      </c>
      <c r="J41" s="57">
        <v>3.177</v>
      </c>
      <c r="K41" s="59" t="str">
        <f t="shared" si="0"/>
        <v>0.31 (0.03 – 3.18)</v>
      </c>
      <c r="L41" s="16" t="str">
        <f t="shared" si="1"/>
        <v>0.31
(0.03 – 3.18)</v>
      </c>
      <c r="M41" s="57"/>
      <c r="N41" s="59" t="s">
        <v>462</v>
      </c>
      <c r="O41" s="16" t="s">
        <v>785</v>
      </c>
      <c r="P41">
        <v>0.19400000000000001</v>
      </c>
      <c r="Q41">
        <v>1.4339999999999999</v>
      </c>
      <c r="R41">
        <v>10.45</v>
      </c>
      <c r="S41">
        <v>8</v>
      </c>
      <c r="T41">
        <v>6</v>
      </c>
    </row>
    <row r="42" spans="3:20" ht="15" customHeight="1" x14ac:dyDescent="0.25">
      <c r="C42" s="56"/>
      <c r="D42" s="57"/>
      <c r="E42" s="19">
        <v>6</v>
      </c>
      <c r="F42" s="59">
        <v>1</v>
      </c>
      <c r="G42" s="54" t="s">
        <v>753</v>
      </c>
      <c r="H42" s="16">
        <v>5.9639999999999999E-2</v>
      </c>
      <c r="I42" s="16">
        <v>0.30620000000000003</v>
      </c>
      <c r="J42" s="16">
        <v>1.55</v>
      </c>
      <c r="K42" s="59" t="str">
        <f t="shared" si="0"/>
        <v>0.31 (0.06 – 1.55)</v>
      </c>
      <c r="L42" s="16" t="str">
        <f t="shared" si="1"/>
        <v>0.31
(0.06 – 1.55)</v>
      </c>
      <c r="M42" s="57"/>
      <c r="N42" s="59" t="s">
        <v>463</v>
      </c>
      <c r="O42" s="16" t="s">
        <v>786</v>
      </c>
      <c r="P42">
        <v>0.94410000000000005</v>
      </c>
      <c r="Q42">
        <v>4.9850000000000003</v>
      </c>
      <c r="R42">
        <v>27.12</v>
      </c>
      <c r="S42">
        <v>9</v>
      </c>
      <c r="T42">
        <v>6</v>
      </c>
    </row>
    <row r="43" spans="3:20" ht="15" customHeight="1" x14ac:dyDescent="0.25">
      <c r="C43" s="56"/>
      <c r="D43" s="57"/>
      <c r="E43" s="19">
        <v>4</v>
      </c>
      <c r="F43" s="59">
        <v>9</v>
      </c>
      <c r="G43" s="54" t="s">
        <v>798</v>
      </c>
      <c r="H43" s="16">
        <v>0.1022704029453876</v>
      </c>
      <c r="I43" s="16">
        <v>0.30039050765995795</v>
      </c>
      <c r="J43" s="16">
        <v>0.86880973066898348</v>
      </c>
      <c r="K43" s="59" t="str">
        <f t="shared" si="0"/>
        <v>0.30 (0.10 – 0.87)</v>
      </c>
      <c r="L43" s="16" t="str">
        <f t="shared" si="1"/>
        <v>0.30
(0.10 – 0.87)</v>
      </c>
      <c r="M43" s="57"/>
      <c r="N43" s="59" t="s">
        <v>464</v>
      </c>
      <c r="O43" s="16" t="s">
        <v>787</v>
      </c>
      <c r="P43">
        <v>0.37890000000000001</v>
      </c>
      <c r="Q43">
        <v>1.994</v>
      </c>
      <c r="R43">
        <v>10.76</v>
      </c>
      <c r="S43">
        <v>10</v>
      </c>
      <c r="T43">
        <v>6</v>
      </c>
    </row>
    <row r="44" spans="3:20" ht="15" customHeight="1" x14ac:dyDescent="0.25">
      <c r="C44" s="56"/>
      <c r="D44" s="57"/>
      <c r="E44" s="57">
        <v>8</v>
      </c>
      <c r="F44" s="57">
        <v>9</v>
      </c>
      <c r="G44" s="57" t="s">
        <v>877</v>
      </c>
      <c r="H44" s="57">
        <v>7.5244544770504143E-2</v>
      </c>
      <c r="I44" s="57">
        <v>0.28768699654775604</v>
      </c>
      <c r="J44" s="57">
        <v>1.0559662090813096</v>
      </c>
      <c r="K44" s="59" t="str">
        <f t="shared" si="0"/>
        <v>0.29 (0.08 – 1.06)</v>
      </c>
      <c r="L44" s="16" t="str">
        <f t="shared" si="1"/>
        <v>0.29
(0.08 – 1.06)</v>
      </c>
      <c r="M44" s="57"/>
      <c r="N44" s="59" t="s">
        <v>465</v>
      </c>
      <c r="O44" s="16" t="s">
        <v>788</v>
      </c>
      <c r="P44">
        <v>0.27810000000000001</v>
      </c>
      <c r="Q44">
        <v>1.7250000000000001</v>
      </c>
      <c r="R44">
        <v>12.17</v>
      </c>
      <c r="S44">
        <v>8</v>
      </c>
      <c r="T44">
        <v>7</v>
      </c>
    </row>
    <row r="45" spans="3:20" ht="15" customHeight="1" x14ac:dyDescent="0.25">
      <c r="C45" s="56"/>
      <c r="D45" s="57"/>
      <c r="E45" s="57">
        <v>3</v>
      </c>
      <c r="F45" s="57">
        <v>9</v>
      </c>
      <c r="G45" s="57" t="s">
        <v>800</v>
      </c>
      <c r="H45" s="57">
        <v>0.12634238787113075</v>
      </c>
      <c r="I45" s="57">
        <v>0.26997840172786175</v>
      </c>
      <c r="J45" s="57">
        <v>0.56022408963585435</v>
      </c>
      <c r="K45" s="59" t="str">
        <f t="shared" si="0"/>
        <v>0.27 (0.13 – 0.56)</v>
      </c>
      <c r="L45" s="16" t="str">
        <f t="shared" si="1"/>
        <v>0.27
(0.13 – 0.56)</v>
      </c>
      <c r="M45" s="57"/>
      <c r="N45" s="59" t="s">
        <v>466</v>
      </c>
      <c r="O45" s="16" t="s">
        <v>789</v>
      </c>
      <c r="P45">
        <v>1.262</v>
      </c>
      <c r="Q45">
        <v>5.9459999999999997</v>
      </c>
      <c r="R45">
        <v>34.93</v>
      </c>
      <c r="S45">
        <v>9</v>
      </c>
      <c r="T45">
        <v>7</v>
      </c>
    </row>
    <row r="46" spans="3:20" ht="15" customHeight="1" x14ac:dyDescent="0.25">
      <c r="C46" s="56"/>
      <c r="D46" s="57"/>
      <c r="E46" s="57">
        <v>7</v>
      </c>
      <c r="F46" s="57">
        <v>5</v>
      </c>
      <c r="G46" s="57" t="s">
        <v>780</v>
      </c>
      <c r="H46" s="57">
        <v>2.435E-2</v>
      </c>
      <c r="I46" s="57">
        <v>0.25900000000000001</v>
      </c>
      <c r="J46" s="57">
        <v>2.2839999999999998</v>
      </c>
      <c r="K46" s="59" t="str">
        <f t="shared" si="0"/>
        <v>0.26 (0.02 – 2.28)</v>
      </c>
      <c r="L46" s="16" t="str">
        <f t="shared" si="1"/>
        <v>0.26
(0.02 – 2.28)</v>
      </c>
      <c r="M46" s="57"/>
      <c r="N46" s="59" t="s">
        <v>467</v>
      </c>
      <c r="O46" s="16" t="s">
        <v>790</v>
      </c>
      <c r="P46">
        <v>0.51249999999999996</v>
      </c>
      <c r="Q46">
        <v>2.3769999999999998</v>
      </c>
      <c r="R46">
        <v>13.64</v>
      </c>
      <c r="S46">
        <v>10</v>
      </c>
      <c r="T46">
        <v>7</v>
      </c>
    </row>
    <row r="47" spans="3:20" ht="15" customHeight="1" x14ac:dyDescent="0.25">
      <c r="C47" s="56"/>
      <c r="D47" s="57"/>
      <c r="E47" s="19">
        <v>7</v>
      </c>
      <c r="F47" s="59">
        <v>1</v>
      </c>
      <c r="G47" s="54" t="s">
        <v>754</v>
      </c>
      <c r="H47" s="16">
        <v>4.6940000000000003E-2</v>
      </c>
      <c r="I47" s="16">
        <v>0.25800000000000001</v>
      </c>
      <c r="J47" s="16">
        <v>1.1220000000000001</v>
      </c>
      <c r="K47" s="59" t="str">
        <f t="shared" si="0"/>
        <v>0.26 (0.05 – 1.12)</v>
      </c>
      <c r="L47" s="16" t="str">
        <f t="shared" si="1"/>
        <v>0.26
(0.05 – 1.12)</v>
      </c>
      <c r="M47" s="57"/>
      <c r="N47" s="59" t="s">
        <v>468</v>
      </c>
      <c r="O47" s="16" t="s">
        <v>791</v>
      </c>
      <c r="P47">
        <v>0.94699999999999995</v>
      </c>
      <c r="Q47">
        <v>3.476</v>
      </c>
      <c r="R47">
        <v>13.29</v>
      </c>
      <c r="S47">
        <v>9</v>
      </c>
      <c r="T47">
        <v>8</v>
      </c>
    </row>
    <row r="48" spans="3:20" ht="15" customHeight="1" x14ac:dyDescent="0.25">
      <c r="C48" s="56"/>
      <c r="D48" s="57"/>
      <c r="E48" s="57">
        <v>6</v>
      </c>
      <c r="F48" s="57">
        <v>9</v>
      </c>
      <c r="G48" s="57" t="s">
        <v>794</v>
      </c>
      <c r="H48" s="57">
        <v>3.687315634218289E-2</v>
      </c>
      <c r="I48" s="57">
        <v>0.20060180541624872</v>
      </c>
      <c r="J48" s="57">
        <v>1.0592098294672174</v>
      </c>
      <c r="K48" s="59" t="str">
        <f t="shared" si="0"/>
        <v>0.20 (0.04 – 1.06)</v>
      </c>
      <c r="L48" s="16" t="str">
        <f t="shared" si="1"/>
        <v>0.20
(0.04 – 1.06)</v>
      </c>
      <c r="M48" s="57"/>
      <c r="N48" s="59" t="s">
        <v>469</v>
      </c>
      <c r="O48" s="16" t="s">
        <v>792</v>
      </c>
      <c r="P48">
        <v>0.38379999999999997</v>
      </c>
      <c r="Q48">
        <v>1.387</v>
      </c>
      <c r="R48">
        <v>5.2160000000000002</v>
      </c>
      <c r="S48">
        <v>10</v>
      </c>
      <c r="T48">
        <v>8</v>
      </c>
    </row>
    <row r="49" spans="3:20" ht="15" customHeight="1" x14ac:dyDescent="0.25">
      <c r="C49" s="56"/>
      <c r="D49" s="57"/>
      <c r="E49" s="19">
        <v>7</v>
      </c>
      <c r="F49" s="19">
        <v>9</v>
      </c>
      <c r="G49" s="19" t="s">
        <v>874</v>
      </c>
      <c r="H49" s="19">
        <v>2.8628685943315201E-2</v>
      </c>
      <c r="I49" s="19">
        <v>0.16818028927009757</v>
      </c>
      <c r="J49" s="19">
        <v>0.79239302694136293</v>
      </c>
      <c r="K49" s="59" t="str">
        <f t="shared" si="0"/>
        <v>0.17 (0.03 – 0.79)</v>
      </c>
      <c r="L49" s="16" t="str">
        <f t="shared" si="1"/>
        <v>0.17
(0.03 – 0.79)</v>
      </c>
      <c r="M49" s="57"/>
      <c r="N49" s="59" t="s">
        <v>470</v>
      </c>
      <c r="O49" s="16" t="s">
        <v>793</v>
      </c>
      <c r="P49">
        <v>0.1757</v>
      </c>
      <c r="Q49">
        <v>0.40060000000000001</v>
      </c>
      <c r="R49">
        <v>0.90300000000000002</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357</v>
      </c>
      <c r="B5" s="19">
        <v>7</v>
      </c>
      <c r="C5" s="19">
        <v>2.7149999999999999</v>
      </c>
      <c r="E5" s="19">
        <v>7</v>
      </c>
      <c r="F5" s="59">
        <v>6</v>
      </c>
      <c r="G5" s="54" t="s">
        <v>784</v>
      </c>
      <c r="H5" s="16">
        <v>7.0370000000000002E-2</v>
      </c>
      <c r="I5" s="16">
        <v>0.82909999999999995</v>
      </c>
      <c r="J5" s="16">
        <v>8.2149999999999999</v>
      </c>
      <c r="K5" s="59" t="str">
        <f>CONCATENATE(TEXT(I5,"0.00")," (",TEXT(H5,"0.00")," – ",TEXT(J5,"0.00"),")")</f>
        <v>0.83 (0.07 – 8.22)</v>
      </c>
      <c r="L5" s="16" t="str">
        <f>CONCATENATE(TEXT(I5,"0.00"),"
(",TEXT(H5,"0.00")," – ",TEXT(J5,"0.00"),")")</f>
        <v>0.83
(0.07 – 8.22)</v>
      </c>
      <c r="N5" s="59" t="s">
        <v>426</v>
      </c>
      <c r="O5" s="104" t="s">
        <v>749</v>
      </c>
      <c r="P5">
        <v>0.39800000000000002</v>
      </c>
      <c r="Q5">
        <v>0.67390000000000005</v>
      </c>
      <c r="R5">
        <v>1.139</v>
      </c>
      <c r="S5">
        <v>2</v>
      </c>
      <c r="T5">
        <v>1</v>
      </c>
    </row>
    <row r="6" spans="1:20" x14ac:dyDescent="0.25">
      <c r="A6" t="s">
        <v>356</v>
      </c>
      <c r="B6" s="19">
        <v>6</v>
      </c>
      <c r="C6" s="19">
        <v>3.355</v>
      </c>
      <c r="E6" s="19">
        <v>7</v>
      </c>
      <c r="F6" s="59">
        <v>3</v>
      </c>
      <c r="G6" s="54" t="s">
        <v>769</v>
      </c>
      <c r="H6" s="16">
        <v>9.3420000000000003E-2</v>
      </c>
      <c r="I6" s="16">
        <v>0.61560000000000004</v>
      </c>
      <c r="J6" s="16">
        <v>3.153</v>
      </c>
      <c r="K6" s="59" t="str">
        <f t="shared" ref="K6:K69" si="0">CONCATENATE(TEXT(I6,"0.00")," (",TEXT(H6,"0.00")," – ",TEXT(J6,"0.00"),")")</f>
        <v>0.62 (0.09 – 3.15)</v>
      </c>
      <c r="L6" s="16" t="str">
        <f t="shared" ref="L6:L69" si="1">CONCATENATE(TEXT(I6,"0.00"),"
(",TEXT(H6,"0.00")," – ",TEXT(J6,"0.00"),")")</f>
        <v>0.62
(0.09 – 3.15)</v>
      </c>
      <c r="N6" s="59" t="s">
        <v>427</v>
      </c>
      <c r="O6" s="104" t="s">
        <v>750</v>
      </c>
      <c r="P6">
        <v>0.20749999999999999</v>
      </c>
      <c r="Q6">
        <v>0.40960000000000002</v>
      </c>
      <c r="R6">
        <v>0.75219999999999998</v>
      </c>
      <c r="S6">
        <v>3</v>
      </c>
      <c r="T6">
        <v>1</v>
      </c>
    </row>
    <row r="7" spans="1:20" x14ac:dyDescent="0.25">
      <c r="A7" t="s">
        <v>353</v>
      </c>
      <c r="B7" s="54">
        <v>3</v>
      </c>
      <c r="C7" s="54">
        <v>3.6859999999999999</v>
      </c>
      <c r="E7" s="19">
        <v>7</v>
      </c>
      <c r="F7" s="59">
        <v>8</v>
      </c>
      <c r="G7" s="54" t="s">
        <v>873</v>
      </c>
      <c r="H7" s="16">
        <v>6.25E-2</v>
      </c>
      <c r="I7" s="16">
        <v>0.59772863120143449</v>
      </c>
      <c r="J7" s="16">
        <v>4.3610989969472307</v>
      </c>
      <c r="K7" s="59" t="str">
        <f t="shared" si="0"/>
        <v>0.60 (0.06 – 4.36)</v>
      </c>
      <c r="L7" s="16" t="str">
        <f t="shared" si="1"/>
        <v>0.60
(0.06 – 4.36)</v>
      </c>
      <c r="N7" s="59" t="s">
        <v>428</v>
      </c>
      <c r="O7" s="104" t="s">
        <v>751</v>
      </c>
      <c r="P7">
        <v>0.15759999999999999</v>
      </c>
      <c r="Q7">
        <v>0.45979999999999999</v>
      </c>
      <c r="R7">
        <v>1.288</v>
      </c>
      <c r="S7">
        <v>4</v>
      </c>
      <c r="T7">
        <v>1</v>
      </c>
    </row>
    <row r="8" spans="1:20" x14ac:dyDescent="0.25">
      <c r="A8" t="s">
        <v>358</v>
      </c>
      <c r="B8" s="54">
        <v>8</v>
      </c>
      <c r="C8" s="54">
        <v>4.1849999999999996</v>
      </c>
      <c r="E8" s="19">
        <v>7</v>
      </c>
      <c r="F8" s="59">
        <v>4</v>
      </c>
      <c r="G8" s="54" t="s">
        <v>775</v>
      </c>
      <c r="H8" s="16">
        <v>7.3209999999999997E-2</v>
      </c>
      <c r="I8" s="16">
        <v>0.56330000000000002</v>
      </c>
      <c r="J8" s="16">
        <v>3.339</v>
      </c>
      <c r="K8" s="59" t="str">
        <f t="shared" si="0"/>
        <v>0.56 (0.07 – 3.34)</v>
      </c>
      <c r="L8" s="16" t="str">
        <f t="shared" si="1"/>
        <v>0.56
(0.07 – 3.34)</v>
      </c>
      <c r="N8" s="59" t="s">
        <v>429</v>
      </c>
      <c r="O8" s="104" t="s">
        <v>752</v>
      </c>
      <c r="P8">
        <v>0.1661</v>
      </c>
      <c r="Q8">
        <v>0.97130000000000005</v>
      </c>
      <c r="R8">
        <v>6.2919999999999998</v>
      </c>
      <c r="S8">
        <v>5</v>
      </c>
      <c r="T8">
        <v>1</v>
      </c>
    </row>
    <row r="9" spans="1:20" x14ac:dyDescent="0.25">
      <c r="A9" t="s">
        <v>354</v>
      </c>
      <c r="B9" s="19">
        <v>4</v>
      </c>
      <c r="C9" s="19">
        <v>4.4210000000000003</v>
      </c>
      <c r="E9" s="19">
        <v>7</v>
      </c>
      <c r="F9" s="59">
        <v>10</v>
      </c>
      <c r="G9" s="54" t="s">
        <v>805</v>
      </c>
      <c r="H9" s="16">
        <v>6.2111801242236017E-2</v>
      </c>
      <c r="I9" s="16">
        <v>0.42408821034775229</v>
      </c>
      <c r="J9" s="16">
        <v>2.1267545725223309</v>
      </c>
      <c r="K9" s="59" t="str">
        <f t="shared" si="0"/>
        <v>0.42 (0.06 – 2.13)</v>
      </c>
      <c r="L9" s="16" t="str">
        <f t="shared" si="1"/>
        <v>0.42
(0.06 – 2.13)</v>
      </c>
      <c r="N9" s="59" t="s">
        <v>430</v>
      </c>
      <c r="O9" s="104" t="s">
        <v>753</v>
      </c>
      <c r="P9">
        <v>5.2040000000000003E-2</v>
      </c>
      <c r="Q9">
        <v>0.30249999999999999</v>
      </c>
      <c r="R9">
        <v>1.718</v>
      </c>
      <c r="S9">
        <v>6</v>
      </c>
      <c r="T9">
        <v>1</v>
      </c>
    </row>
    <row r="10" spans="1:20" x14ac:dyDescent="0.25">
      <c r="A10" t="s">
        <v>360</v>
      </c>
      <c r="B10" s="19">
        <v>10</v>
      </c>
      <c r="C10" s="19">
        <v>5.5359999999999996</v>
      </c>
      <c r="E10" s="19">
        <v>7</v>
      </c>
      <c r="F10" s="59">
        <v>2</v>
      </c>
      <c r="G10" s="54" t="s">
        <v>762</v>
      </c>
      <c r="H10" s="16">
        <v>6.3729999999999995E-2</v>
      </c>
      <c r="I10" s="16">
        <v>0.37369999999999998</v>
      </c>
      <c r="J10" s="16">
        <v>1.655</v>
      </c>
      <c r="K10" s="59" t="str">
        <f t="shared" si="0"/>
        <v>0.37 (0.06 – 1.66)</v>
      </c>
      <c r="L10" s="16" t="str">
        <f t="shared" si="1"/>
        <v>0.37
(0.06 – 1.66)</v>
      </c>
      <c r="N10" s="59" t="s">
        <v>431</v>
      </c>
      <c r="O10" s="104" t="s">
        <v>754</v>
      </c>
      <c r="P10">
        <v>3.9489999999999997E-2</v>
      </c>
      <c r="Q10">
        <v>0.25090000000000001</v>
      </c>
      <c r="R10">
        <v>1.208</v>
      </c>
      <c r="S10">
        <v>7</v>
      </c>
      <c r="T10">
        <v>1</v>
      </c>
    </row>
    <row r="11" spans="1:20" x14ac:dyDescent="0.25">
      <c r="A11" t="s">
        <v>352</v>
      </c>
      <c r="B11" s="19">
        <v>2</v>
      </c>
      <c r="C11" s="19">
        <v>6.2229999999999999</v>
      </c>
      <c r="E11" s="19">
        <v>7</v>
      </c>
      <c r="F11" s="59">
        <v>5</v>
      </c>
      <c r="G11" s="54" t="s">
        <v>780</v>
      </c>
      <c r="H11" s="16">
        <v>1.8929999999999999E-2</v>
      </c>
      <c r="I11" s="16">
        <v>0.25629999999999997</v>
      </c>
      <c r="J11" s="16">
        <v>2.4780000000000002</v>
      </c>
      <c r="K11" s="59" t="str">
        <f t="shared" si="0"/>
        <v>0.26 (0.02 – 2.48)</v>
      </c>
      <c r="L11" s="16" t="str">
        <f t="shared" si="1"/>
        <v>0.26
(0.02 – 2.48)</v>
      </c>
      <c r="N11" s="59" t="s">
        <v>432</v>
      </c>
      <c r="O11" s="104" t="s">
        <v>755</v>
      </c>
      <c r="P11">
        <v>0.1067</v>
      </c>
      <c r="Q11">
        <v>0.41739999999999999</v>
      </c>
      <c r="R11">
        <v>1.629</v>
      </c>
      <c r="S11">
        <v>8</v>
      </c>
      <c r="T11">
        <v>1</v>
      </c>
    </row>
    <row r="12" spans="1:20" x14ac:dyDescent="0.25">
      <c r="A12" t="s">
        <v>355</v>
      </c>
      <c r="B12" s="54">
        <v>5</v>
      </c>
      <c r="C12" s="54">
        <v>7.2809999999999997</v>
      </c>
      <c r="E12" s="19">
        <v>7</v>
      </c>
      <c r="F12" s="59">
        <v>1</v>
      </c>
      <c r="G12" s="54" t="s">
        <v>754</v>
      </c>
      <c r="H12" s="16">
        <v>3.9489999999999997E-2</v>
      </c>
      <c r="I12" s="16">
        <v>0.25090000000000001</v>
      </c>
      <c r="J12" s="16">
        <v>1.208</v>
      </c>
      <c r="K12" s="59" t="str">
        <f t="shared" si="0"/>
        <v>0.25 (0.04 – 1.21)</v>
      </c>
      <c r="L12" s="16" t="str">
        <f t="shared" si="1"/>
        <v>0.25
(0.04 – 1.21)</v>
      </c>
      <c r="N12" s="59" t="s">
        <v>433</v>
      </c>
      <c r="O12" s="104" t="s">
        <v>756</v>
      </c>
      <c r="P12">
        <v>0.88619999999999999</v>
      </c>
      <c r="Q12">
        <v>1.542</v>
      </c>
      <c r="R12">
        <v>2.649</v>
      </c>
      <c r="S12">
        <v>9</v>
      </c>
      <c r="T12">
        <v>1</v>
      </c>
    </row>
    <row r="13" spans="1:20" x14ac:dyDescent="0.25">
      <c r="A13" t="s">
        <v>351</v>
      </c>
      <c r="B13" s="54">
        <v>1</v>
      </c>
      <c r="C13" s="54">
        <v>8.1219999999999999</v>
      </c>
      <c r="E13" s="19">
        <v>7</v>
      </c>
      <c r="F13" s="59">
        <v>9</v>
      </c>
      <c r="G13" s="54" t="s">
        <v>874</v>
      </c>
      <c r="H13" s="16">
        <v>2.3601604909133822E-2</v>
      </c>
      <c r="I13" s="16">
        <v>0.16194331983805668</v>
      </c>
      <c r="J13" s="16">
        <v>0.8733624454148472</v>
      </c>
      <c r="K13" s="59" t="str">
        <f t="shared" si="0"/>
        <v>0.16 (0.02 – 0.87)</v>
      </c>
      <c r="L13" s="16" t="str">
        <f t="shared" si="1"/>
        <v>0.16
(0.02 – 0.87)</v>
      </c>
      <c r="N13" s="59" t="s">
        <v>434</v>
      </c>
      <c r="O13" s="104" t="s">
        <v>757</v>
      </c>
      <c r="P13">
        <v>0.28589999999999999</v>
      </c>
      <c r="Q13">
        <v>0.60040000000000004</v>
      </c>
      <c r="R13">
        <v>1.2130000000000001</v>
      </c>
      <c r="S13">
        <v>10</v>
      </c>
      <c r="T13">
        <v>1</v>
      </c>
    </row>
    <row r="14" spans="1:20" x14ac:dyDescent="0.25">
      <c r="A14" t="s">
        <v>359</v>
      </c>
      <c r="B14" s="54">
        <v>9</v>
      </c>
      <c r="C14" s="54">
        <v>9.4760000000000009</v>
      </c>
      <c r="E14" s="19">
        <v>6</v>
      </c>
      <c r="F14" s="59">
        <v>3</v>
      </c>
      <c r="G14" s="54" t="s">
        <v>768</v>
      </c>
      <c r="H14" s="16">
        <v>0.1452</v>
      </c>
      <c r="I14" s="16">
        <v>0.75090000000000001</v>
      </c>
      <c r="J14" s="16">
        <v>3.722</v>
      </c>
      <c r="K14" s="59" t="str">
        <f t="shared" si="0"/>
        <v>0.75 (0.15 – 3.72)</v>
      </c>
      <c r="L14" s="16" t="str">
        <f t="shared" si="1"/>
        <v>0.75
(0.15 – 3.72)</v>
      </c>
      <c r="N14" s="59" t="s">
        <v>435</v>
      </c>
      <c r="O14" s="104" t="s">
        <v>758</v>
      </c>
      <c r="P14">
        <v>0.29709999999999998</v>
      </c>
      <c r="Q14">
        <v>0.61070000000000002</v>
      </c>
      <c r="R14">
        <v>1.163</v>
      </c>
      <c r="S14">
        <v>3</v>
      </c>
      <c r="T14">
        <v>2</v>
      </c>
    </row>
    <row r="15" spans="1:20" ht="15" customHeight="1" x14ac:dyDescent="0.25">
      <c r="E15" s="19">
        <v>6</v>
      </c>
      <c r="F15" s="19">
        <v>8</v>
      </c>
      <c r="G15" s="19" t="s">
        <v>795</v>
      </c>
      <c r="H15" s="19">
        <v>8.3056478405315617E-2</v>
      </c>
      <c r="I15" s="19">
        <v>0.73313782991202336</v>
      </c>
      <c r="J15" s="19">
        <v>5.8004640371229703</v>
      </c>
      <c r="K15" s="59" t="str">
        <f t="shared" si="0"/>
        <v>0.73 (0.08 – 5.80)</v>
      </c>
      <c r="L15" s="16" t="str">
        <f t="shared" si="1"/>
        <v>0.73
(0.08 – 5.80)</v>
      </c>
      <c r="N15" s="59" t="s">
        <v>436</v>
      </c>
      <c r="O15" s="16" t="s">
        <v>759</v>
      </c>
      <c r="P15">
        <v>0.2293</v>
      </c>
      <c r="Q15">
        <v>0.67620000000000002</v>
      </c>
      <c r="R15">
        <v>2.0379999999999998</v>
      </c>
      <c r="S15">
        <v>4</v>
      </c>
      <c r="T15">
        <v>2</v>
      </c>
    </row>
    <row r="16" spans="1:20" ht="15" customHeight="1" x14ac:dyDescent="0.25">
      <c r="E16" s="19">
        <v>6</v>
      </c>
      <c r="F16" s="19">
        <v>4</v>
      </c>
      <c r="G16" s="19" t="s">
        <v>774</v>
      </c>
      <c r="H16" s="19">
        <v>0.1004</v>
      </c>
      <c r="I16" s="19">
        <v>0.66190000000000004</v>
      </c>
      <c r="J16" s="19">
        <v>4.242</v>
      </c>
      <c r="K16" s="59" t="str">
        <f t="shared" si="0"/>
        <v>0.66 (0.10 – 4.24)</v>
      </c>
      <c r="L16" s="16" t="str">
        <f t="shared" si="1"/>
        <v>0.66
(0.10 – 4.24)</v>
      </c>
      <c r="N16" s="59" t="s">
        <v>437</v>
      </c>
      <c r="O16" s="16" t="s">
        <v>760</v>
      </c>
      <c r="P16">
        <v>0.26779999999999998</v>
      </c>
      <c r="Q16">
        <v>1.46</v>
      </c>
      <c r="R16">
        <v>8.9429999999999996</v>
      </c>
      <c r="S16">
        <v>5</v>
      </c>
      <c r="T16">
        <v>2</v>
      </c>
    </row>
    <row r="17" spans="5:20" ht="15" customHeight="1" x14ac:dyDescent="0.25">
      <c r="E17" s="19">
        <v>6</v>
      </c>
      <c r="F17" s="19">
        <v>10</v>
      </c>
      <c r="G17" s="19" t="s">
        <v>796</v>
      </c>
      <c r="H17" s="19">
        <v>8.0710250201775621E-2</v>
      </c>
      <c r="I17" s="19">
        <v>0.51759834368530022</v>
      </c>
      <c r="J17" s="19">
        <v>3.1545741324921135</v>
      </c>
      <c r="K17" s="59" t="str">
        <f t="shared" si="0"/>
        <v>0.52 (0.08 – 3.15)</v>
      </c>
      <c r="L17" s="16" t="str">
        <f t="shared" si="1"/>
        <v>0.52
(0.08 – 3.15)</v>
      </c>
      <c r="N17" s="59" t="s">
        <v>438</v>
      </c>
      <c r="O17" s="16" t="s">
        <v>761</v>
      </c>
      <c r="P17">
        <v>7.5939999999999994E-2</v>
      </c>
      <c r="Q17">
        <v>0.44629999999999997</v>
      </c>
      <c r="R17">
        <v>2.645</v>
      </c>
      <c r="S17">
        <v>6</v>
      </c>
      <c r="T17">
        <v>2</v>
      </c>
    </row>
    <row r="18" spans="5:20" ht="15" customHeight="1" x14ac:dyDescent="0.25">
      <c r="E18" s="19">
        <v>6</v>
      </c>
      <c r="F18" s="19">
        <v>2</v>
      </c>
      <c r="G18" s="19" t="s">
        <v>761</v>
      </c>
      <c r="H18" s="19">
        <v>7.5939999999999994E-2</v>
      </c>
      <c r="I18" s="19">
        <v>0.44629999999999997</v>
      </c>
      <c r="J18" s="19">
        <v>2.645</v>
      </c>
      <c r="K18" s="59" t="str">
        <f t="shared" si="0"/>
        <v>0.45 (0.08 – 2.65)</v>
      </c>
      <c r="L18" s="16" t="str">
        <f t="shared" si="1"/>
        <v>0.45
(0.08 – 2.65)</v>
      </c>
      <c r="N18" s="59" t="s">
        <v>439</v>
      </c>
      <c r="O18" s="16" t="s">
        <v>762</v>
      </c>
      <c r="P18">
        <v>6.3729999999999995E-2</v>
      </c>
      <c r="Q18">
        <v>0.37369999999999998</v>
      </c>
      <c r="R18">
        <v>1.655</v>
      </c>
      <c r="S18">
        <v>7</v>
      </c>
      <c r="T18">
        <v>2</v>
      </c>
    </row>
    <row r="19" spans="5:20" ht="15" customHeight="1" x14ac:dyDescent="0.25">
      <c r="E19" s="19">
        <v>6</v>
      </c>
      <c r="F19" s="19">
        <v>5</v>
      </c>
      <c r="G19" s="19" t="s">
        <v>779</v>
      </c>
      <c r="H19" s="19">
        <v>2.4819999999999998E-2</v>
      </c>
      <c r="I19" s="19">
        <v>0.30769999999999997</v>
      </c>
      <c r="J19" s="19">
        <v>3.6309999999999998</v>
      </c>
      <c r="K19" s="59" t="str">
        <f t="shared" si="0"/>
        <v>0.31 (0.02 – 3.63)</v>
      </c>
      <c r="L19" s="16" t="str">
        <f t="shared" si="1"/>
        <v>0.31
(0.02 – 3.63)</v>
      </c>
      <c r="N19" s="59" t="s">
        <v>440</v>
      </c>
      <c r="O19" s="16" t="s">
        <v>763</v>
      </c>
      <c r="P19">
        <v>0.1734</v>
      </c>
      <c r="Q19">
        <v>0.63009999999999999</v>
      </c>
      <c r="R19">
        <v>2.218</v>
      </c>
      <c r="S19">
        <v>8</v>
      </c>
      <c r="T19">
        <v>2</v>
      </c>
    </row>
    <row r="20" spans="5:20" ht="15" customHeight="1" x14ac:dyDescent="0.25">
      <c r="E20" s="19">
        <v>6</v>
      </c>
      <c r="F20" s="19">
        <v>1</v>
      </c>
      <c r="G20" s="19" t="s">
        <v>753</v>
      </c>
      <c r="H20" s="19">
        <v>5.2040000000000003E-2</v>
      </c>
      <c r="I20" s="19">
        <v>0.30249999999999999</v>
      </c>
      <c r="J20" s="19">
        <v>1.718</v>
      </c>
      <c r="K20" s="59" t="str">
        <f t="shared" si="0"/>
        <v>0.30 (0.05 – 1.72)</v>
      </c>
      <c r="L20" s="16" t="str">
        <f t="shared" si="1"/>
        <v>0.30
(0.05 – 1.72)</v>
      </c>
      <c r="N20" s="59" t="s">
        <v>441</v>
      </c>
      <c r="O20" s="16" t="s">
        <v>764</v>
      </c>
      <c r="P20">
        <v>1.0980000000000001</v>
      </c>
      <c r="Q20">
        <v>2.2949999999999999</v>
      </c>
      <c r="R20">
        <v>4.8099999999999996</v>
      </c>
      <c r="S20">
        <v>9</v>
      </c>
      <c r="T20">
        <v>2</v>
      </c>
    </row>
    <row r="21" spans="5:20" ht="15" customHeight="1" x14ac:dyDescent="0.25">
      <c r="E21" s="19">
        <v>6</v>
      </c>
      <c r="F21" s="19">
        <v>9</v>
      </c>
      <c r="G21" s="19" t="s">
        <v>794</v>
      </c>
      <c r="H21" s="19">
        <v>3.215434083601286E-2</v>
      </c>
      <c r="I21" s="19">
        <v>0.19758940920766646</v>
      </c>
      <c r="J21" s="19">
        <v>1.1825922421948911</v>
      </c>
      <c r="K21" s="59" t="str">
        <f t="shared" si="0"/>
        <v>0.20 (0.03 – 1.18)</v>
      </c>
      <c r="L21" s="16" t="str">
        <f t="shared" si="1"/>
        <v>0.20
(0.03 – 1.18)</v>
      </c>
      <c r="N21" s="59" t="s">
        <v>442</v>
      </c>
      <c r="O21" s="16" t="s">
        <v>765</v>
      </c>
      <c r="P21">
        <v>0.42320000000000002</v>
      </c>
      <c r="Q21">
        <v>0.87949999999999995</v>
      </c>
      <c r="R21">
        <v>1.8180000000000001</v>
      </c>
      <c r="S21">
        <v>10</v>
      </c>
      <c r="T21">
        <v>2</v>
      </c>
    </row>
    <row r="22" spans="5:20" ht="15" customHeight="1" x14ac:dyDescent="0.25">
      <c r="E22" s="19">
        <v>3</v>
      </c>
      <c r="F22" s="19">
        <v>8</v>
      </c>
      <c r="G22" s="19" t="s">
        <v>801</v>
      </c>
      <c r="H22" s="19">
        <v>0.22578460149017834</v>
      </c>
      <c r="I22" s="19">
        <v>0.97847358121330719</v>
      </c>
      <c r="J22" s="19">
        <v>4.0128410914927768</v>
      </c>
      <c r="K22" s="59" t="str">
        <f t="shared" si="0"/>
        <v>0.98 (0.23 – 4.01)</v>
      </c>
      <c r="L22" s="16" t="str">
        <f t="shared" si="1"/>
        <v>0.98
(0.23 – 4.01)</v>
      </c>
      <c r="N22" s="59" t="s">
        <v>443</v>
      </c>
      <c r="O22" s="16" t="s">
        <v>766</v>
      </c>
      <c r="P22">
        <v>0.42409999999999998</v>
      </c>
      <c r="Q22">
        <v>1.1180000000000001</v>
      </c>
      <c r="R22">
        <v>2.8780000000000001</v>
      </c>
      <c r="S22">
        <v>4</v>
      </c>
      <c r="T22">
        <v>3</v>
      </c>
    </row>
    <row r="23" spans="5:20" ht="15" customHeight="1" x14ac:dyDescent="0.25">
      <c r="E23" s="19">
        <v>3</v>
      </c>
      <c r="F23" s="19">
        <v>4</v>
      </c>
      <c r="G23" s="19" t="s">
        <v>875</v>
      </c>
      <c r="H23" s="19">
        <v>0.34746351633078526</v>
      </c>
      <c r="I23" s="19">
        <v>0.89445438282647571</v>
      </c>
      <c r="J23" s="19">
        <v>2.3579344494223062</v>
      </c>
      <c r="K23" s="59" t="str">
        <f t="shared" si="0"/>
        <v>0.89 (0.35 – 2.36)</v>
      </c>
      <c r="L23" s="16" t="str">
        <f t="shared" si="1"/>
        <v>0.89
(0.35 – 2.36)</v>
      </c>
      <c r="N23" s="59" t="s">
        <v>444</v>
      </c>
      <c r="O23" s="16" t="s">
        <v>767</v>
      </c>
      <c r="P23">
        <v>0.37719999999999998</v>
      </c>
      <c r="Q23">
        <v>2.3879999999999999</v>
      </c>
      <c r="R23">
        <v>16.16</v>
      </c>
      <c r="S23">
        <v>5</v>
      </c>
      <c r="T23">
        <v>3</v>
      </c>
    </row>
    <row r="24" spans="5:20" ht="15" customHeight="1" x14ac:dyDescent="0.25">
      <c r="E24" s="19">
        <v>3</v>
      </c>
      <c r="F24" s="19">
        <v>10</v>
      </c>
      <c r="G24" s="19" t="s">
        <v>802</v>
      </c>
      <c r="H24" s="19">
        <v>0.29726516052318669</v>
      </c>
      <c r="I24" s="19">
        <v>0.68587105624142664</v>
      </c>
      <c r="J24" s="19">
        <v>1.5151515151515151</v>
      </c>
      <c r="K24" s="59" t="str">
        <f t="shared" si="0"/>
        <v>0.69 (0.30 – 1.52)</v>
      </c>
      <c r="L24" s="16" t="str">
        <f t="shared" si="1"/>
        <v>0.69
(0.30 – 1.52)</v>
      </c>
      <c r="N24" s="59" t="s">
        <v>445</v>
      </c>
      <c r="O24" s="16" t="s">
        <v>768</v>
      </c>
      <c r="P24">
        <v>0.1452</v>
      </c>
      <c r="Q24">
        <v>0.75090000000000001</v>
      </c>
      <c r="R24">
        <v>3.722</v>
      </c>
      <c r="S24">
        <v>6</v>
      </c>
      <c r="T24">
        <v>3</v>
      </c>
    </row>
    <row r="25" spans="5:20" ht="15" customHeight="1" x14ac:dyDescent="0.25">
      <c r="E25" s="19">
        <v>3</v>
      </c>
      <c r="F25" s="19">
        <v>2</v>
      </c>
      <c r="G25" s="19" t="s">
        <v>758</v>
      </c>
      <c r="H25" s="19">
        <v>0.29709999999999998</v>
      </c>
      <c r="I25" s="19">
        <v>0.61070000000000002</v>
      </c>
      <c r="J25" s="19">
        <v>1.163</v>
      </c>
      <c r="K25" s="59" t="str">
        <f t="shared" si="0"/>
        <v>0.61 (0.30 – 1.16)</v>
      </c>
      <c r="L25" s="16" t="str">
        <f t="shared" si="1"/>
        <v>0.61
(0.30 – 1.16)</v>
      </c>
      <c r="N25" s="59" t="s">
        <v>446</v>
      </c>
      <c r="O25" s="16" t="s">
        <v>769</v>
      </c>
      <c r="P25">
        <v>9.3420000000000003E-2</v>
      </c>
      <c r="Q25">
        <v>0.61560000000000004</v>
      </c>
      <c r="R25">
        <v>3.153</v>
      </c>
      <c r="S25">
        <v>7</v>
      </c>
      <c r="T25">
        <v>3</v>
      </c>
    </row>
    <row r="26" spans="5:20" ht="15" customHeight="1" x14ac:dyDescent="0.25">
      <c r="E26" s="19">
        <v>3</v>
      </c>
      <c r="F26" s="19">
        <v>5</v>
      </c>
      <c r="G26" s="19" t="s">
        <v>876</v>
      </c>
      <c r="H26" s="19">
        <v>6.1881188118811881E-2</v>
      </c>
      <c r="I26" s="19">
        <v>0.41876046901172531</v>
      </c>
      <c r="J26" s="19">
        <v>2.6511134676564159</v>
      </c>
      <c r="K26" s="59" t="str">
        <f t="shared" si="0"/>
        <v>0.42 (0.06 – 2.65)</v>
      </c>
      <c r="L26" s="16" t="str">
        <f t="shared" si="1"/>
        <v>0.42
(0.06 – 2.65)</v>
      </c>
      <c r="N26" s="59" t="s">
        <v>447</v>
      </c>
      <c r="O26" s="16" t="s">
        <v>770</v>
      </c>
      <c r="P26">
        <v>0.2492</v>
      </c>
      <c r="Q26">
        <v>1.022</v>
      </c>
      <c r="R26">
        <v>4.4290000000000003</v>
      </c>
      <c r="S26">
        <v>8</v>
      </c>
      <c r="T26">
        <v>3</v>
      </c>
    </row>
    <row r="27" spans="5:20" ht="15" customHeight="1" x14ac:dyDescent="0.25">
      <c r="E27" s="19">
        <v>3</v>
      </c>
      <c r="F27" s="19">
        <v>1</v>
      </c>
      <c r="G27" s="19" t="s">
        <v>750</v>
      </c>
      <c r="H27" s="19">
        <v>0.20749999999999999</v>
      </c>
      <c r="I27" s="19">
        <v>0.40960000000000002</v>
      </c>
      <c r="J27" s="19">
        <v>0.75219999999999998</v>
      </c>
      <c r="K27" s="59" t="str">
        <f t="shared" si="0"/>
        <v>0.41 (0.21 – 0.75)</v>
      </c>
      <c r="L27" s="16" t="str">
        <f t="shared" si="1"/>
        <v>0.41
(0.21 – 0.75)</v>
      </c>
      <c r="N27" s="59" t="s">
        <v>448</v>
      </c>
      <c r="O27" s="16" t="s">
        <v>771</v>
      </c>
      <c r="P27">
        <v>1.768</v>
      </c>
      <c r="Q27">
        <v>3.7650000000000001</v>
      </c>
      <c r="R27">
        <v>8.4670000000000005</v>
      </c>
      <c r="S27">
        <v>9</v>
      </c>
      <c r="T27">
        <v>3</v>
      </c>
    </row>
    <row r="28" spans="5:20" ht="15" customHeight="1" x14ac:dyDescent="0.25">
      <c r="E28" s="19">
        <v>3</v>
      </c>
      <c r="F28" s="19">
        <v>9</v>
      </c>
      <c r="G28" s="19" t="s">
        <v>800</v>
      </c>
      <c r="H28" s="19">
        <v>0.11810558639423643</v>
      </c>
      <c r="I28" s="19">
        <v>0.26560424966799467</v>
      </c>
      <c r="J28" s="19">
        <v>0.56561085972850678</v>
      </c>
      <c r="K28" s="59" t="str">
        <f t="shared" si="0"/>
        <v>0.27 (0.12 – 0.57)</v>
      </c>
      <c r="L28" s="16" t="str">
        <f t="shared" si="1"/>
        <v>0.27
(0.12 – 0.57)</v>
      </c>
      <c r="N28" s="59" t="s">
        <v>449</v>
      </c>
      <c r="O28" s="16" t="s">
        <v>772</v>
      </c>
      <c r="P28">
        <v>0.66</v>
      </c>
      <c r="Q28">
        <v>1.458</v>
      </c>
      <c r="R28">
        <v>3.3639999999999999</v>
      </c>
      <c r="S28">
        <v>10</v>
      </c>
      <c r="T28">
        <v>3</v>
      </c>
    </row>
    <row r="29" spans="5:20" ht="15" customHeight="1" x14ac:dyDescent="0.25">
      <c r="E29" s="19">
        <v>8</v>
      </c>
      <c r="F29" s="19">
        <v>4</v>
      </c>
      <c r="G29" s="19" t="s">
        <v>776</v>
      </c>
      <c r="H29" s="19">
        <v>0.17249999999999999</v>
      </c>
      <c r="I29" s="19">
        <v>0.92830000000000001</v>
      </c>
      <c r="J29" s="19">
        <v>4.8949999999999996</v>
      </c>
      <c r="K29" s="59" t="str">
        <f t="shared" si="0"/>
        <v>0.93 (0.17 – 4.90)</v>
      </c>
      <c r="L29" s="16" t="str">
        <f t="shared" si="1"/>
        <v>0.93
(0.17 – 4.90)</v>
      </c>
      <c r="N29" s="59" t="s">
        <v>450</v>
      </c>
      <c r="O29" s="16" t="s">
        <v>773</v>
      </c>
      <c r="P29">
        <v>0.29170000000000001</v>
      </c>
      <c r="Q29">
        <v>2.161</v>
      </c>
      <c r="R29">
        <v>18.21</v>
      </c>
      <c r="S29">
        <v>5</v>
      </c>
      <c r="T29">
        <v>4</v>
      </c>
    </row>
    <row r="30" spans="5:20" ht="15" customHeight="1" x14ac:dyDescent="0.25">
      <c r="E30" s="19">
        <v>8</v>
      </c>
      <c r="F30" s="19">
        <v>10</v>
      </c>
      <c r="G30" s="19" t="s">
        <v>804</v>
      </c>
      <c r="H30" s="19">
        <v>0.16561775422325273</v>
      </c>
      <c r="I30" s="19">
        <v>0.70028011204481799</v>
      </c>
      <c r="J30" s="19">
        <v>3.0175015087507546</v>
      </c>
      <c r="K30" s="59" t="str">
        <f t="shared" si="0"/>
        <v>0.70 (0.17 – 3.02)</v>
      </c>
      <c r="L30" s="16" t="str">
        <f t="shared" si="1"/>
        <v>0.70
(0.17 – 3.02)</v>
      </c>
      <c r="N30" s="59" t="s">
        <v>451</v>
      </c>
      <c r="O30" s="16" t="s">
        <v>774</v>
      </c>
      <c r="P30">
        <v>0.1004</v>
      </c>
      <c r="Q30">
        <v>0.66190000000000004</v>
      </c>
      <c r="R30">
        <v>4.242</v>
      </c>
      <c r="S30">
        <v>6</v>
      </c>
      <c r="T30">
        <v>4</v>
      </c>
    </row>
    <row r="31" spans="5:20" ht="15" customHeight="1" x14ac:dyDescent="0.25">
      <c r="E31" s="19">
        <v>8</v>
      </c>
      <c r="F31" s="19">
        <v>2</v>
      </c>
      <c r="G31" s="19" t="s">
        <v>763</v>
      </c>
      <c r="H31" s="19">
        <v>0.1734</v>
      </c>
      <c r="I31" s="19">
        <v>0.63009999999999999</v>
      </c>
      <c r="J31" s="19">
        <v>2.218</v>
      </c>
      <c r="K31" s="59" t="str">
        <f t="shared" si="0"/>
        <v>0.63 (0.17 – 2.22)</v>
      </c>
      <c r="L31" s="16" t="str">
        <f t="shared" si="1"/>
        <v>0.63
(0.17 – 2.22)</v>
      </c>
      <c r="N31" s="59" t="s">
        <v>452</v>
      </c>
      <c r="O31" s="16" t="s">
        <v>775</v>
      </c>
      <c r="P31">
        <v>7.3209999999999997E-2</v>
      </c>
      <c r="Q31">
        <v>0.56330000000000002</v>
      </c>
      <c r="R31">
        <v>3.339</v>
      </c>
      <c r="S31">
        <v>7</v>
      </c>
      <c r="T31">
        <v>4</v>
      </c>
    </row>
    <row r="32" spans="5:20" ht="15" customHeight="1" x14ac:dyDescent="0.25">
      <c r="E32" s="19">
        <v>8</v>
      </c>
      <c r="F32" s="19">
        <v>5</v>
      </c>
      <c r="G32" s="19" t="s">
        <v>781</v>
      </c>
      <c r="H32" s="19">
        <v>4.8959999999999997E-2</v>
      </c>
      <c r="I32" s="19">
        <v>0.42880000000000001</v>
      </c>
      <c r="J32" s="19">
        <v>3.6240000000000001</v>
      </c>
      <c r="K32" s="59" t="str">
        <f t="shared" si="0"/>
        <v>0.43 (0.05 – 3.62)</v>
      </c>
      <c r="L32" s="16" t="str">
        <f t="shared" si="1"/>
        <v>0.43
(0.05 – 3.62)</v>
      </c>
      <c r="N32" s="59" t="s">
        <v>453</v>
      </c>
      <c r="O32" s="16" t="s">
        <v>776</v>
      </c>
      <c r="P32">
        <v>0.17249999999999999</v>
      </c>
      <c r="Q32">
        <v>0.92830000000000001</v>
      </c>
      <c r="R32">
        <v>4.8949999999999996</v>
      </c>
      <c r="S32">
        <v>8</v>
      </c>
      <c r="T32">
        <v>4</v>
      </c>
    </row>
    <row r="33" spans="3:20" ht="15" customHeight="1" x14ac:dyDescent="0.25">
      <c r="E33" s="19">
        <v>8</v>
      </c>
      <c r="F33" s="19">
        <v>1</v>
      </c>
      <c r="G33" s="19" t="s">
        <v>755</v>
      </c>
      <c r="H33" s="19">
        <v>0.1067</v>
      </c>
      <c r="I33" s="19">
        <v>0.41739999999999999</v>
      </c>
      <c r="J33" s="19">
        <v>1.629</v>
      </c>
      <c r="K33" s="59" t="str">
        <f t="shared" si="0"/>
        <v>0.42 (0.11 – 1.63)</v>
      </c>
      <c r="L33" s="16" t="str">
        <f t="shared" si="1"/>
        <v>0.42
(0.11 – 1.63)</v>
      </c>
      <c r="N33" s="59" t="s">
        <v>454</v>
      </c>
      <c r="O33" s="16" t="s">
        <v>777</v>
      </c>
      <c r="P33">
        <v>1.099</v>
      </c>
      <c r="Q33">
        <v>3.3559999999999999</v>
      </c>
      <c r="R33">
        <v>10.38</v>
      </c>
      <c r="S33">
        <v>9</v>
      </c>
      <c r="T33">
        <v>4</v>
      </c>
    </row>
    <row r="34" spans="3:20" ht="15" customHeight="1" x14ac:dyDescent="0.25">
      <c r="E34" s="19">
        <v>8</v>
      </c>
      <c r="F34" s="19">
        <v>9</v>
      </c>
      <c r="G34" s="19" t="s">
        <v>877</v>
      </c>
      <c r="H34" s="19">
        <v>6.2656641604010022E-2</v>
      </c>
      <c r="I34" s="19">
        <v>0.27159152634437805</v>
      </c>
      <c r="J34" s="19">
        <v>1.1868027533823877</v>
      </c>
      <c r="K34" s="59" t="str">
        <f t="shared" si="0"/>
        <v>0.27 (0.06 – 1.19)</v>
      </c>
      <c r="L34" s="16" t="str">
        <f t="shared" si="1"/>
        <v>0.27
(0.06 – 1.19)</v>
      </c>
      <c r="N34" s="59" t="s">
        <v>455</v>
      </c>
      <c r="O34" s="16" t="s">
        <v>778</v>
      </c>
      <c r="P34">
        <v>0.40870000000000001</v>
      </c>
      <c r="Q34">
        <v>1.3089999999999999</v>
      </c>
      <c r="R34">
        <v>4.1689999999999996</v>
      </c>
      <c r="S34">
        <v>10</v>
      </c>
      <c r="T34">
        <v>4</v>
      </c>
    </row>
    <row r="35" spans="3:20" ht="15" customHeight="1" x14ac:dyDescent="0.25">
      <c r="E35" s="19">
        <v>4</v>
      </c>
      <c r="F35" s="19">
        <v>10</v>
      </c>
      <c r="G35" s="19" t="s">
        <v>799</v>
      </c>
      <c r="H35" s="19">
        <v>0.23986567522187577</v>
      </c>
      <c r="I35" s="19">
        <v>0.76394194041252872</v>
      </c>
      <c r="J35" s="19">
        <v>2.4467824810374359</v>
      </c>
      <c r="K35" s="59" t="str">
        <f t="shared" si="0"/>
        <v>0.76 (0.24 – 2.45)</v>
      </c>
      <c r="L35" s="16" t="str">
        <f t="shared" si="1"/>
        <v>0.76
(0.24 – 2.45)</v>
      </c>
      <c r="N35" s="59" t="s">
        <v>456</v>
      </c>
      <c r="O35" s="16" t="s">
        <v>779</v>
      </c>
      <c r="P35">
        <v>2.4819999999999998E-2</v>
      </c>
      <c r="Q35">
        <v>0.30769999999999997</v>
      </c>
      <c r="R35">
        <v>3.6309999999999998</v>
      </c>
      <c r="S35">
        <v>6</v>
      </c>
      <c r="T35">
        <v>5</v>
      </c>
    </row>
    <row r="36" spans="3:20" ht="15" customHeight="1" x14ac:dyDescent="0.25">
      <c r="C36" s="56"/>
      <c r="D36" s="57"/>
      <c r="E36" s="57">
        <v>4</v>
      </c>
      <c r="F36" s="57">
        <v>2</v>
      </c>
      <c r="G36" s="57" t="s">
        <v>759</v>
      </c>
      <c r="H36" s="57">
        <v>0.2293</v>
      </c>
      <c r="I36" s="57">
        <v>0.67620000000000002</v>
      </c>
      <c r="J36" s="57">
        <v>2.0379999999999998</v>
      </c>
      <c r="K36" s="59" t="str">
        <f t="shared" si="0"/>
        <v>0.68 (0.23 – 2.04)</v>
      </c>
      <c r="L36" s="16" t="str">
        <f t="shared" si="1"/>
        <v>0.68
(0.23 – 2.04)</v>
      </c>
      <c r="M36" s="57"/>
      <c r="N36" s="59" t="s">
        <v>457</v>
      </c>
      <c r="O36" s="16" t="s">
        <v>780</v>
      </c>
      <c r="P36">
        <v>1.8929999999999999E-2</v>
      </c>
      <c r="Q36">
        <v>0.25629999999999997</v>
      </c>
      <c r="R36">
        <v>2.4780000000000002</v>
      </c>
      <c r="S36">
        <v>7</v>
      </c>
      <c r="T36">
        <v>5</v>
      </c>
    </row>
    <row r="37" spans="3:20" ht="15" customHeight="1" x14ac:dyDescent="0.25">
      <c r="C37" s="56"/>
      <c r="D37" s="57"/>
      <c r="E37" s="57">
        <v>4</v>
      </c>
      <c r="F37" s="57">
        <v>5</v>
      </c>
      <c r="G37" s="57" t="s">
        <v>878</v>
      </c>
      <c r="H37" s="57">
        <v>5.491488193300384E-2</v>
      </c>
      <c r="I37" s="57">
        <v>0.46274872744099954</v>
      </c>
      <c r="J37" s="57">
        <v>3.4281796366129584</v>
      </c>
      <c r="K37" s="59" t="str">
        <f t="shared" si="0"/>
        <v>0.46 (0.05 – 3.43)</v>
      </c>
      <c r="L37" s="16" t="str">
        <f t="shared" si="1"/>
        <v>0.46
(0.05 – 3.43)</v>
      </c>
      <c r="M37" s="57"/>
      <c r="N37" s="59" t="s">
        <v>458</v>
      </c>
      <c r="O37" s="16" t="s">
        <v>781</v>
      </c>
      <c r="P37">
        <v>4.8959999999999997E-2</v>
      </c>
      <c r="Q37">
        <v>0.42880000000000001</v>
      </c>
      <c r="R37">
        <v>3.6240000000000001</v>
      </c>
      <c r="S37">
        <v>8</v>
      </c>
      <c r="T37">
        <v>5</v>
      </c>
    </row>
    <row r="38" spans="3:20" ht="15" customHeight="1" x14ac:dyDescent="0.25">
      <c r="C38" s="56"/>
      <c r="D38" s="57"/>
      <c r="E38" s="57">
        <v>4</v>
      </c>
      <c r="F38" s="57">
        <v>1</v>
      </c>
      <c r="G38" s="57" t="s">
        <v>751</v>
      </c>
      <c r="H38" s="57">
        <v>0.15759999999999999</v>
      </c>
      <c r="I38" s="57">
        <v>0.45979999999999999</v>
      </c>
      <c r="J38" s="57">
        <v>1.288</v>
      </c>
      <c r="K38" s="59" t="str">
        <f t="shared" si="0"/>
        <v>0.46 (0.16 – 1.29)</v>
      </c>
      <c r="L38" s="16" t="str">
        <f t="shared" si="1"/>
        <v>0.46
(0.16 – 1.29)</v>
      </c>
      <c r="M38" s="57"/>
      <c r="N38" s="59" t="s">
        <v>459</v>
      </c>
      <c r="O38" s="16" t="s">
        <v>782</v>
      </c>
      <c r="P38">
        <v>0.22939999999999999</v>
      </c>
      <c r="Q38">
        <v>1.5880000000000001</v>
      </c>
      <c r="R38">
        <v>10.27</v>
      </c>
      <c r="S38">
        <v>9</v>
      </c>
      <c r="T38">
        <v>5</v>
      </c>
    </row>
    <row r="39" spans="3:20" ht="15" customHeight="1" x14ac:dyDescent="0.25">
      <c r="C39" s="56"/>
      <c r="D39" s="57"/>
      <c r="E39" s="57">
        <v>4</v>
      </c>
      <c r="F39" s="57">
        <v>9</v>
      </c>
      <c r="G39" s="57" t="s">
        <v>798</v>
      </c>
      <c r="H39" s="57">
        <v>9.6339113680154131E-2</v>
      </c>
      <c r="I39" s="57">
        <v>0.29797377830750893</v>
      </c>
      <c r="J39" s="57">
        <v>0.90991810737033674</v>
      </c>
      <c r="K39" s="59" t="str">
        <f t="shared" si="0"/>
        <v>0.30 (0.10 – 0.91)</v>
      </c>
      <c r="L39" s="16" t="str">
        <f t="shared" si="1"/>
        <v>0.30
(0.10 – 0.91)</v>
      </c>
      <c r="M39" s="57"/>
      <c r="N39" s="59" t="s">
        <v>460</v>
      </c>
      <c r="O39" s="16" t="s">
        <v>783</v>
      </c>
      <c r="P39">
        <v>8.3720000000000003E-2</v>
      </c>
      <c r="Q39">
        <v>0.61499999999999999</v>
      </c>
      <c r="R39">
        <v>3.7690000000000001</v>
      </c>
      <c r="S39">
        <v>10</v>
      </c>
      <c r="T39">
        <v>5</v>
      </c>
    </row>
    <row r="40" spans="3:20" ht="15" customHeight="1" x14ac:dyDescent="0.25">
      <c r="C40" s="56"/>
      <c r="D40" s="57"/>
      <c r="E40" s="57">
        <v>10</v>
      </c>
      <c r="F40" s="57">
        <v>2</v>
      </c>
      <c r="G40" s="57" t="s">
        <v>765</v>
      </c>
      <c r="H40" s="57">
        <v>0.42320000000000002</v>
      </c>
      <c r="I40" s="57">
        <v>0.87949999999999995</v>
      </c>
      <c r="J40" s="57">
        <v>1.8180000000000001</v>
      </c>
      <c r="K40" s="59" t="str">
        <f t="shared" si="0"/>
        <v>0.88 (0.42 – 1.82)</v>
      </c>
      <c r="L40" s="16" t="str">
        <f t="shared" si="1"/>
        <v>0.88
(0.42 – 1.82)</v>
      </c>
      <c r="M40" s="57"/>
      <c r="N40" s="59" t="s">
        <v>461</v>
      </c>
      <c r="O40" s="16" t="s">
        <v>784</v>
      </c>
      <c r="P40">
        <v>7.0370000000000002E-2</v>
      </c>
      <c r="Q40">
        <v>0.82909999999999995</v>
      </c>
      <c r="R40">
        <v>8.2149999999999999</v>
      </c>
      <c r="S40">
        <v>7</v>
      </c>
      <c r="T40">
        <v>6</v>
      </c>
    </row>
    <row r="41" spans="3:20" ht="15" customHeight="1" x14ac:dyDescent="0.25">
      <c r="C41" s="56"/>
      <c r="D41" s="57"/>
      <c r="E41" s="57">
        <v>10</v>
      </c>
      <c r="F41" s="57">
        <v>5</v>
      </c>
      <c r="G41" s="57" t="s">
        <v>783</v>
      </c>
      <c r="H41" s="57">
        <v>8.3720000000000003E-2</v>
      </c>
      <c r="I41" s="57">
        <v>0.61499999999999999</v>
      </c>
      <c r="J41" s="57">
        <v>3.7690000000000001</v>
      </c>
      <c r="K41" s="59" t="str">
        <f t="shared" si="0"/>
        <v>0.62 (0.08 – 3.77)</v>
      </c>
      <c r="L41" s="16" t="str">
        <f t="shared" si="1"/>
        <v>0.62
(0.08 – 3.77)</v>
      </c>
      <c r="M41" s="57"/>
      <c r="N41" s="59" t="s">
        <v>462</v>
      </c>
      <c r="O41" s="16" t="s">
        <v>785</v>
      </c>
      <c r="P41">
        <v>0.1724</v>
      </c>
      <c r="Q41">
        <v>1.3640000000000001</v>
      </c>
      <c r="R41">
        <v>12.04</v>
      </c>
      <c r="S41">
        <v>8</v>
      </c>
      <c r="T41">
        <v>6</v>
      </c>
    </row>
    <row r="42" spans="3:20" ht="15" customHeight="1" x14ac:dyDescent="0.25">
      <c r="C42" s="56"/>
      <c r="D42" s="57"/>
      <c r="E42" s="57">
        <v>10</v>
      </c>
      <c r="F42" s="57">
        <v>1</v>
      </c>
      <c r="G42" s="57" t="s">
        <v>757</v>
      </c>
      <c r="H42" s="57">
        <v>0.28589999999999999</v>
      </c>
      <c r="I42" s="57">
        <v>0.60040000000000004</v>
      </c>
      <c r="J42" s="57">
        <v>1.2130000000000001</v>
      </c>
      <c r="K42" s="59" t="str">
        <f t="shared" si="0"/>
        <v>0.60 (0.29 – 1.21)</v>
      </c>
      <c r="L42" s="16" t="str">
        <f t="shared" si="1"/>
        <v>0.60
(0.29 – 1.21)</v>
      </c>
      <c r="M42" s="57"/>
      <c r="N42" s="59" t="s">
        <v>463</v>
      </c>
      <c r="O42" s="16" t="s">
        <v>786</v>
      </c>
      <c r="P42">
        <v>0.84560000000000002</v>
      </c>
      <c r="Q42">
        <v>5.0609999999999999</v>
      </c>
      <c r="R42">
        <v>31.1</v>
      </c>
      <c r="S42">
        <v>9</v>
      </c>
      <c r="T42">
        <v>6</v>
      </c>
    </row>
    <row r="43" spans="3:20" ht="15" customHeight="1" x14ac:dyDescent="0.25">
      <c r="C43" s="56"/>
      <c r="D43" s="57"/>
      <c r="E43" s="57">
        <v>10</v>
      </c>
      <c r="F43" s="57">
        <v>9</v>
      </c>
      <c r="G43" s="57" t="s">
        <v>793</v>
      </c>
      <c r="H43" s="57">
        <v>0.15029999999999999</v>
      </c>
      <c r="I43" s="57">
        <v>0.38800000000000001</v>
      </c>
      <c r="J43" s="57">
        <v>0.94279999999999997</v>
      </c>
      <c r="K43" s="59" t="str">
        <f t="shared" si="0"/>
        <v>0.39 (0.15 – 0.94)</v>
      </c>
      <c r="L43" s="16" t="str">
        <f t="shared" si="1"/>
        <v>0.39
(0.15 – 0.94)</v>
      </c>
      <c r="M43" s="57"/>
      <c r="N43" s="59" t="s">
        <v>464</v>
      </c>
      <c r="O43" s="16" t="s">
        <v>787</v>
      </c>
      <c r="P43">
        <v>0.317</v>
      </c>
      <c r="Q43">
        <v>1.9319999999999999</v>
      </c>
      <c r="R43">
        <v>12.39</v>
      </c>
      <c r="S43">
        <v>10</v>
      </c>
      <c r="T43">
        <v>6</v>
      </c>
    </row>
    <row r="44" spans="3:20" ht="15" customHeight="1" x14ac:dyDescent="0.25">
      <c r="C44" s="56"/>
      <c r="D44" s="57"/>
      <c r="E44" s="57">
        <v>2</v>
      </c>
      <c r="F44" s="57">
        <v>5</v>
      </c>
      <c r="G44" s="57" t="s">
        <v>879</v>
      </c>
      <c r="H44" s="57">
        <v>0.11181930001118194</v>
      </c>
      <c r="I44" s="57">
        <v>0.68493150684931503</v>
      </c>
      <c r="J44" s="57">
        <v>3.734129947722181</v>
      </c>
      <c r="K44" s="59" t="str">
        <f t="shared" si="0"/>
        <v>0.68 (0.11 – 3.73)</v>
      </c>
      <c r="L44" s="16" t="str">
        <f t="shared" si="1"/>
        <v>0.68
(0.11 – 3.73)</v>
      </c>
      <c r="M44" s="57"/>
      <c r="N44" s="59" t="s">
        <v>465</v>
      </c>
      <c r="O44" s="16" t="s">
        <v>788</v>
      </c>
      <c r="P44">
        <v>0.2293</v>
      </c>
      <c r="Q44">
        <v>1.673</v>
      </c>
      <c r="R44">
        <v>16</v>
      </c>
      <c r="S44">
        <v>8</v>
      </c>
      <c r="T44">
        <v>7</v>
      </c>
    </row>
    <row r="45" spans="3:20" ht="15" customHeight="1" x14ac:dyDescent="0.25">
      <c r="C45" s="56"/>
      <c r="D45" s="57"/>
      <c r="E45" s="57">
        <v>2</v>
      </c>
      <c r="F45" s="57">
        <v>1</v>
      </c>
      <c r="G45" s="57" t="s">
        <v>749</v>
      </c>
      <c r="H45" s="57">
        <v>0.39800000000000002</v>
      </c>
      <c r="I45" s="57">
        <v>0.67390000000000005</v>
      </c>
      <c r="J45" s="57">
        <v>1.139</v>
      </c>
      <c r="K45" s="59" t="str">
        <f t="shared" si="0"/>
        <v>0.67 (0.40 – 1.14)</v>
      </c>
      <c r="L45" s="16" t="str">
        <f t="shared" si="1"/>
        <v>0.67
(0.40 – 1.14)</v>
      </c>
      <c r="M45" s="57"/>
      <c r="N45" s="59" t="s">
        <v>466</v>
      </c>
      <c r="O45" s="16" t="s">
        <v>789</v>
      </c>
      <c r="P45">
        <v>1.145</v>
      </c>
      <c r="Q45">
        <v>6.1749999999999998</v>
      </c>
      <c r="R45">
        <v>42.37</v>
      </c>
      <c r="S45">
        <v>9</v>
      </c>
      <c r="T45">
        <v>7</v>
      </c>
    </row>
    <row r="46" spans="3:20" ht="15" customHeight="1" x14ac:dyDescent="0.25">
      <c r="C46" s="56"/>
      <c r="D46" s="57"/>
      <c r="E46" s="57">
        <v>2</v>
      </c>
      <c r="F46" s="57">
        <v>9</v>
      </c>
      <c r="G46" s="57" t="s">
        <v>880</v>
      </c>
      <c r="H46" s="57">
        <v>0.20790020790020791</v>
      </c>
      <c r="I46" s="57">
        <v>0.4357298474945534</v>
      </c>
      <c r="J46" s="57">
        <v>0.91074681238615662</v>
      </c>
      <c r="K46" s="59" t="str">
        <f t="shared" si="0"/>
        <v>0.44 (0.21 – 0.91)</v>
      </c>
      <c r="L46" s="16" t="str">
        <f t="shared" si="1"/>
        <v>0.44
(0.21 – 0.91)</v>
      </c>
      <c r="M46" s="57"/>
      <c r="N46" s="59" t="s">
        <v>467</v>
      </c>
      <c r="O46" s="16" t="s">
        <v>790</v>
      </c>
      <c r="P46">
        <v>0.47020000000000001</v>
      </c>
      <c r="Q46">
        <v>2.3580000000000001</v>
      </c>
      <c r="R46">
        <v>16.100000000000001</v>
      </c>
      <c r="S46">
        <v>10</v>
      </c>
      <c r="T46">
        <v>7</v>
      </c>
    </row>
    <row r="47" spans="3:20" ht="15" customHeight="1" x14ac:dyDescent="0.25">
      <c r="C47" s="56"/>
      <c r="D47" s="57"/>
      <c r="E47" s="57">
        <v>5</v>
      </c>
      <c r="F47" s="57">
        <v>1</v>
      </c>
      <c r="G47" s="57" t="s">
        <v>752</v>
      </c>
      <c r="H47" s="57">
        <v>0.1661</v>
      </c>
      <c r="I47" s="57">
        <v>0.97130000000000005</v>
      </c>
      <c r="J47" s="57">
        <v>6.2919999999999998</v>
      </c>
      <c r="K47" s="59" t="str">
        <f t="shared" si="0"/>
        <v>0.97 (0.17 – 6.29)</v>
      </c>
      <c r="L47" s="16" t="str">
        <f t="shared" si="1"/>
        <v>0.97
(0.17 – 6.29)</v>
      </c>
      <c r="M47" s="57"/>
      <c r="N47" s="59" t="s">
        <v>468</v>
      </c>
      <c r="O47" s="16" t="s">
        <v>791</v>
      </c>
      <c r="P47">
        <v>0.84260000000000002</v>
      </c>
      <c r="Q47">
        <v>3.6819999999999999</v>
      </c>
      <c r="R47">
        <v>15.96</v>
      </c>
      <c r="S47">
        <v>9</v>
      </c>
      <c r="T47">
        <v>8</v>
      </c>
    </row>
    <row r="48" spans="3:20" ht="15" customHeight="1" x14ac:dyDescent="0.25">
      <c r="C48" s="56"/>
      <c r="D48" s="57"/>
      <c r="E48" s="57">
        <v>5</v>
      </c>
      <c r="F48" s="57">
        <v>9</v>
      </c>
      <c r="G48" s="57" t="s">
        <v>797</v>
      </c>
      <c r="H48" s="57">
        <v>9.7370983446932818E-2</v>
      </c>
      <c r="I48" s="57">
        <v>0.62972292191435764</v>
      </c>
      <c r="J48" s="57">
        <v>4.3591979075850045</v>
      </c>
      <c r="K48" s="59" t="str">
        <f t="shared" si="0"/>
        <v>0.63 (0.10 – 4.36)</v>
      </c>
      <c r="L48" s="16" t="str">
        <f t="shared" si="1"/>
        <v>0.63
(0.10 – 4.36)</v>
      </c>
      <c r="M48" s="57"/>
      <c r="N48" s="59" t="s">
        <v>469</v>
      </c>
      <c r="O48" s="16" t="s">
        <v>792</v>
      </c>
      <c r="P48">
        <v>0.33139999999999997</v>
      </c>
      <c r="Q48">
        <v>1.4279999999999999</v>
      </c>
      <c r="R48">
        <v>6.0380000000000003</v>
      </c>
      <c r="S48">
        <v>10</v>
      </c>
      <c r="T48">
        <v>8</v>
      </c>
    </row>
    <row r="49" spans="3:20" ht="15" customHeight="1" x14ac:dyDescent="0.25">
      <c r="C49" s="56"/>
      <c r="D49" s="57"/>
      <c r="E49" s="57">
        <v>1</v>
      </c>
      <c r="F49" s="57">
        <v>9</v>
      </c>
      <c r="G49" s="57" t="s">
        <v>803</v>
      </c>
      <c r="H49" s="57">
        <v>0.37750094375235937</v>
      </c>
      <c r="I49" s="57">
        <v>0.64850843060959795</v>
      </c>
      <c r="J49" s="57">
        <v>1.1284134506883323</v>
      </c>
      <c r="K49" s="59" t="str">
        <f t="shared" si="0"/>
        <v>0.65 (0.38 – 1.13)</v>
      </c>
      <c r="L49" s="16" t="str">
        <f t="shared" si="1"/>
        <v>0.65
(0.38 – 1.13)</v>
      </c>
      <c r="M49" s="57"/>
      <c r="N49" s="59" t="s">
        <v>470</v>
      </c>
      <c r="O49" s="16" t="s">
        <v>793</v>
      </c>
      <c r="P49">
        <v>0.15029999999999999</v>
      </c>
      <c r="Q49">
        <v>0.38800000000000001</v>
      </c>
      <c r="R49">
        <v>0.94279999999999997</v>
      </c>
      <c r="S49">
        <v>10</v>
      </c>
      <c r="T49">
        <v>9</v>
      </c>
    </row>
    <row r="50" spans="3:20" ht="15" hidden="1" customHeight="1" x14ac:dyDescent="0.25">
      <c r="C50" s="56"/>
      <c r="D50" s="57"/>
      <c r="E50" s="57"/>
      <c r="F50" s="57"/>
      <c r="G50" s="57"/>
      <c r="H50" s="57"/>
      <c r="I50" s="57"/>
      <c r="J50" s="57"/>
      <c r="K50" s="59" t="str">
        <f t="shared" si="0"/>
        <v>0.00 (0.00 – 0.00)</v>
      </c>
      <c r="L50" s="16" t="str">
        <f t="shared" si="1"/>
        <v>0.00
(0.00 – 0.00)</v>
      </c>
      <c r="M50" s="57"/>
      <c r="N50" s="59"/>
      <c r="O50" s="16"/>
    </row>
    <row r="51" spans="3:20" ht="15" hidden="1" customHeight="1" x14ac:dyDescent="0.25">
      <c r="C51" s="56"/>
      <c r="D51" s="57"/>
      <c r="E51" s="57"/>
      <c r="F51" s="57"/>
      <c r="G51" s="57"/>
      <c r="H51" s="57"/>
      <c r="I51" s="57"/>
      <c r="J51" s="57"/>
      <c r="K51" s="59" t="str">
        <f t="shared" si="0"/>
        <v>0.00 (0.00 – 0.00)</v>
      </c>
      <c r="L51" s="16" t="str">
        <f t="shared" si="1"/>
        <v>0.00
(0.00 – 0.00)</v>
      </c>
      <c r="M51" s="57"/>
      <c r="N51" s="59"/>
      <c r="O51" s="16"/>
    </row>
    <row r="52" spans="3:20" ht="15" hidden="1" customHeight="1" x14ac:dyDescent="0.25">
      <c r="C52" s="56"/>
      <c r="D52" s="57"/>
      <c r="E52" s="57"/>
      <c r="F52" s="57"/>
      <c r="G52" s="57"/>
      <c r="H52" s="57"/>
      <c r="I52" s="57"/>
      <c r="J52" s="57"/>
      <c r="K52" s="59" t="str">
        <f t="shared" si="0"/>
        <v>0.00 (0.00 – 0.00)</v>
      </c>
      <c r="L52" s="16" t="str">
        <f t="shared" si="1"/>
        <v>0.00
(0.00 – 0.00)</v>
      </c>
      <c r="M52" s="57"/>
      <c r="N52" s="59"/>
      <c r="O52" s="16"/>
    </row>
    <row r="53" spans="3:20" ht="15" hidden="1" customHeight="1" x14ac:dyDescent="0.25">
      <c r="C53" s="56"/>
      <c r="D53" s="57"/>
      <c r="E53" s="57"/>
      <c r="F53" s="57"/>
      <c r="G53" s="57"/>
      <c r="H53" s="57"/>
      <c r="I53" s="57"/>
      <c r="J53" s="57"/>
      <c r="K53" s="59" t="str">
        <f t="shared" si="0"/>
        <v>0.00 (0.00 – 0.00)</v>
      </c>
      <c r="L53" s="16" t="str">
        <f t="shared" si="1"/>
        <v>0.00
(0.00 – 0.00)</v>
      </c>
      <c r="M53" s="57"/>
      <c r="N53" s="59"/>
      <c r="O53" s="16"/>
    </row>
    <row r="54" spans="3:20" ht="15" hidden="1" customHeight="1" x14ac:dyDescent="0.25">
      <c r="C54" s="56"/>
      <c r="D54" s="57"/>
      <c r="E54" s="57"/>
      <c r="F54" s="57"/>
      <c r="G54" s="57"/>
      <c r="H54" s="57"/>
      <c r="I54" s="57"/>
      <c r="J54" s="57"/>
      <c r="K54" s="59" t="str">
        <f t="shared" si="0"/>
        <v>0.00 (0.00 – 0.00)</v>
      </c>
      <c r="L54" s="16" t="str">
        <f t="shared" si="1"/>
        <v>0.00
(0.00 – 0.00)</v>
      </c>
      <c r="M54" s="57"/>
      <c r="N54" s="59"/>
      <c r="O54" s="16"/>
    </row>
    <row r="55" spans="3:20" ht="15" hidden="1" customHeight="1" x14ac:dyDescent="0.25">
      <c r="C55" s="56"/>
      <c r="D55" s="57"/>
      <c r="E55" s="57"/>
      <c r="F55" s="57"/>
      <c r="G55" s="57"/>
      <c r="H55" s="57"/>
      <c r="I55" s="57"/>
      <c r="J55" s="57"/>
      <c r="K55" s="59" t="str">
        <f t="shared" si="0"/>
        <v>0.00 (0.00 – 0.00)</v>
      </c>
      <c r="L55" s="16" t="str">
        <f t="shared" si="1"/>
        <v>0.00
(0.00 – 0.00)</v>
      </c>
      <c r="M55" s="57"/>
      <c r="N55" s="59"/>
      <c r="O55" s="16"/>
    </row>
    <row r="56" spans="3:20" ht="15" hidden="1" customHeight="1" x14ac:dyDescent="0.25">
      <c r="C56" s="56"/>
      <c r="D56" s="57"/>
      <c r="E56" s="57"/>
      <c r="F56" s="57"/>
      <c r="G56" s="57"/>
      <c r="H56" s="57"/>
      <c r="I56" s="57"/>
      <c r="J56" s="57"/>
      <c r="K56" s="59" t="str">
        <f t="shared" si="0"/>
        <v>0.00 (0.00 – 0.00)</v>
      </c>
      <c r="L56" s="16" t="str">
        <f t="shared" si="1"/>
        <v>0.00
(0.00 – 0.00)</v>
      </c>
      <c r="M56" s="57"/>
      <c r="N56" s="59"/>
      <c r="O56" s="16"/>
    </row>
    <row r="57" spans="3:20" ht="15" hidden="1" customHeight="1" x14ac:dyDescent="0.25">
      <c r="C57" s="56"/>
      <c r="D57" s="57"/>
      <c r="E57" s="57"/>
      <c r="F57" s="57"/>
      <c r="G57" s="57"/>
      <c r="H57" s="57"/>
      <c r="I57" s="57"/>
      <c r="J57" s="57"/>
      <c r="K57" s="59" t="str">
        <f t="shared" si="0"/>
        <v>0.00 (0.00 – 0.00)</v>
      </c>
      <c r="L57" s="16" t="str">
        <f t="shared" si="1"/>
        <v>0.00
(0.00 – 0.00)</v>
      </c>
      <c r="M57" s="57"/>
      <c r="N57" s="59"/>
      <c r="O57" s="16"/>
    </row>
    <row r="58" spans="3:20" ht="15" hidden="1" customHeight="1" x14ac:dyDescent="0.25">
      <c r="C58" s="56"/>
      <c r="D58" s="57"/>
      <c r="E58" s="57"/>
      <c r="F58" s="57"/>
      <c r="G58" s="57"/>
      <c r="H58" s="57"/>
      <c r="I58" s="57"/>
      <c r="J58" s="57"/>
      <c r="K58" s="59" t="str">
        <f t="shared" si="0"/>
        <v>0.00 (0.00 – 0.00)</v>
      </c>
      <c r="L58" s="16" t="str">
        <f t="shared" si="1"/>
        <v>0.00
(0.00 – 0.00)</v>
      </c>
      <c r="M58" s="57"/>
      <c r="N58" s="59"/>
      <c r="O58" s="16"/>
    </row>
    <row r="59" spans="3:20" ht="15" hidden="1" customHeight="1" x14ac:dyDescent="0.25">
      <c r="C59" s="56"/>
      <c r="D59" s="57"/>
      <c r="E59" s="57"/>
      <c r="F59" s="57"/>
      <c r="G59" s="57"/>
      <c r="H59" s="57"/>
      <c r="I59" s="57"/>
      <c r="J59" s="57"/>
      <c r="K59" s="59" t="str">
        <f t="shared" si="0"/>
        <v>0.00 (0.00 – 0.00)</v>
      </c>
      <c r="L59" s="16" t="str">
        <f t="shared" si="1"/>
        <v>0.00
(0.00 – 0.00)</v>
      </c>
      <c r="M59" s="57"/>
      <c r="N59" s="59"/>
      <c r="O59" s="16"/>
    </row>
    <row r="60" spans="3:20" ht="15" hidden="1" customHeight="1" x14ac:dyDescent="0.25">
      <c r="C60" s="56"/>
      <c r="D60" s="57"/>
      <c r="E60" s="57"/>
      <c r="F60" s="57"/>
      <c r="G60" s="57"/>
      <c r="H60" s="57"/>
      <c r="I60" s="57"/>
      <c r="J60" s="57"/>
      <c r="K60" s="59" t="str">
        <f t="shared" si="0"/>
        <v>0.00 (0.00 – 0.00)</v>
      </c>
      <c r="L60" s="16" t="str">
        <f t="shared" si="1"/>
        <v>0.00
(0.00 – 0.00)</v>
      </c>
      <c r="M60" s="57"/>
      <c r="N60" s="59"/>
      <c r="O60" s="16"/>
    </row>
    <row r="61" spans="3:20" ht="15" hidden="1" customHeight="1" x14ac:dyDescent="0.25">
      <c r="C61" s="56"/>
      <c r="D61" s="57"/>
      <c r="E61" s="57"/>
      <c r="F61" s="57"/>
      <c r="G61" s="57"/>
      <c r="H61" s="57"/>
      <c r="I61" s="57"/>
      <c r="J61" s="57"/>
      <c r="K61" s="59" t="str">
        <f t="shared" si="0"/>
        <v>0.00 (0.00 – 0.00)</v>
      </c>
      <c r="L61" s="16" t="str">
        <f t="shared" si="1"/>
        <v>0.00
(0.00 – 0.00)</v>
      </c>
      <c r="M61" s="57"/>
      <c r="N61" s="59"/>
      <c r="O61" s="16"/>
    </row>
    <row r="62" spans="3:20" ht="15" hidden="1" customHeight="1" x14ac:dyDescent="0.25">
      <c r="C62" s="56"/>
      <c r="D62" s="57"/>
      <c r="E62" s="57"/>
      <c r="F62" s="57"/>
      <c r="G62" s="57"/>
      <c r="H62" s="57"/>
      <c r="I62" s="57"/>
      <c r="J62" s="57"/>
      <c r="K62" s="59" t="str">
        <f t="shared" si="0"/>
        <v>0.00 (0.00 – 0.00)</v>
      </c>
      <c r="L62" s="16" t="str">
        <f t="shared" si="1"/>
        <v>0.00
(0.00 – 0.00)</v>
      </c>
      <c r="M62" s="57"/>
      <c r="N62" s="59"/>
      <c r="O62" s="16"/>
    </row>
    <row r="63" spans="3:20" ht="15" hidden="1" customHeight="1" x14ac:dyDescent="0.25">
      <c r="C63" s="56"/>
      <c r="D63" s="57"/>
      <c r="E63" s="57"/>
      <c r="F63" s="57"/>
      <c r="G63" s="57"/>
      <c r="H63" s="57"/>
      <c r="I63" s="57"/>
      <c r="J63" s="57"/>
      <c r="K63" s="59" t="str">
        <f t="shared" si="0"/>
        <v>0.00 (0.00 – 0.00)</v>
      </c>
      <c r="L63" s="16" t="str">
        <f t="shared" si="1"/>
        <v>0.00
(0.00 – 0.00)</v>
      </c>
      <c r="M63" s="57"/>
      <c r="N63" s="59"/>
      <c r="O63" s="16"/>
    </row>
    <row r="64" spans="3:20"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0.1203 
95% CrI (0.03721 – 0.3341)</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357</v>
      </c>
      <c r="B5" s="54">
        <v>7</v>
      </c>
      <c r="C5" s="54">
        <v>2.6240000000000001</v>
      </c>
      <c r="E5" s="19">
        <v>5</v>
      </c>
      <c r="F5" s="59">
        <v>1</v>
      </c>
      <c r="G5" s="54" t="s">
        <v>752</v>
      </c>
      <c r="H5" s="16">
        <v>0.1658</v>
      </c>
      <c r="I5" s="16">
        <v>0.996</v>
      </c>
      <c r="J5" s="16">
        <v>6.3949999999999996</v>
      </c>
      <c r="K5" s="59" t="str">
        <f t="shared" ref="K5:K49" si="0">CONCATENATE(TEXT(I5,"0.00")," (",TEXT(H5,"0.00")," – ",TEXT(J5,"0.00"),")")</f>
        <v>1.00 (0.17 – 6.40)</v>
      </c>
      <c r="L5" s="16" t="str">
        <f t="shared" ref="L5:L49" si="1">CONCATENATE(TEXT(I5,"0.00"),"
(",TEXT(H5,"0.00")," – ",TEXT(J5,"0.00"),")")</f>
        <v>1.00
(0.17 – 6.40)</v>
      </c>
      <c r="N5" s="59" t="s">
        <v>426</v>
      </c>
      <c r="O5" s="16" t="s">
        <v>749</v>
      </c>
      <c r="P5">
        <v>0.40429999999999999</v>
      </c>
      <c r="Q5">
        <v>0.67700000000000005</v>
      </c>
      <c r="R5">
        <v>1.159</v>
      </c>
      <c r="S5">
        <v>2</v>
      </c>
      <c r="T5">
        <v>1</v>
      </c>
    </row>
    <row r="6" spans="1:20" x14ac:dyDescent="0.25">
      <c r="A6" t="s">
        <v>356</v>
      </c>
      <c r="B6" s="54">
        <v>6</v>
      </c>
      <c r="C6" s="54">
        <v>3.2869999999999999</v>
      </c>
      <c r="E6" s="19">
        <v>8</v>
      </c>
      <c r="F6" s="19">
        <v>4</v>
      </c>
      <c r="G6" s="19" t="s">
        <v>776</v>
      </c>
      <c r="H6" s="19">
        <v>0.189</v>
      </c>
      <c r="I6" s="19">
        <v>0.94430000000000003</v>
      </c>
      <c r="J6" s="19">
        <v>4.2880000000000003</v>
      </c>
      <c r="K6" s="59" t="str">
        <f t="shared" si="0"/>
        <v>0.94 (0.19 – 4.29)</v>
      </c>
      <c r="L6" s="16" t="str">
        <f t="shared" si="1"/>
        <v>0.94
(0.19 – 4.29)</v>
      </c>
      <c r="N6" s="59" t="s">
        <v>427</v>
      </c>
      <c r="O6" s="16" t="s">
        <v>750</v>
      </c>
      <c r="P6">
        <v>0.2147</v>
      </c>
      <c r="Q6">
        <v>0.40460000000000002</v>
      </c>
      <c r="R6">
        <v>0.75170000000000003</v>
      </c>
      <c r="S6">
        <v>3</v>
      </c>
      <c r="T6">
        <v>1</v>
      </c>
    </row>
    <row r="7" spans="1:20" x14ac:dyDescent="0.25">
      <c r="A7" t="s">
        <v>353</v>
      </c>
      <c r="B7" s="19">
        <v>3</v>
      </c>
      <c r="C7" s="19">
        <v>3.585</v>
      </c>
      <c r="E7" s="19">
        <v>3</v>
      </c>
      <c r="F7" s="19">
        <v>8</v>
      </c>
      <c r="G7" s="19" t="s">
        <v>801</v>
      </c>
      <c r="H7" s="19">
        <v>0.25994281258123214</v>
      </c>
      <c r="I7" s="19">
        <v>0.92764378478664189</v>
      </c>
      <c r="J7" s="19">
        <v>3.8372985418265539</v>
      </c>
      <c r="K7" s="59" t="str">
        <f t="shared" si="0"/>
        <v>0.93 (0.26 – 3.84)</v>
      </c>
      <c r="L7" s="16" t="str">
        <f t="shared" si="1"/>
        <v>0.93
(0.26 – 3.84)</v>
      </c>
      <c r="N7" s="59" t="s">
        <v>428</v>
      </c>
      <c r="O7" s="16" t="s">
        <v>751</v>
      </c>
      <c r="P7">
        <v>0.17080000000000001</v>
      </c>
      <c r="Q7">
        <v>0.45579999999999998</v>
      </c>
      <c r="R7">
        <v>1.2649999999999999</v>
      </c>
      <c r="S7">
        <v>4</v>
      </c>
      <c r="T7">
        <v>1</v>
      </c>
    </row>
    <row r="8" spans="1:20" x14ac:dyDescent="0.25">
      <c r="A8" t="s">
        <v>358</v>
      </c>
      <c r="B8" s="19">
        <v>8</v>
      </c>
      <c r="C8" s="19">
        <v>4.2149999999999999</v>
      </c>
      <c r="E8" s="57">
        <v>10</v>
      </c>
      <c r="F8" s="57">
        <v>2</v>
      </c>
      <c r="G8" s="57" t="s">
        <v>765</v>
      </c>
      <c r="H8" s="57">
        <v>0.46200000000000002</v>
      </c>
      <c r="I8" s="57">
        <v>0.88800000000000001</v>
      </c>
      <c r="J8" s="57">
        <v>1.7010000000000001</v>
      </c>
      <c r="K8" s="59" t="str">
        <f t="shared" si="0"/>
        <v>0.89 (0.46 – 1.70)</v>
      </c>
      <c r="L8" s="16" t="str">
        <f t="shared" si="1"/>
        <v>0.89
(0.46 – 1.70)</v>
      </c>
      <c r="N8" s="59" t="s">
        <v>429</v>
      </c>
      <c r="O8" s="16" t="s">
        <v>752</v>
      </c>
      <c r="P8">
        <v>0.1658</v>
      </c>
      <c r="Q8">
        <v>0.996</v>
      </c>
      <c r="R8">
        <v>6.3949999999999996</v>
      </c>
      <c r="S8">
        <v>5</v>
      </c>
      <c r="T8">
        <v>1</v>
      </c>
    </row>
    <row r="9" spans="1:20" x14ac:dyDescent="0.25">
      <c r="A9" t="s">
        <v>354</v>
      </c>
      <c r="B9" s="54">
        <v>4</v>
      </c>
      <c r="C9" s="54">
        <v>4.4020000000000001</v>
      </c>
      <c r="E9" s="57">
        <v>3</v>
      </c>
      <c r="F9" s="57">
        <v>4</v>
      </c>
      <c r="G9" s="57" t="s">
        <v>875</v>
      </c>
      <c r="H9" s="57">
        <v>0.36179450072358904</v>
      </c>
      <c r="I9" s="57">
        <v>0.88417329796640143</v>
      </c>
      <c r="J9" s="57">
        <v>2.0859407592824364</v>
      </c>
      <c r="K9" s="59" t="str">
        <f t="shared" si="0"/>
        <v>0.88 (0.36 – 2.09)</v>
      </c>
      <c r="L9" s="16" t="str">
        <f t="shared" si="1"/>
        <v>0.88
(0.36 – 2.09)</v>
      </c>
      <c r="N9" s="59" t="s">
        <v>430</v>
      </c>
      <c r="O9" s="16" t="s">
        <v>753</v>
      </c>
      <c r="P9">
        <v>5.7520000000000002E-2</v>
      </c>
      <c r="Q9">
        <v>0.30570000000000003</v>
      </c>
      <c r="R9">
        <v>1.554</v>
      </c>
      <c r="S9">
        <v>6</v>
      </c>
      <c r="T9">
        <v>1</v>
      </c>
    </row>
    <row r="10" spans="1:20" x14ac:dyDescent="0.25">
      <c r="A10" t="s">
        <v>360</v>
      </c>
      <c r="B10" s="54">
        <v>10</v>
      </c>
      <c r="C10" s="54">
        <v>5.6079999999999997</v>
      </c>
      <c r="E10" s="19">
        <v>7</v>
      </c>
      <c r="F10" s="19">
        <v>6</v>
      </c>
      <c r="G10" s="19" t="s">
        <v>784</v>
      </c>
      <c r="H10" s="19">
        <v>8.6639999999999995E-2</v>
      </c>
      <c r="I10" s="19">
        <v>0.80700000000000005</v>
      </c>
      <c r="J10" s="19">
        <v>7.6219999999999999</v>
      </c>
      <c r="K10" s="59" t="str">
        <f t="shared" si="0"/>
        <v>0.81 (0.09 – 7.62)</v>
      </c>
      <c r="L10" s="16" t="str">
        <f t="shared" si="1"/>
        <v>0.81
(0.09 – 7.62)</v>
      </c>
      <c r="N10" s="59" t="s">
        <v>431</v>
      </c>
      <c r="O10" s="16" t="s">
        <v>754</v>
      </c>
      <c r="P10">
        <v>4.7169999999999997E-2</v>
      </c>
      <c r="Q10">
        <v>0.2492</v>
      </c>
      <c r="R10">
        <v>1.159</v>
      </c>
      <c r="S10">
        <v>7</v>
      </c>
      <c r="T10">
        <v>1</v>
      </c>
    </row>
    <row r="11" spans="1:20" x14ac:dyDescent="0.25">
      <c r="A11" t="s">
        <v>352</v>
      </c>
      <c r="B11" s="19">
        <v>2</v>
      </c>
      <c r="C11" s="19">
        <v>6.2729999999999997</v>
      </c>
      <c r="E11" s="19">
        <v>4</v>
      </c>
      <c r="F11" s="19">
        <v>10</v>
      </c>
      <c r="G11" s="19" t="s">
        <v>799</v>
      </c>
      <c r="H11" s="19">
        <v>0.24801587301587302</v>
      </c>
      <c r="I11" s="19">
        <v>0.76687116564417179</v>
      </c>
      <c r="J11" s="19">
        <v>2.3094688221709005</v>
      </c>
      <c r="K11" s="59" t="str">
        <f t="shared" si="0"/>
        <v>0.77 (0.25 – 2.31)</v>
      </c>
      <c r="L11" s="16" t="str">
        <f t="shared" si="1"/>
        <v>0.77
(0.25 – 2.31)</v>
      </c>
      <c r="N11" s="59" t="s">
        <v>432</v>
      </c>
      <c r="O11" s="16" t="s">
        <v>755</v>
      </c>
      <c r="P11">
        <v>0.1125</v>
      </c>
      <c r="Q11">
        <v>0.43109999999999998</v>
      </c>
      <c r="R11">
        <v>1.47</v>
      </c>
      <c r="S11">
        <v>8</v>
      </c>
      <c r="T11">
        <v>1</v>
      </c>
    </row>
    <row r="12" spans="1:20" x14ac:dyDescent="0.25">
      <c r="A12" t="s">
        <v>355</v>
      </c>
      <c r="B12" s="19">
        <v>5</v>
      </c>
      <c r="C12" s="19">
        <v>7.3360000000000003</v>
      </c>
      <c r="E12" s="19">
        <v>6</v>
      </c>
      <c r="F12" s="19">
        <v>3</v>
      </c>
      <c r="G12" s="19" t="s">
        <v>768</v>
      </c>
      <c r="H12" s="19">
        <v>0.16400000000000001</v>
      </c>
      <c r="I12" s="19">
        <v>0.75929999999999997</v>
      </c>
      <c r="J12" s="19">
        <v>3.4660000000000002</v>
      </c>
      <c r="K12" s="59" t="str">
        <f t="shared" si="0"/>
        <v>0.76 (0.16 – 3.47)</v>
      </c>
      <c r="L12" s="16" t="str">
        <f t="shared" si="1"/>
        <v>0.76
(0.16 – 3.47)</v>
      </c>
      <c r="N12" s="59" t="s">
        <v>433</v>
      </c>
      <c r="O12" s="16" t="s">
        <v>756</v>
      </c>
      <c r="P12">
        <v>0.91080000000000005</v>
      </c>
      <c r="Q12">
        <v>1.5389999999999999</v>
      </c>
      <c r="R12">
        <v>2.6389999999999998</v>
      </c>
      <c r="S12">
        <v>9</v>
      </c>
      <c r="T12">
        <v>1</v>
      </c>
    </row>
    <row r="13" spans="1:20" x14ac:dyDescent="0.25">
      <c r="A13" t="s">
        <v>351</v>
      </c>
      <c r="B13" s="19">
        <v>1</v>
      </c>
      <c r="C13" s="19">
        <v>8.1489999999999991</v>
      </c>
      <c r="E13" s="19">
        <v>6</v>
      </c>
      <c r="F13" s="59">
        <v>8</v>
      </c>
      <c r="G13" s="54" t="s">
        <v>795</v>
      </c>
      <c r="H13" s="16">
        <v>9.2165898617511524E-2</v>
      </c>
      <c r="I13" s="16">
        <v>0.72150072150072153</v>
      </c>
      <c r="J13" s="16">
        <v>5.4229934924078087</v>
      </c>
      <c r="K13" s="59" t="str">
        <f t="shared" si="0"/>
        <v>0.72 (0.09 – 5.42)</v>
      </c>
      <c r="L13" s="16" t="str">
        <f t="shared" si="1"/>
        <v>0.72
(0.09 – 5.42)</v>
      </c>
      <c r="N13" s="59" t="s">
        <v>434</v>
      </c>
      <c r="O13" s="16" t="s">
        <v>757</v>
      </c>
      <c r="P13">
        <v>0.3009</v>
      </c>
      <c r="Q13">
        <v>0.59970000000000001</v>
      </c>
      <c r="R13">
        <v>1.1579999999999999</v>
      </c>
      <c r="S13">
        <v>10</v>
      </c>
      <c r="T13">
        <v>1</v>
      </c>
    </row>
    <row r="14" spans="1:20" x14ac:dyDescent="0.25">
      <c r="A14" t="s">
        <v>359</v>
      </c>
      <c r="B14" s="54">
        <v>9</v>
      </c>
      <c r="C14" s="54">
        <v>9.5210000000000008</v>
      </c>
      <c r="E14" s="57">
        <v>8</v>
      </c>
      <c r="F14" s="57">
        <v>10</v>
      </c>
      <c r="G14" s="57" t="s">
        <v>804</v>
      </c>
      <c r="H14" s="57">
        <v>0.18395879323031641</v>
      </c>
      <c r="I14" s="57">
        <v>0.71633237822349571</v>
      </c>
      <c r="J14" s="57">
        <v>2.617115938236064</v>
      </c>
      <c r="K14" s="59" t="str">
        <f t="shared" si="0"/>
        <v>0.72 (0.18 – 2.62)</v>
      </c>
      <c r="L14" s="16" t="str">
        <f t="shared" si="1"/>
        <v>0.72
(0.18 – 2.62)</v>
      </c>
      <c r="N14" s="59" t="s">
        <v>435</v>
      </c>
      <c r="O14" s="16" t="s">
        <v>758</v>
      </c>
      <c r="P14">
        <v>0.30230000000000001</v>
      </c>
      <c r="Q14">
        <v>0.59770000000000001</v>
      </c>
      <c r="R14">
        <v>1.17</v>
      </c>
      <c r="S14">
        <v>3</v>
      </c>
      <c r="T14">
        <v>2</v>
      </c>
    </row>
    <row r="15" spans="1:20" ht="15" customHeight="1" x14ac:dyDescent="0.25">
      <c r="E15" s="19">
        <v>4</v>
      </c>
      <c r="F15" s="19">
        <v>2</v>
      </c>
      <c r="G15" s="19" t="s">
        <v>759</v>
      </c>
      <c r="H15" s="19">
        <v>0.23760000000000001</v>
      </c>
      <c r="I15" s="19">
        <v>0.67930000000000001</v>
      </c>
      <c r="J15" s="19">
        <v>1.9610000000000001</v>
      </c>
      <c r="K15" s="59" t="str">
        <f t="shared" si="0"/>
        <v>0.68 (0.24 – 1.96)</v>
      </c>
      <c r="L15" s="16" t="str">
        <f t="shared" si="1"/>
        <v>0.68
(0.24 – 1.96)</v>
      </c>
      <c r="N15" s="59" t="s">
        <v>436</v>
      </c>
      <c r="O15" s="16" t="s">
        <v>759</v>
      </c>
      <c r="P15">
        <v>0.23760000000000001</v>
      </c>
      <c r="Q15">
        <v>0.67930000000000001</v>
      </c>
      <c r="R15">
        <v>1.9610000000000001</v>
      </c>
      <c r="S15">
        <v>4</v>
      </c>
      <c r="T15">
        <v>2</v>
      </c>
    </row>
    <row r="16" spans="1:20" ht="15" customHeight="1" x14ac:dyDescent="0.25">
      <c r="E16" s="57">
        <v>2</v>
      </c>
      <c r="F16" s="57">
        <v>5</v>
      </c>
      <c r="G16" s="57" t="s">
        <v>879</v>
      </c>
      <c r="H16" s="57">
        <v>0.11542012927054479</v>
      </c>
      <c r="I16" s="57">
        <v>0.6770480704129993</v>
      </c>
      <c r="J16" s="57">
        <v>3.7411148522259636</v>
      </c>
      <c r="K16" s="59" t="str">
        <f t="shared" si="0"/>
        <v>0.68 (0.12 – 3.74)</v>
      </c>
      <c r="L16" s="16" t="str">
        <f t="shared" si="1"/>
        <v>0.68
(0.12 – 3.74)</v>
      </c>
      <c r="N16" s="59" t="s">
        <v>437</v>
      </c>
      <c r="O16" s="16" t="s">
        <v>760</v>
      </c>
      <c r="P16">
        <v>0.26729999999999998</v>
      </c>
      <c r="Q16">
        <v>1.4770000000000001</v>
      </c>
      <c r="R16">
        <v>8.6639999999999997</v>
      </c>
      <c r="S16">
        <v>5</v>
      </c>
      <c r="T16">
        <v>2</v>
      </c>
    </row>
    <row r="17" spans="5:20" ht="15" customHeight="1" x14ac:dyDescent="0.25">
      <c r="E17" s="57">
        <v>2</v>
      </c>
      <c r="F17" s="57">
        <v>1</v>
      </c>
      <c r="G17" s="57" t="s">
        <v>749</v>
      </c>
      <c r="H17" s="57">
        <v>0.40429999999999999</v>
      </c>
      <c r="I17" s="57">
        <v>0.67700000000000005</v>
      </c>
      <c r="J17" s="57">
        <v>1.159</v>
      </c>
      <c r="K17" s="59" t="str">
        <f t="shared" si="0"/>
        <v>0.68 (0.40 – 1.16)</v>
      </c>
      <c r="L17" s="16" t="str">
        <f t="shared" si="1"/>
        <v>0.68
(0.40 – 1.16)</v>
      </c>
      <c r="N17" s="59" t="s">
        <v>438</v>
      </c>
      <c r="O17" s="16" t="s">
        <v>761</v>
      </c>
      <c r="P17">
        <v>8.4199999999999997E-2</v>
      </c>
      <c r="Q17">
        <v>0.45519999999999999</v>
      </c>
      <c r="R17">
        <v>2.3130000000000002</v>
      </c>
      <c r="S17">
        <v>6</v>
      </c>
      <c r="T17">
        <v>2</v>
      </c>
    </row>
    <row r="18" spans="5:20" ht="15" customHeight="1" x14ac:dyDescent="0.25">
      <c r="E18" s="57">
        <v>3</v>
      </c>
      <c r="F18" s="57">
        <v>10</v>
      </c>
      <c r="G18" s="57" t="s">
        <v>802</v>
      </c>
      <c r="H18" s="57">
        <v>0.31476235442241107</v>
      </c>
      <c r="I18" s="57">
        <v>0.67249495628782785</v>
      </c>
      <c r="J18" s="57">
        <v>1.4541224371092047</v>
      </c>
      <c r="K18" s="59" t="str">
        <f t="shared" si="0"/>
        <v>0.67 (0.31 – 1.45)</v>
      </c>
      <c r="L18" s="16" t="str">
        <f t="shared" si="1"/>
        <v>0.67
(0.31 – 1.45)</v>
      </c>
      <c r="N18" s="59" t="s">
        <v>439</v>
      </c>
      <c r="O18" s="16" t="s">
        <v>762</v>
      </c>
      <c r="P18">
        <v>7.5749999999999998E-2</v>
      </c>
      <c r="Q18">
        <v>0.37019999999999997</v>
      </c>
      <c r="R18">
        <v>1.544</v>
      </c>
      <c r="S18">
        <v>7</v>
      </c>
      <c r="T18">
        <v>2</v>
      </c>
    </row>
    <row r="19" spans="5:20" ht="15" customHeight="1" x14ac:dyDescent="0.25">
      <c r="E19" s="57">
        <v>6</v>
      </c>
      <c r="F19" s="57">
        <v>4</v>
      </c>
      <c r="G19" s="57" t="s">
        <v>774</v>
      </c>
      <c r="H19" s="57">
        <v>0.1147</v>
      </c>
      <c r="I19" s="57">
        <v>0.67069999999999996</v>
      </c>
      <c r="J19" s="57">
        <v>3.7709999999999999</v>
      </c>
      <c r="K19" s="59" t="str">
        <f t="shared" si="0"/>
        <v>0.67 (0.11 – 3.77)</v>
      </c>
      <c r="L19" s="16" t="str">
        <f t="shared" si="1"/>
        <v>0.67
(0.11 – 3.77)</v>
      </c>
      <c r="N19" s="59" t="s">
        <v>440</v>
      </c>
      <c r="O19" s="16" t="s">
        <v>763</v>
      </c>
      <c r="P19">
        <v>0.18690000000000001</v>
      </c>
      <c r="Q19">
        <v>0.64149999999999996</v>
      </c>
      <c r="R19">
        <v>1.9219999999999999</v>
      </c>
      <c r="S19">
        <v>8</v>
      </c>
      <c r="T19">
        <v>2</v>
      </c>
    </row>
    <row r="20" spans="5:20" ht="15" customHeight="1" x14ac:dyDescent="0.25">
      <c r="E20" s="19">
        <v>1</v>
      </c>
      <c r="F20" s="59">
        <v>9</v>
      </c>
      <c r="G20" s="54" t="s">
        <v>803</v>
      </c>
      <c r="H20" s="16">
        <v>0.37893141341417208</v>
      </c>
      <c r="I20" s="16">
        <v>0.64977257959714108</v>
      </c>
      <c r="J20" s="16">
        <v>1.097935880544576</v>
      </c>
      <c r="K20" s="59" t="str">
        <f t="shared" si="0"/>
        <v>0.65 (0.38 – 1.10)</v>
      </c>
      <c r="L20" s="16" t="str">
        <f t="shared" si="1"/>
        <v>0.65
(0.38 – 1.10)</v>
      </c>
      <c r="N20" s="59" t="s">
        <v>441</v>
      </c>
      <c r="O20" s="16" t="s">
        <v>764</v>
      </c>
      <c r="P20">
        <v>1.117</v>
      </c>
      <c r="Q20">
        <v>2.2789999999999999</v>
      </c>
      <c r="R20">
        <v>4.6120000000000001</v>
      </c>
      <c r="S20">
        <v>9</v>
      </c>
      <c r="T20">
        <v>2</v>
      </c>
    </row>
    <row r="21" spans="5:20" ht="15" customHeight="1" x14ac:dyDescent="0.25">
      <c r="E21" s="19">
        <v>5</v>
      </c>
      <c r="F21" s="19">
        <v>9</v>
      </c>
      <c r="G21" s="19" t="s">
        <v>797</v>
      </c>
      <c r="H21" s="19">
        <v>9.9900099900099903E-2</v>
      </c>
      <c r="I21" s="19">
        <v>0.64892926670992868</v>
      </c>
      <c r="J21" s="19">
        <v>4.3744531933508313</v>
      </c>
      <c r="K21" s="59" t="str">
        <f t="shared" si="0"/>
        <v>0.65 (0.10 – 4.37)</v>
      </c>
      <c r="L21" s="16" t="str">
        <f t="shared" si="1"/>
        <v>0.65
(0.10 – 4.37)</v>
      </c>
      <c r="N21" s="59" t="s">
        <v>442</v>
      </c>
      <c r="O21" s="16" t="s">
        <v>765</v>
      </c>
      <c r="P21">
        <v>0.46200000000000002</v>
      </c>
      <c r="Q21">
        <v>0.88800000000000001</v>
      </c>
      <c r="R21">
        <v>1.7010000000000001</v>
      </c>
      <c r="S21">
        <v>10</v>
      </c>
      <c r="T21">
        <v>2</v>
      </c>
    </row>
    <row r="22" spans="5:20" ht="15" customHeight="1" x14ac:dyDescent="0.25">
      <c r="E22" s="19">
        <v>8</v>
      </c>
      <c r="F22" s="59">
        <v>2</v>
      </c>
      <c r="G22" s="54" t="s">
        <v>763</v>
      </c>
      <c r="H22" s="16">
        <v>0.18690000000000001</v>
      </c>
      <c r="I22" s="16">
        <v>0.64149999999999996</v>
      </c>
      <c r="J22" s="16">
        <v>1.9219999999999999</v>
      </c>
      <c r="K22" s="59" t="str">
        <f t="shared" si="0"/>
        <v>0.64 (0.19 – 1.92)</v>
      </c>
      <c r="L22" s="16" t="str">
        <f t="shared" si="1"/>
        <v>0.64
(0.19 – 1.92)</v>
      </c>
      <c r="N22" s="59" t="s">
        <v>443</v>
      </c>
      <c r="O22" s="16" t="s">
        <v>766</v>
      </c>
      <c r="P22">
        <v>0.47939999999999999</v>
      </c>
      <c r="Q22">
        <v>1.131</v>
      </c>
      <c r="R22">
        <v>2.7639999999999998</v>
      </c>
      <c r="S22">
        <v>4</v>
      </c>
      <c r="T22">
        <v>3</v>
      </c>
    </row>
    <row r="23" spans="5:20" ht="15" customHeight="1" x14ac:dyDescent="0.25">
      <c r="E23" s="19">
        <v>7</v>
      </c>
      <c r="F23" s="19">
        <v>3</v>
      </c>
      <c r="G23" s="19" t="s">
        <v>769</v>
      </c>
      <c r="H23" s="19">
        <v>0.1114</v>
      </c>
      <c r="I23" s="19">
        <v>0.62260000000000004</v>
      </c>
      <c r="J23" s="19">
        <v>3.0129999999999999</v>
      </c>
      <c r="K23" s="59" t="str">
        <f t="shared" si="0"/>
        <v>0.62 (0.11 – 3.01)</v>
      </c>
      <c r="L23" s="16" t="str">
        <f t="shared" si="1"/>
        <v>0.62
(0.11 – 3.01)</v>
      </c>
      <c r="N23" s="59" t="s">
        <v>444</v>
      </c>
      <c r="O23" s="16" t="s">
        <v>767</v>
      </c>
      <c r="P23">
        <v>0.38940000000000002</v>
      </c>
      <c r="Q23">
        <v>2.4630000000000001</v>
      </c>
      <c r="R23">
        <v>16.14</v>
      </c>
      <c r="S23">
        <v>5</v>
      </c>
      <c r="T23">
        <v>3</v>
      </c>
    </row>
    <row r="24" spans="5:20" ht="15" customHeight="1" x14ac:dyDescent="0.25">
      <c r="E24" s="19">
        <v>10</v>
      </c>
      <c r="F24" s="59">
        <v>5</v>
      </c>
      <c r="G24" s="54" t="s">
        <v>783</v>
      </c>
      <c r="H24" s="16">
        <v>9.0050000000000005E-2</v>
      </c>
      <c r="I24" s="16">
        <v>0.6048</v>
      </c>
      <c r="J24" s="16">
        <v>3.8530000000000002</v>
      </c>
      <c r="K24" s="59" t="str">
        <f t="shared" si="0"/>
        <v>0.60 (0.09 – 3.85)</v>
      </c>
      <c r="L24" s="16" t="str">
        <f t="shared" si="1"/>
        <v>0.60
(0.09 – 3.85)</v>
      </c>
      <c r="N24" s="59" t="s">
        <v>445</v>
      </c>
      <c r="O24" s="16" t="s">
        <v>768</v>
      </c>
      <c r="P24">
        <v>0.16400000000000001</v>
      </c>
      <c r="Q24">
        <v>0.75929999999999997</v>
      </c>
      <c r="R24">
        <v>3.4660000000000002</v>
      </c>
      <c r="S24">
        <v>6</v>
      </c>
      <c r="T24">
        <v>3</v>
      </c>
    </row>
    <row r="25" spans="5:20" ht="15" customHeight="1" x14ac:dyDescent="0.25">
      <c r="E25" s="19">
        <v>10</v>
      </c>
      <c r="F25" s="19">
        <v>1</v>
      </c>
      <c r="G25" s="19" t="s">
        <v>757</v>
      </c>
      <c r="H25" s="19">
        <v>0.3009</v>
      </c>
      <c r="I25" s="19">
        <v>0.59970000000000001</v>
      </c>
      <c r="J25" s="19">
        <v>1.1579999999999999</v>
      </c>
      <c r="K25" s="59" t="str">
        <f t="shared" si="0"/>
        <v>0.60 (0.30 – 1.16)</v>
      </c>
      <c r="L25" s="16" t="str">
        <f t="shared" si="1"/>
        <v>0.60
(0.30 – 1.16)</v>
      </c>
      <c r="N25" s="59" t="s">
        <v>446</v>
      </c>
      <c r="O25" s="16" t="s">
        <v>769</v>
      </c>
      <c r="P25">
        <v>0.1114</v>
      </c>
      <c r="Q25">
        <v>0.62260000000000004</v>
      </c>
      <c r="R25">
        <v>3.0129999999999999</v>
      </c>
      <c r="S25">
        <v>7</v>
      </c>
      <c r="T25">
        <v>3</v>
      </c>
    </row>
    <row r="26" spans="5:20" ht="15" customHeight="1" x14ac:dyDescent="0.25">
      <c r="E26" s="19">
        <v>3</v>
      </c>
      <c r="F26" s="19">
        <v>2</v>
      </c>
      <c r="G26" s="19" t="s">
        <v>758</v>
      </c>
      <c r="H26" s="19">
        <v>0.30230000000000001</v>
      </c>
      <c r="I26" s="19">
        <v>0.59770000000000001</v>
      </c>
      <c r="J26" s="19">
        <v>1.17</v>
      </c>
      <c r="K26" s="59" t="str">
        <f t="shared" si="0"/>
        <v>0.60 (0.30 – 1.17)</v>
      </c>
      <c r="L26" s="16" t="str">
        <f t="shared" si="1"/>
        <v>0.60
(0.30 – 1.17)</v>
      </c>
      <c r="N26" s="59" t="s">
        <v>447</v>
      </c>
      <c r="O26" s="16" t="s">
        <v>770</v>
      </c>
      <c r="P26">
        <v>0.2606</v>
      </c>
      <c r="Q26">
        <v>1.0780000000000001</v>
      </c>
      <c r="R26">
        <v>3.847</v>
      </c>
      <c r="S26">
        <v>8</v>
      </c>
      <c r="T26">
        <v>3</v>
      </c>
    </row>
    <row r="27" spans="5:20" ht="15" customHeight="1" x14ac:dyDescent="0.25">
      <c r="E27" s="19">
        <v>7</v>
      </c>
      <c r="F27" s="19">
        <v>8</v>
      </c>
      <c r="G27" s="19" t="s">
        <v>873</v>
      </c>
      <c r="H27" s="19">
        <v>8.3822296730930432E-2</v>
      </c>
      <c r="I27" s="19">
        <v>0.5803830528148578</v>
      </c>
      <c r="J27" s="19">
        <v>3.8255547054322872</v>
      </c>
      <c r="K27" s="59" t="str">
        <f t="shared" si="0"/>
        <v>0.58 (0.08 – 3.83)</v>
      </c>
      <c r="L27" s="16" t="str">
        <f t="shared" si="1"/>
        <v>0.58
(0.08 – 3.83)</v>
      </c>
      <c r="N27" s="59" t="s">
        <v>448</v>
      </c>
      <c r="O27" s="16" t="s">
        <v>771</v>
      </c>
      <c r="P27">
        <v>1.804</v>
      </c>
      <c r="Q27">
        <v>3.8279999999999998</v>
      </c>
      <c r="R27">
        <v>8.0459999999999994</v>
      </c>
      <c r="S27">
        <v>9</v>
      </c>
      <c r="T27">
        <v>3</v>
      </c>
    </row>
    <row r="28" spans="5:20" ht="15" customHeight="1" x14ac:dyDescent="0.25">
      <c r="E28" s="19">
        <v>7</v>
      </c>
      <c r="F28" s="19">
        <v>4</v>
      </c>
      <c r="G28" s="19" t="s">
        <v>775</v>
      </c>
      <c r="H28" s="19">
        <v>8.2089999999999996E-2</v>
      </c>
      <c r="I28" s="19">
        <v>0.5423</v>
      </c>
      <c r="J28" s="19">
        <v>3.23</v>
      </c>
      <c r="K28" s="59" t="str">
        <f t="shared" si="0"/>
        <v>0.54 (0.08 – 3.23)</v>
      </c>
      <c r="L28" s="16" t="str">
        <f t="shared" si="1"/>
        <v>0.54
(0.08 – 3.23)</v>
      </c>
      <c r="N28" s="59" t="s">
        <v>449</v>
      </c>
      <c r="O28" s="16" t="s">
        <v>772</v>
      </c>
      <c r="P28">
        <v>0.68769999999999998</v>
      </c>
      <c r="Q28">
        <v>1.4870000000000001</v>
      </c>
      <c r="R28">
        <v>3.177</v>
      </c>
      <c r="S28">
        <v>10</v>
      </c>
      <c r="T28">
        <v>3</v>
      </c>
    </row>
    <row r="29" spans="5:20" ht="15" customHeight="1" x14ac:dyDescent="0.25">
      <c r="E29" s="57">
        <v>6</v>
      </c>
      <c r="F29" s="57">
        <v>10</v>
      </c>
      <c r="G29" s="57" t="s">
        <v>796</v>
      </c>
      <c r="H29" s="57">
        <v>8.9766606822262118E-2</v>
      </c>
      <c r="I29" s="57">
        <v>0.51308363263211898</v>
      </c>
      <c r="J29" s="57">
        <v>2.7196083763937993</v>
      </c>
      <c r="K29" s="59" t="str">
        <f t="shared" si="0"/>
        <v>0.51 (0.09 – 2.72)</v>
      </c>
      <c r="L29" s="16" t="str">
        <f t="shared" si="1"/>
        <v>0.51
(0.09 – 2.72)</v>
      </c>
      <c r="N29" s="59" t="s">
        <v>450</v>
      </c>
      <c r="O29" s="16" t="s">
        <v>773</v>
      </c>
      <c r="P29">
        <v>0.28660000000000002</v>
      </c>
      <c r="Q29">
        <v>2.1629999999999998</v>
      </c>
      <c r="R29">
        <v>17.579999999999998</v>
      </c>
      <c r="S29">
        <v>5</v>
      </c>
      <c r="T29">
        <v>4</v>
      </c>
    </row>
    <row r="30" spans="5:20" ht="15" customHeight="1" x14ac:dyDescent="0.25">
      <c r="E30" s="19">
        <v>4</v>
      </c>
      <c r="F30" s="59">
        <v>5</v>
      </c>
      <c r="G30" s="54" t="s">
        <v>878</v>
      </c>
      <c r="H30" s="16">
        <v>5.6882821387940846E-2</v>
      </c>
      <c r="I30" s="16">
        <v>0.46232085067036527</v>
      </c>
      <c r="J30" s="16">
        <v>3.4891835310537331</v>
      </c>
      <c r="K30" s="59" t="str">
        <f t="shared" si="0"/>
        <v>0.46 (0.06 – 3.49)</v>
      </c>
      <c r="L30" s="16" t="str">
        <f t="shared" si="1"/>
        <v>0.46
(0.06 – 3.49)</v>
      </c>
      <c r="N30" s="59" t="s">
        <v>451</v>
      </c>
      <c r="O30" s="16" t="s">
        <v>774</v>
      </c>
      <c r="P30">
        <v>0.1147</v>
      </c>
      <c r="Q30">
        <v>0.67069999999999996</v>
      </c>
      <c r="R30">
        <v>3.7709999999999999</v>
      </c>
      <c r="S30">
        <v>6</v>
      </c>
      <c r="T30">
        <v>4</v>
      </c>
    </row>
    <row r="31" spans="5:20" ht="15" customHeight="1" x14ac:dyDescent="0.25">
      <c r="E31" s="19">
        <v>4</v>
      </c>
      <c r="F31" s="19">
        <v>1</v>
      </c>
      <c r="G31" s="19" t="s">
        <v>751</v>
      </c>
      <c r="H31" s="19">
        <v>0.17080000000000001</v>
      </c>
      <c r="I31" s="19">
        <v>0.45579999999999998</v>
      </c>
      <c r="J31" s="19">
        <v>1.2649999999999999</v>
      </c>
      <c r="K31" s="59" t="str">
        <f t="shared" si="0"/>
        <v>0.46 (0.17 – 1.27)</v>
      </c>
      <c r="L31" s="16" t="str">
        <f t="shared" si="1"/>
        <v>0.46
(0.17 – 1.27)</v>
      </c>
      <c r="N31" s="59" t="s">
        <v>452</v>
      </c>
      <c r="O31" s="16" t="s">
        <v>775</v>
      </c>
      <c r="P31">
        <v>8.2089999999999996E-2</v>
      </c>
      <c r="Q31">
        <v>0.5423</v>
      </c>
      <c r="R31">
        <v>3.23</v>
      </c>
      <c r="S31">
        <v>7</v>
      </c>
      <c r="T31">
        <v>4</v>
      </c>
    </row>
    <row r="32" spans="5:20" ht="15" customHeight="1" x14ac:dyDescent="0.25">
      <c r="E32" s="19">
        <v>6</v>
      </c>
      <c r="F32" s="19">
        <v>2</v>
      </c>
      <c r="G32" s="19" t="s">
        <v>761</v>
      </c>
      <c r="H32" s="19">
        <v>8.4199999999999997E-2</v>
      </c>
      <c r="I32" s="19">
        <v>0.45519999999999999</v>
      </c>
      <c r="J32" s="19">
        <v>2.3130000000000002</v>
      </c>
      <c r="K32" s="59" t="str">
        <f t="shared" si="0"/>
        <v>0.46 (0.08 – 2.31)</v>
      </c>
      <c r="L32" s="16" t="str">
        <f t="shared" si="1"/>
        <v>0.46
(0.08 – 2.31)</v>
      </c>
      <c r="N32" s="59" t="s">
        <v>453</v>
      </c>
      <c r="O32" s="16" t="s">
        <v>776</v>
      </c>
      <c r="P32">
        <v>0.189</v>
      </c>
      <c r="Q32">
        <v>0.94430000000000003</v>
      </c>
      <c r="R32">
        <v>4.2880000000000003</v>
      </c>
      <c r="S32">
        <v>8</v>
      </c>
      <c r="T32">
        <v>4</v>
      </c>
    </row>
    <row r="33" spans="3:20" ht="15" customHeight="1" x14ac:dyDescent="0.25">
      <c r="E33" s="57">
        <v>2</v>
      </c>
      <c r="F33" s="57">
        <v>9</v>
      </c>
      <c r="G33" s="57" t="s">
        <v>880</v>
      </c>
      <c r="H33" s="57">
        <v>0.21682567215958368</v>
      </c>
      <c r="I33" s="57">
        <v>0.43878894251864853</v>
      </c>
      <c r="J33" s="57">
        <v>0.89525514771709935</v>
      </c>
      <c r="K33" s="59" t="str">
        <f t="shared" si="0"/>
        <v>0.44 (0.22 – 0.90)</v>
      </c>
      <c r="L33" s="16" t="str">
        <f t="shared" si="1"/>
        <v>0.44
(0.22 – 0.90)</v>
      </c>
      <c r="N33" s="59" t="s">
        <v>454</v>
      </c>
      <c r="O33" s="16" t="s">
        <v>777</v>
      </c>
      <c r="P33">
        <v>1.1160000000000001</v>
      </c>
      <c r="Q33">
        <v>3.3610000000000002</v>
      </c>
      <c r="R33">
        <v>10.029999999999999</v>
      </c>
      <c r="S33">
        <v>9</v>
      </c>
      <c r="T33">
        <v>4</v>
      </c>
    </row>
    <row r="34" spans="3:20" ht="15" customHeight="1" x14ac:dyDescent="0.25">
      <c r="E34" s="19">
        <v>8</v>
      </c>
      <c r="F34" s="19">
        <v>1</v>
      </c>
      <c r="G34" s="19" t="s">
        <v>755</v>
      </c>
      <c r="H34" s="19">
        <v>0.1125</v>
      </c>
      <c r="I34" s="19">
        <v>0.43109999999999998</v>
      </c>
      <c r="J34" s="19">
        <v>1.47</v>
      </c>
      <c r="K34" s="59" t="str">
        <f t="shared" si="0"/>
        <v>0.43 (0.11 – 1.47)</v>
      </c>
      <c r="L34" s="16" t="str">
        <f t="shared" si="1"/>
        <v>0.43
(0.11 – 1.47)</v>
      </c>
      <c r="N34" s="59" t="s">
        <v>455</v>
      </c>
      <c r="O34" s="16" t="s">
        <v>778</v>
      </c>
      <c r="P34">
        <v>0.433</v>
      </c>
      <c r="Q34">
        <v>1.304</v>
      </c>
      <c r="R34">
        <v>4.032</v>
      </c>
      <c r="S34">
        <v>10</v>
      </c>
      <c r="T34">
        <v>4</v>
      </c>
    </row>
    <row r="35" spans="3:20" ht="15" customHeight="1" x14ac:dyDescent="0.25">
      <c r="E35" s="19">
        <v>8</v>
      </c>
      <c r="F35" s="19">
        <v>5</v>
      </c>
      <c r="G35" s="19" t="s">
        <v>781</v>
      </c>
      <c r="H35" s="19">
        <v>5.5030000000000003E-2</v>
      </c>
      <c r="I35" s="19">
        <v>0.42859999999999998</v>
      </c>
      <c r="J35" s="19">
        <v>3.3290000000000002</v>
      </c>
      <c r="K35" s="59" t="str">
        <f t="shared" si="0"/>
        <v>0.43 (0.06 – 3.33)</v>
      </c>
      <c r="L35" s="16" t="str">
        <f t="shared" si="1"/>
        <v>0.43
(0.06 – 3.33)</v>
      </c>
      <c r="N35" s="59" t="s">
        <v>456</v>
      </c>
      <c r="O35" s="16" t="s">
        <v>779</v>
      </c>
      <c r="P35">
        <v>2.8400000000000002E-2</v>
      </c>
      <c r="Q35">
        <v>0.30459999999999998</v>
      </c>
      <c r="R35">
        <v>3.3439999999999999</v>
      </c>
      <c r="S35">
        <v>6</v>
      </c>
      <c r="T35">
        <v>5</v>
      </c>
    </row>
    <row r="36" spans="3:20" ht="15" customHeight="1" x14ac:dyDescent="0.25">
      <c r="C36" s="56"/>
      <c r="D36" s="57"/>
      <c r="E36" s="19">
        <v>7</v>
      </c>
      <c r="F36" s="19">
        <v>10</v>
      </c>
      <c r="G36" s="19" t="s">
        <v>805</v>
      </c>
      <c r="H36" s="19">
        <v>7.6277650648360035E-2</v>
      </c>
      <c r="I36" s="19">
        <v>0.41580041580041582</v>
      </c>
      <c r="J36" s="19">
        <v>1.9696671262556626</v>
      </c>
      <c r="K36" s="59" t="str">
        <f t="shared" si="0"/>
        <v>0.42 (0.08 – 1.97)</v>
      </c>
      <c r="L36" s="16" t="str">
        <f t="shared" si="1"/>
        <v>0.42
(0.08 – 1.97)</v>
      </c>
      <c r="M36" s="57"/>
      <c r="N36" s="59" t="s">
        <v>457</v>
      </c>
      <c r="O36" s="16" t="s">
        <v>780</v>
      </c>
      <c r="P36">
        <v>2.3630000000000002E-2</v>
      </c>
      <c r="Q36">
        <v>0.247</v>
      </c>
      <c r="R36">
        <v>2.2400000000000002</v>
      </c>
      <c r="S36">
        <v>7</v>
      </c>
      <c r="T36">
        <v>5</v>
      </c>
    </row>
    <row r="37" spans="3:20" ht="15" customHeight="1" x14ac:dyDescent="0.25">
      <c r="C37" s="56"/>
      <c r="D37" s="57"/>
      <c r="E37" s="19">
        <v>3</v>
      </c>
      <c r="F37" s="19">
        <v>5</v>
      </c>
      <c r="G37" s="19" t="s">
        <v>876</v>
      </c>
      <c r="H37" s="19">
        <v>6.1957868649318459E-2</v>
      </c>
      <c r="I37" s="19">
        <v>0.4060089321965083</v>
      </c>
      <c r="J37" s="19">
        <v>2.5680534155110424</v>
      </c>
      <c r="K37" s="59" t="str">
        <f t="shared" si="0"/>
        <v>0.41 (0.06 – 2.57)</v>
      </c>
      <c r="L37" s="16" t="str">
        <f t="shared" si="1"/>
        <v>0.41
(0.06 – 2.57)</v>
      </c>
      <c r="M37" s="57"/>
      <c r="N37" s="59" t="s">
        <v>458</v>
      </c>
      <c r="O37" s="16" t="s">
        <v>781</v>
      </c>
      <c r="P37">
        <v>5.5030000000000003E-2</v>
      </c>
      <c r="Q37">
        <v>0.42859999999999998</v>
      </c>
      <c r="R37">
        <v>3.3290000000000002</v>
      </c>
      <c r="S37">
        <v>8</v>
      </c>
      <c r="T37">
        <v>5</v>
      </c>
    </row>
    <row r="38" spans="3:20" ht="15" customHeight="1" x14ac:dyDescent="0.25">
      <c r="C38" s="56"/>
      <c r="D38" s="57"/>
      <c r="E38" s="19">
        <v>3</v>
      </c>
      <c r="F38" s="59">
        <v>1</v>
      </c>
      <c r="G38" s="54" t="s">
        <v>750</v>
      </c>
      <c r="H38" s="16">
        <v>0.2147</v>
      </c>
      <c r="I38" s="16">
        <v>0.40460000000000002</v>
      </c>
      <c r="J38" s="16">
        <v>0.75170000000000003</v>
      </c>
      <c r="K38" s="59" t="str">
        <f t="shared" si="0"/>
        <v>0.40 (0.21 – 0.75)</v>
      </c>
      <c r="L38" s="16" t="str">
        <f t="shared" si="1"/>
        <v>0.40
(0.21 – 0.75)</v>
      </c>
      <c r="M38" s="57"/>
      <c r="N38" s="59" t="s">
        <v>459</v>
      </c>
      <c r="O38" s="16" t="s">
        <v>782</v>
      </c>
      <c r="P38">
        <v>0.2286</v>
      </c>
      <c r="Q38">
        <v>1.5409999999999999</v>
      </c>
      <c r="R38">
        <v>10.01</v>
      </c>
      <c r="S38">
        <v>9</v>
      </c>
      <c r="T38">
        <v>5</v>
      </c>
    </row>
    <row r="39" spans="3:20" ht="15" customHeight="1" x14ac:dyDescent="0.25">
      <c r="C39" s="56"/>
      <c r="D39" s="57"/>
      <c r="E39" s="19">
        <v>10</v>
      </c>
      <c r="F39" s="19">
        <v>9</v>
      </c>
      <c r="G39" s="19" t="s">
        <v>793</v>
      </c>
      <c r="H39" s="19">
        <v>0.17199999999999999</v>
      </c>
      <c r="I39" s="19">
        <v>0.38919999999999999</v>
      </c>
      <c r="J39" s="19">
        <v>0.87180000000000002</v>
      </c>
      <c r="K39" s="59" t="str">
        <f t="shared" si="0"/>
        <v>0.39 (0.17 – 0.87)</v>
      </c>
      <c r="L39" s="16" t="str">
        <f t="shared" si="1"/>
        <v>0.39
(0.17 – 0.87)</v>
      </c>
      <c r="M39" s="57"/>
      <c r="N39" s="59" t="s">
        <v>460</v>
      </c>
      <c r="O39" s="16" t="s">
        <v>783</v>
      </c>
      <c r="P39">
        <v>9.0050000000000005E-2</v>
      </c>
      <c r="Q39">
        <v>0.6048</v>
      </c>
      <c r="R39">
        <v>3.8530000000000002</v>
      </c>
      <c r="S39">
        <v>10</v>
      </c>
      <c r="T39">
        <v>5</v>
      </c>
    </row>
    <row r="40" spans="3:20" ht="15" customHeight="1" x14ac:dyDescent="0.25">
      <c r="C40" s="56"/>
      <c r="D40" s="57"/>
      <c r="E40" s="57">
        <v>7</v>
      </c>
      <c r="F40" s="57">
        <v>2</v>
      </c>
      <c r="G40" s="57" t="s">
        <v>762</v>
      </c>
      <c r="H40" s="57">
        <v>7.5749999999999998E-2</v>
      </c>
      <c r="I40" s="57">
        <v>0.37019999999999997</v>
      </c>
      <c r="J40" s="57">
        <v>1.544</v>
      </c>
      <c r="K40" s="59" t="str">
        <f t="shared" si="0"/>
        <v>0.37 (0.08 – 1.54)</v>
      </c>
      <c r="L40" s="16" t="str">
        <f t="shared" si="1"/>
        <v>0.37
(0.08 – 1.54)</v>
      </c>
      <c r="M40" s="57"/>
      <c r="N40" s="59" t="s">
        <v>461</v>
      </c>
      <c r="O40" s="16" t="s">
        <v>784</v>
      </c>
      <c r="P40">
        <v>8.6639999999999995E-2</v>
      </c>
      <c r="Q40">
        <v>0.80700000000000005</v>
      </c>
      <c r="R40">
        <v>7.6219999999999999</v>
      </c>
      <c r="S40">
        <v>7</v>
      </c>
      <c r="T40">
        <v>6</v>
      </c>
    </row>
    <row r="41" spans="3:20" ht="15" customHeight="1" x14ac:dyDescent="0.25">
      <c r="C41" s="56"/>
      <c r="D41" s="57"/>
      <c r="E41" s="19">
        <v>6</v>
      </c>
      <c r="F41" s="59">
        <v>1</v>
      </c>
      <c r="G41" s="54" t="s">
        <v>753</v>
      </c>
      <c r="H41" s="16">
        <v>5.7520000000000002E-2</v>
      </c>
      <c r="I41" s="16">
        <v>0.30570000000000003</v>
      </c>
      <c r="J41" s="16">
        <v>1.554</v>
      </c>
      <c r="K41" s="59" t="str">
        <f t="shared" si="0"/>
        <v>0.31 (0.06 – 1.55)</v>
      </c>
      <c r="L41" s="16" t="str">
        <f t="shared" si="1"/>
        <v>0.31
(0.06 – 1.55)</v>
      </c>
      <c r="M41" s="57"/>
      <c r="N41" s="59" t="s">
        <v>462</v>
      </c>
      <c r="O41" s="16" t="s">
        <v>785</v>
      </c>
      <c r="P41">
        <v>0.18440000000000001</v>
      </c>
      <c r="Q41">
        <v>1.3859999999999999</v>
      </c>
      <c r="R41">
        <v>10.85</v>
      </c>
      <c r="S41">
        <v>8</v>
      </c>
      <c r="T41">
        <v>6</v>
      </c>
    </row>
    <row r="42" spans="3:20" ht="15" customHeight="1" x14ac:dyDescent="0.25">
      <c r="C42" s="56"/>
      <c r="D42" s="57"/>
      <c r="E42" s="57">
        <v>6</v>
      </c>
      <c r="F42" s="57">
        <v>5</v>
      </c>
      <c r="G42" s="57" t="s">
        <v>779</v>
      </c>
      <c r="H42" s="57">
        <v>2.8400000000000002E-2</v>
      </c>
      <c r="I42" s="57">
        <v>0.30459999999999998</v>
      </c>
      <c r="J42" s="57">
        <v>3.3439999999999999</v>
      </c>
      <c r="K42" s="59" t="str">
        <f t="shared" si="0"/>
        <v>0.30 (0.03 – 3.34)</v>
      </c>
      <c r="L42" s="16" t="str">
        <f t="shared" si="1"/>
        <v>0.30
(0.03 – 3.34)</v>
      </c>
      <c r="M42" s="57"/>
      <c r="N42" s="59" t="s">
        <v>463</v>
      </c>
      <c r="O42" s="16" t="s">
        <v>786</v>
      </c>
      <c r="P42">
        <v>0.9556</v>
      </c>
      <c r="Q42">
        <v>5.0369999999999999</v>
      </c>
      <c r="R42">
        <v>28.3</v>
      </c>
      <c r="S42">
        <v>9</v>
      </c>
      <c r="T42">
        <v>6</v>
      </c>
    </row>
    <row r="43" spans="3:20" ht="15" customHeight="1" x14ac:dyDescent="0.25">
      <c r="C43" s="56"/>
      <c r="D43" s="57"/>
      <c r="E43" s="19">
        <v>4</v>
      </c>
      <c r="F43" s="19">
        <v>9</v>
      </c>
      <c r="G43" s="19" t="s">
        <v>798</v>
      </c>
      <c r="H43" s="19">
        <v>9.9700897308075784E-2</v>
      </c>
      <c r="I43" s="19">
        <v>0.29753049687592975</v>
      </c>
      <c r="J43" s="19">
        <v>0.8960573476702508</v>
      </c>
      <c r="K43" s="59" t="str">
        <f t="shared" si="0"/>
        <v>0.30 (0.10 – 0.90)</v>
      </c>
      <c r="L43" s="16" t="str">
        <f t="shared" si="1"/>
        <v>0.30
(0.10 – 0.90)</v>
      </c>
      <c r="M43" s="57"/>
      <c r="N43" s="59" t="s">
        <v>464</v>
      </c>
      <c r="O43" s="16" t="s">
        <v>787</v>
      </c>
      <c r="P43">
        <v>0.36770000000000003</v>
      </c>
      <c r="Q43">
        <v>1.9490000000000001</v>
      </c>
      <c r="R43">
        <v>11.14</v>
      </c>
      <c r="S43">
        <v>10</v>
      </c>
      <c r="T43">
        <v>6</v>
      </c>
    </row>
    <row r="44" spans="3:20" ht="15" customHeight="1" x14ac:dyDescent="0.25">
      <c r="C44" s="56"/>
      <c r="D44" s="57"/>
      <c r="E44" s="19">
        <v>8</v>
      </c>
      <c r="F44" s="59">
        <v>9</v>
      </c>
      <c r="G44" s="54" t="s">
        <v>877</v>
      </c>
      <c r="H44" s="16">
        <v>6.8119891008174394E-2</v>
      </c>
      <c r="I44" s="16">
        <v>0.27808676307007785</v>
      </c>
      <c r="J44" s="16">
        <v>1.0541851149061776</v>
      </c>
      <c r="K44" s="59" t="str">
        <f t="shared" si="0"/>
        <v>0.28 (0.07 – 1.05)</v>
      </c>
      <c r="L44" s="16" t="str">
        <f t="shared" si="1"/>
        <v>0.28
(0.07 – 1.05)</v>
      </c>
      <c r="M44" s="57"/>
      <c r="N44" s="59" t="s">
        <v>465</v>
      </c>
      <c r="O44" s="16" t="s">
        <v>788</v>
      </c>
      <c r="P44">
        <v>0.26140000000000002</v>
      </c>
      <c r="Q44">
        <v>1.7230000000000001</v>
      </c>
      <c r="R44">
        <v>11.93</v>
      </c>
      <c r="S44">
        <v>8</v>
      </c>
      <c r="T44">
        <v>7</v>
      </c>
    </row>
    <row r="45" spans="3:20" ht="15" customHeight="1" x14ac:dyDescent="0.25">
      <c r="C45" s="56"/>
      <c r="D45" s="57"/>
      <c r="E45" s="57">
        <v>3</v>
      </c>
      <c r="F45" s="57">
        <v>9</v>
      </c>
      <c r="G45" s="57" t="s">
        <v>800</v>
      </c>
      <c r="H45" s="57">
        <v>0.12428535918468805</v>
      </c>
      <c r="I45" s="57">
        <v>0.2612330198537095</v>
      </c>
      <c r="J45" s="57">
        <v>0.55432372505543237</v>
      </c>
      <c r="K45" s="59" t="str">
        <f t="shared" si="0"/>
        <v>0.26 (0.12 – 0.55)</v>
      </c>
      <c r="L45" s="16" t="str">
        <f t="shared" si="1"/>
        <v>0.26
(0.12 – 0.55)</v>
      </c>
      <c r="M45" s="57"/>
      <c r="N45" s="59" t="s">
        <v>466</v>
      </c>
      <c r="O45" s="16" t="s">
        <v>789</v>
      </c>
      <c r="P45">
        <v>1.2669999999999999</v>
      </c>
      <c r="Q45">
        <v>6.1349999999999998</v>
      </c>
      <c r="R45">
        <v>34.979999999999997</v>
      </c>
      <c r="S45">
        <v>9</v>
      </c>
      <c r="T45">
        <v>7</v>
      </c>
    </row>
    <row r="46" spans="3:20" ht="15" customHeight="1" x14ac:dyDescent="0.25">
      <c r="C46" s="56"/>
      <c r="D46" s="57"/>
      <c r="E46" s="19">
        <v>7</v>
      </c>
      <c r="F46" s="19">
        <v>1</v>
      </c>
      <c r="G46" s="19" t="s">
        <v>754</v>
      </c>
      <c r="H46" s="19">
        <v>4.7169999999999997E-2</v>
      </c>
      <c r="I46" s="19">
        <v>0.2492</v>
      </c>
      <c r="J46" s="19">
        <v>1.159</v>
      </c>
      <c r="K46" s="59" t="str">
        <f t="shared" si="0"/>
        <v>0.25 (0.05 – 1.16)</v>
      </c>
      <c r="L46" s="16" t="str">
        <f t="shared" si="1"/>
        <v>0.25
(0.05 – 1.16)</v>
      </c>
      <c r="M46" s="57"/>
      <c r="N46" s="59" t="s">
        <v>467</v>
      </c>
      <c r="O46" s="16" t="s">
        <v>790</v>
      </c>
      <c r="P46">
        <v>0.50770000000000004</v>
      </c>
      <c r="Q46">
        <v>2.4049999999999998</v>
      </c>
      <c r="R46">
        <v>13.11</v>
      </c>
      <c r="S46">
        <v>10</v>
      </c>
      <c r="T46">
        <v>7</v>
      </c>
    </row>
    <row r="47" spans="3:20" ht="15" customHeight="1" x14ac:dyDescent="0.25">
      <c r="C47" s="56"/>
      <c r="D47" s="57"/>
      <c r="E47" s="19">
        <v>7</v>
      </c>
      <c r="F47" s="59">
        <v>5</v>
      </c>
      <c r="G47" s="54" t="s">
        <v>780</v>
      </c>
      <c r="H47" s="16">
        <v>2.3630000000000002E-2</v>
      </c>
      <c r="I47" s="16">
        <v>0.247</v>
      </c>
      <c r="J47" s="16">
        <v>2.2400000000000002</v>
      </c>
      <c r="K47" s="59" t="str">
        <f t="shared" si="0"/>
        <v>0.25 (0.02 – 2.24)</v>
      </c>
      <c r="L47" s="16" t="str">
        <f t="shared" si="1"/>
        <v>0.25
(0.02 – 2.24)</v>
      </c>
      <c r="M47" s="57"/>
      <c r="N47" s="59" t="s">
        <v>468</v>
      </c>
      <c r="O47" s="16" t="s">
        <v>791</v>
      </c>
      <c r="P47">
        <v>0.9486</v>
      </c>
      <c r="Q47">
        <v>3.5960000000000001</v>
      </c>
      <c r="R47">
        <v>14.68</v>
      </c>
      <c r="S47">
        <v>9</v>
      </c>
      <c r="T47">
        <v>8</v>
      </c>
    </row>
    <row r="48" spans="3:20" ht="15" customHeight="1" x14ac:dyDescent="0.25">
      <c r="C48" s="56"/>
      <c r="D48" s="57"/>
      <c r="E48" s="57">
        <v>6</v>
      </c>
      <c r="F48" s="57">
        <v>9</v>
      </c>
      <c r="G48" s="57" t="s">
        <v>794</v>
      </c>
      <c r="H48" s="57">
        <v>3.5335689045936397E-2</v>
      </c>
      <c r="I48" s="57">
        <v>0.19853087155052612</v>
      </c>
      <c r="J48" s="57">
        <v>1.0464629552113855</v>
      </c>
      <c r="K48" s="59" t="str">
        <f t="shared" si="0"/>
        <v>0.20 (0.04 – 1.05)</v>
      </c>
      <c r="L48" s="16" t="str">
        <f t="shared" si="1"/>
        <v>0.20
(0.04 – 1.05)</v>
      </c>
      <c r="M48" s="57"/>
      <c r="N48" s="59" t="s">
        <v>469</v>
      </c>
      <c r="O48" s="16" t="s">
        <v>792</v>
      </c>
      <c r="P48">
        <v>0.3821</v>
      </c>
      <c r="Q48">
        <v>1.3959999999999999</v>
      </c>
      <c r="R48">
        <v>5.4359999999999999</v>
      </c>
      <c r="S48">
        <v>10</v>
      </c>
      <c r="T48">
        <v>8</v>
      </c>
    </row>
    <row r="49" spans="3:20" ht="15" customHeight="1" x14ac:dyDescent="0.25">
      <c r="C49" s="56"/>
      <c r="D49" s="57"/>
      <c r="E49" s="57">
        <v>7</v>
      </c>
      <c r="F49" s="57">
        <v>9</v>
      </c>
      <c r="G49" s="57" t="s">
        <v>874</v>
      </c>
      <c r="H49" s="57">
        <v>2.8587764436821043E-2</v>
      </c>
      <c r="I49" s="57">
        <v>0.16299918500407498</v>
      </c>
      <c r="J49" s="57">
        <v>0.78926598263614844</v>
      </c>
      <c r="K49" s="59" t="str">
        <f t="shared" si="0"/>
        <v>0.16 (0.03 – 0.79)</v>
      </c>
      <c r="L49" s="16" t="str">
        <f t="shared" si="1"/>
        <v>0.16
(0.03 – 0.79)</v>
      </c>
      <c r="M49" s="57"/>
      <c r="N49" s="59" t="s">
        <v>470</v>
      </c>
      <c r="O49" s="16" t="s">
        <v>793</v>
      </c>
      <c r="P49">
        <v>0.17199999999999999</v>
      </c>
      <c r="Q49">
        <v>0.38919999999999999</v>
      </c>
      <c r="R49">
        <v>0.87180000000000002</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0.1958 
95% CrI (0.007723 – 0.6408)</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357</v>
      </c>
      <c r="B5" s="54">
        <v>7</v>
      </c>
      <c r="C5" s="54">
        <v>2.7149999999999999</v>
      </c>
      <c r="E5" s="19">
        <v>3</v>
      </c>
      <c r="F5" s="19">
        <v>8</v>
      </c>
      <c r="G5" s="19" t="s">
        <v>801</v>
      </c>
      <c r="H5" s="19">
        <v>0.22578460149017834</v>
      </c>
      <c r="I5" s="19">
        <v>0.97847358121330719</v>
      </c>
      <c r="J5" s="19">
        <v>4.0128410914927768</v>
      </c>
      <c r="K5" s="59" t="str">
        <f t="shared" ref="K5:K49" si="0">CONCATENATE(TEXT(I5,"0.00")," (",TEXT(H5,"0.00")," – ",TEXT(J5,"0.00"),")")</f>
        <v>0.98 (0.23 – 4.01)</v>
      </c>
      <c r="L5" s="16" t="str">
        <f t="shared" ref="L5:L49" si="1">CONCATENATE(TEXT(I5,"0.00"),"
(",TEXT(H5,"0.00")," – ",TEXT(J5,"0.00"),")")</f>
        <v>0.98
(0.23 – 4.01)</v>
      </c>
      <c r="N5" s="59" t="s">
        <v>426</v>
      </c>
      <c r="O5" s="16" t="s">
        <v>749</v>
      </c>
      <c r="P5">
        <v>0.39800000000000002</v>
      </c>
      <c r="Q5">
        <v>0.67390000000000005</v>
      </c>
      <c r="R5">
        <v>1.139</v>
      </c>
      <c r="S5">
        <v>2</v>
      </c>
      <c r="T5">
        <v>1</v>
      </c>
    </row>
    <row r="6" spans="1:20" x14ac:dyDescent="0.25">
      <c r="A6" t="s">
        <v>356</v>
      </c>
      <c r="B6" s="54">
        <v>6</v>
      </c>
      <c r="C6" s="54">
        <v>3.355</v>
      </c>
      <c r="E6" s="19">
        <v>5</v>
      </c>
      <c r="F6" s="19">
        <v>1</v>
      </c>
      <c r="G6" s="19" t="s">
        <v>752</v>
      </c>
      <c r="H6" s="19">
        <v>0.1661</v>
      </c>
      <c r="I6" s="19">
        <v>0.97130000000000005</v>
      </c>
      <c r="J6" s="19">
        <v>6.2919999999999998</v>
      </c>
      <c r="K6" s="59" t="str">
        <f t="shared" si="0"/>
        <v>0.97 (0.17 – 6.29)</v>
      </c>
      <c r="L6" s="16" t="str">
        <f t="shared" si="1"/>
        <v>0.97
(0.17 – 6.29)</v>
      </c>
      <c r="N6" s="59" t="s">
        <v>427</v>
      </c>
      <c r="O6" s="16" t="s">
        <v>750</v>
      </c>
      <c r="P6">
        <v>0.20749999999999999</v>
      </c>
      <c r="Q6">
        <v>0.40960000000000002</v>
      </c>
      <c r="R6">
        <v>0.75219999999999998</v>
      </c>
      <c r="S6">
        <v>3</v>
      </c>
      <c r="T6">
        <v>1</v>
      </c>
    </row>
    <row r="7" spans="1:20" x14ac:dyDescent="0.25">
      <c r="A7" t="s">
        <v>353</v>
      </c>
      <c r="B7" s="19">
        <v>3</v>
      </c>
      <c r="C7" s="19">
        <v>3.6859999999999999</v>
      </c>
      <c r="E7" s="19">
        <v>8</v>
      </c>
      <c r="F7" s="19">
        <v>4</v>
      </c>
      <c r="G7" s="19" t="s">
        <v>776</v>
      </c>
      <c r="H7" s="19">
        <v>0.17249999999999999</v>
      </c>
      <c r="I7" s="19">
        <v>0.92830000000000001</v>
      </c>
      <c r="J7" s="19">
        <v>4.8949999999999996</v>
      </c>
      <c r="K7" s="59" t="str">
        <f t="shared" si="0"/>
        <v>0.93 (0.17 – 4.90)</v>
      </c>
      <c r="L7" s="16" t="str">
        <f t="shared" si="1"/>
        <v>0.93
(0.17 – 4.90)</v>
      </c>
      <c r="N7" s="59" t="s">
        <v>428</v>
      </c>
      <c r="O7" s="16" t="s">
        <v>751</v>
      </c>
      <c r="P7">
        <v>0.15759999999999999</v>
      </c>
      <c r="Q7">
        <v>0.45979999999999999</v>
      </c>
      <c r="R7">
        <v>1.288</v>
      </c>
      <c r="S7">
        <v>4</v>
      </c>
      <c r="T7">
        <v>1</v>
      </c>
    </row>
    <row r="8" spans="1:20" x14ac:dyDescent="0.25">
      <c r="A8" t="s">
        <v>358</v>
      </c>
      <c r="B8" s="54">
        <v>8</v>
      </c>
      <c r="C8" s="54">
        <v>4.1849999999999996</v>
      </c>
      <c r="E8" s="19">
        <v>3</v>
      </c>
      <c r="F8" s="59">
        <v>4</v>
      </c>
      <c r="G8" s="54" t="s">
        <v>875</v>
      </c>
      <c r="H8" s="16">
        <v>0.34746351633078526</v>
      </c>
      <c r="I8" s="16">
        <v>0.89445438282647571</v>
      </c>
      <c r="J8" s="16">
        <v>2.3579344494223062</v>
      </c>
      <c r="K8" s="59" t="str">
        <f t="shared" si="0"/>
        <v>0.89 (0.35 – 2.36)</v>
      </c>
      <c r="L8" s="16" t="str">
        <f t="shared" si="1"/>
        <v>0.89
(0.35 – 2.36)</v>
      </c>
      <c r="N8" s="59" t="s">
        <v>429</v>
      </c>
      <c r="O8" s="16" t="s">
        <v>752</v>
      </c>
      <c r="P8">
        <v>0.1661</v>
      </c>
      <c r="Q8">
        <v>0.97130000000000005</v>
      </c>
      <c r="R8">
        <v>6.2919999999999998</v>
      </c>
      <c r="S8">
        <v>5</v>
      </c>
      <c r="T8">
        <v>1</v>
      </c>
    </row>
    <row r="9" spans="1:20" x14ac:dyDescent="0.25">
      <c r="A9" t="s">
        <v>354</v>
      </c>
      <c r="B9" s="19">
        <v>4</v>
      </c>
      <c r="C9" s="19">
        <v>4.4210000000000003</v>
      </c>
      <c r="E9" s="19">
        <v>10</v>
      </c>
      <c r="F9" s="59">
        <v>2</v>
      </c>
      <c r="G9" s="54" t="s">
        <v>765</v>
      </c>
      <c r="H9" s="16">
        <v>0.42320000000000002</v>
      </c>
      <c r="I9" s="16">
        <v>0.87949999999999995</v>
      </c>
      <c r="J9" s="16">
        <v>1.8180000000000001</v>
      </c>
      <c r="K9" s="59" t="str">
        <f t="shared" si="0"/>
        <v>0.88 (0.42 – 1.82)</v>
      </c>
      <c r="L9" s="16" t="str">
        <f t="shared" si="1"/>
        <v>0.88
(0.42 – 1.82)</v>
      </c>
      <c r="N9" s="59" t="s">
        <v>430</v>
      </c>
      <c r="O9" s="16" t="s">
        <v>753</v>
      </c>
      <c r="P9">
        <v>5.2040000000000003E-2</v>
      </c>
      <c r="Q9">
        <v>0.30249999999999999</v>
      </c>
      <c r="R9">
        <v>1.718</v>
      </c>
      <c r="S9">
        <v>6</v>
      </c>
      <c r="T9">
        <v>1</v>
      </c>
    </row>
    <row r="10" spans="1:20" x14ac:dyDescent="0.25">
      <c r="A10" t="s">
        <v>360</v>
      </c>
      <c r="B10" s="19">
        <v>10</v>
      </c>
      <c r="C10" s="19">
        <v>5.5359999999999996</v>
      </c>
      <c r="E10" s="19">
        <v>7</v>
      </c>
      <c r="F10" s="59">
        <v>6</v>
      </c>
      <c r="G10" s="54" t="s">
        <v>784</v>
      </c>
      <c r="H10" s="16">
        <v>7.0370000000000002E-2</v>
      </c>
      <c r="I10" s="16">
        <v>0.82909999999999995</v>
      </c>
      <c r="J10" s="16">
        <v>8.2149999999999999</v>
      </c>
      <c r="K10" s="59" t="str">
        <f t="shared" si="0"/>
        <v>0.83 (0.07 – 8.22)</v>
      </c>
      <c r="L10" s="16" t="str">
        <f t="shared" si="1"/>
        <v>0.83
(0.07 – 8.22)</v>
      </c>
      <c r="N10" s="59" t="s">
        <v>431</v>
      </c>
      <c r="O10" s="16" t="s">
        <v>754</v>
      </c>
      <c r="P10">
        <v>3.9489999999999997E-2</v>
      </c>
      <c r="Q10">
        <v>0.25090000000000001</v>
      </c>
      <c r="R10">
        <v>1.208</v>
      </c>
      <c r="S10">
        <v>7</v>
      </c>
      <c r="T10">
        <v>1</v>
      </c>
    </row>
    <row r="11" spans="1:20" x14ac:dyDescent="0.25">
      <c r="A11" t="s">
        <v>352</v>
      </c>
      <c r="B11" s="54">
        <v>2</v>
      </c>
      <c r="C11" s="54">
        <v>6.2229999999999999</v>
      </c>
      <c r="E11" s="19">
        <v>4</v>
      </c>
      <c r="F11" s="19">
        <v>10</v>
      </c>
      <c r="G11" s="19" t="s">
        <v>799</v>
      </c>
      <c r="H11" s="19">
        <v>0.23986567522187577</v>
      </c>
      <c r="I11" s="19">
        <v>0.76394194041252872</v>
      </c>
      <c r="J11" s="19">
        <v>2.4467824810374359</v>
      </c>
      <c r="K11" s="59" t="str">
        <f t="shared" si="0"/>
        <v>0.76 (0.24 – 2.45)</v>
      </c>
      <c r="L11" s="16" t="str">
        <f t="shared" si="1"/>
        <v>0.76
(0.24 – 2.45)</v>
      </c>
      <c r="N11" s="59" t="s">
        <v>432</v>
      </c>
      <c r="O11" s="16" t="s">
        <v>755</v>
      </c>
      <c r="P11">
        <v>0.1067</v>
      </c>
      <c r="Q11">
        <v>0.41739999999999999</v>
      </c>
      <c r="R11">
        <v>1.629</v>
      </c>
      <c r="S11">
        <v>8</v>
      </c>
      <c r="T11">
        <v>1</v>
      </c>
    </row>
    <row r="12" spans="1:20" x14ac:dyDescent="0.25">
      <c r="A12" t="s">
        <v>355</v>
      </c>
      <c r="B12" s="19">
        <v>5</v>
      </c>
      <c r="C12" s="19">
        <v>7.2809999999999997</v>
      </c>
      <c r="E12" s="19">
        <v>6</v>
      </c>
      <c r="F12" s="19">
        <v>3</v>
      </c>
      <c r="G12" s="19" t="s">
        <v>768</v>
      </c>
      <c r="H12" s="19">
        <v>0.1452</v>
      </c>
      <c r="I12" s="19">
        <v>0.75090000000000001</v>
      </c>
      <c r="J12" s="19">
        <v>3.722</v>
      </c>
      <c r="K12" s="59" t="str">
        <f t="shared" si="0"/>
        <v>0.75 (0.15 – 3.72)</v>
      </c>
      <c r="L12" s="16" t="str">
        <f t="shared" si="1"/>
        <v>0.75
(0.15 – 3.72)</v>
      </c>
      <c r="N12" s="59" t="s">
        <v>433</v>
      </c>
      <c r="O12" s="16" t="s">
        <v>756</v>
      </c>
      <c r="P12">
        <v>0.88619999999999999</v>
      </c>
      <c r="Q12">
        <v>1.542</v>
      </c>
      <c r="R12">
        <v>2.649</v>
      </c>
      <c r="S12">
        <v>9</v>
      </c>
      <c r="T12">
        <v>1</v>
      </c>
    </row>
    <row r="13" spans="1:20" x14ac:dyDescent="0.25">
      <c r="A13" t="s">
        <v>351</v>
      </c>
      <c r="B13" s="54">
        <v>1</v>
      </c>
      <c r="C13" s="54">
        <v>8.1219999999999999</v>
      </c>
      <c r="E13" s="19">
        <v>6</v>
      </c>
      <c r="F13" s="59">
        <v>8</v>
      </c>
      <c r="G13" s="54" t="s">
        <v>795</v>
      </c>
      <c r="H13" s="16">
        <v>8.3056478405315617E-2</v>
      </c>
      <c r="I13" s="16">
        <v>0.73313782991202336</v>
      </c>
      <c r="J13" s="16">
        <v>5.8004640371229703</v>
      </c>
      <c r="K13" s="59" t="str">
        <f t="shared" si="0"/>
        <v>0.73 (0.08 – 5.80)</v>
      </c>
      <c r="L13" s="16" t="str">
        <f t="shared" si="1"/>
        <v>0.73
(0.08 – 5.80)</v>
      </c>
      <c r="N13" s="59" t="s">
        <v>434</v>
      </c>
      <c r="O13" s="16" t="s">
        <v>757</v>
      </c>
      <c r="P13">
        <v>0.28589999999999999</v>
      </c>
      <c r="Q13">
        <v>0.60040000000000004</v>
      </c>
      <c r="R13">
        <v>1.2130000000000001</v>
      </c>
      <c r="S13">
        <v>10</v>
      </c>
      <c r="T13">
        <v>1</v>
      </c>
    </row>
    <row r="14" spans="1:20" x14ac:dyDescent="0.25">
      <c r="A14" t="s">
        <v>359</v>
      </c>
      <c r="B14" s="19">
        <v>9</v>
      </c>
      <c r="C14" s="19">
        <v>9.4760000000000009</v>
      </c>
      <c r="E14" s="57">
        <v>8</v>
      </c>
      <c r="F14" s="57">
        <v>10</v>
      </c>
      <c r="G14" s="57" t="s">
        <v>804</v>
      </c>
      <c r="H14" s="57">
        <v>0.16561775422325273</v>
      </c>
      <c r="I14" s="57">
        <v>0.70028011204481799</v>
      </c>
      <c r="J14" s="57">
        <v>3.0175015087507546</v>
      </c>
      <c r="K14" s="59" t="str">
        <f t="shared" si="0"/>
        <v>0.70 (0.17 – 3.02)</v>
      </c>
      <c r="L14" s="16" t="str">
        <f t="shared" si="1"/>
        <v>0.70
(0.17 – 3.02)</v>
      </c>
      <c r="N14" s="59" t="s">
        <v>435</v>
      </c>
      <c r="O14" s="16" t="s">
        <v>758</v>
      </c>
      <c r="P14">
        <v>0.29709999999999998</v>
      </c>
      <c r="Q14">
        <v>0.61070000000000002</v>
      </c>
      <c r="R14">
        <v>1.163</v>
      </c>
      <c r="S14">
        <v>3</v>
      </c>
      <c r="T14">
        <v>2</v>
      </c>
    </row>
    <row r="15" spans="1:20" ht="15" customHeight="1" x14ac:dyDescent="0.25">
      <c r="E15" s="19">
        <v>3</v>
      </c>
      <c r="F15" s="19">
        <v>10</v>
      </c>
      <c r="G15" s="19" t="s">
        <v>802</v>
      </c>
      <c r="H15" s="19">
        <v>0.29726516052318669</v>
      </c>
      <c r="I15" s="19">
        <v>0.68587105624142664</v>
      </c>
      <c r="J15" s="19">
        <v>1.5151515151515151</v>
      </c>
      <c r="K15" s="59" t="str">
        <f t="shared" si="0"/>
        <v>0.69 (0.30 – 1.52)</v>
      </c>
      <c r="L15" s="16" t="str">
        <f t="shared" si="1"/>
        <v>0.69
(0.30 – 1.52)</v>
      </c>
      <c r="N15" s="59" t="s">
        <v>436</v>
      </c>
      <c r="O15" s="16" t="s">
        <v>759</v>
      </c>
      <c r="P15">
        <v>0.2293</v>
      </c>
      <c r="Q15">
        <v>0.67620000000000002</v>
      </c>
      <c r="R15">
        <v>2.0379999999999998</v>
      </c>
      <c r="S15">
        <v>4</v>
      </c>
      <c r="T15">
        <v>2</v>
      </c>
    </row>
    <row r="16" spans="1:20" ht="15" customHeight="1" x14ac:dyDescent="0.25">
      <c r="E16" s="19">
        <v>2</v>
      </c>
      <c r="F16" s="19">
        <v>5</v>
      </c>
      <c r="G16" s="19" t="s">
        <v>879</v>
      </c>
      <c r="H16" s="19">
        <v>0.11181930001118194</v>
      </c>
      <c r="I16" s="19">
        <v>0.68493150684931503</v>
      </c>
      <c r="J16" s="19">
        <v>3.734129947722181</v>
      </c>
      <c r="K16" s="59" t="str">
        <f t="shared" si="0"/>
        <v>0.68 (0.11 – 3.73)</v>
      </c>
      <c r="L16" s="16" t="str">
        <f t="shared" si="1"/>
        <v>0.68
(0.11 – 3.73)</v>
      </c>
      <c r="N16" s="59" t="s">
        <v>437</v>
      </c>
      <c r="O16" s="16" t="s">
        <v>760</v>
      </c>
      <c r="P16">
        <v>0.26779999999999998</v>
      </c>
      <c r="Q16">
        <v>1.46</v>
      </c>
      <c r="R16">
        <v>8.9429999999999996</v>
      </c>
      <c r="S16">
        <v>5</v>
      </c>
      <c r="T16">
        <v>2</v>
      </c>
    </row>
    <row r="17" spans="5:20" ht="15" customHeight="1" x14ac:dyDescent="0.25">
      <c r="E17" s="19">
        <v>4</v>
      </c>
      <c r="F17" s="19">
        <v>2</v>
      </c>
      <c r="G17" s="19" t="s">
        <v>759</v>
      </c>
      <c r="H17" s="19">
        <v>0.2293</v>
      </c>
      <c r="I17" s="19">
        <v>0.67620000000000002</v>
      </c>
      <c r="J17" s="19">
        <v>2.0379999999999998</v>
      </c>
      <c r="K17" s="59" t="str">
        <f t="shared" si="0"/>
        <v>0.68 (0.23 – 2.04)</v>
      </c>
      <c r="L17" s="16" t="str">
        <f t="shared" si="1"/>
        <v>0.68
(0.23 – 2.04)</v>
      </c>
      <c r="N17" s="59" t="s">
        <v>438</v>
      </c>
      <c r="O17" s="16" t="s">
        <v>761</v>
      </c>
      <c r="P17">
        <v>7.5939999999999994E-2</v>
      </c>
      <c r="Q17">
        <v>0.44629999999999997</v>
      </c>
      <c r="R17">
        <v>2.645</v>
      </c>
      <c r="S17">
        <v>6</v>
      </c>
      <c r="T17">
        <v>2</v>
      </c>
    </row>
    <row r="18" spans="5:20" ht="15" customHeight="1" x14ac:dyDescent="0.25">
      <c r="E18" s="19">
        <v>2</v>
      </c>
      <c r="F18" s="19">
        <v>1</v>
      </c>
      <c r="G18" s="19" t="s">
        <v>749</v>
      </c>
      <c r="H18" s="19">
        <v>0.39800000000000002</v>
      </c>
      <c r="I18" s="19">
        <v>0.67390000000000005</v>
      </c>
      <c r="J18" s="19">
        <v>1.139</v>
      </c>
      <c r="K18" s="59" t="str">
        <f t="shared" si="0"/>
        <v>0.67 (0.40 – 1.14)</v>
      </c>
      <c r="L18" s="16" t="str">
        <f t="shared" si="1"/>
        <v>0.67
(0.40 – 1.14)</v>
      </c>
      <c r="N18" s="59" t="s">
        <v>439</v>
      </c>
      <c r="O18" s="16" t="s">
        <v>762</v>
      </c>
      <c r="P18">
        <v>6.3729999999999995E-2</v>
      </c>
      <c r="Q18">
        <v>0.37369999999999998</v>
      </c>
      <c r="R18">
        <v>1.655</v>
      </c>
      <c r="S18">
        <v>7</v>
      </c>
      <c r="T18">
        <v>2</v>
      </c>
    </row>
    <row r="19" spans="5:20" ht="15" customHeight="1" x14ac:dyDescent="0.25">
      <c r="E19" s="19">
        <v>6</v>
      </c>
      <c r="F19" s="19">
        <v>4</v>
      </c>
      <c r="G19" s="19" t="s">
        <v>774</v>
      </c>
      <c r="H19" s="19">
        <v>0.1004</v>
      </c>
      <c r="I19" s="19">
        <v>0.66190000000000004</v>
      </c>
      <c r="J19" s="19">
        <v>4.242</v>
      </c>
      <c r="K19" s="59" t="str">
        <f t="shared" si="0"/>
        <v>0.66 (0.10 – 4.24)</v>
      </c>
      <c r="L19" s="16" t="str">
        <f t="shared" si="1"/>
        <v>0.66
(0.10 – 4.24)</v>
      </c>
      <c r="N19" s="59" t="s">
        <v>440</v>
      </c>
      <c r="O19" s="16" t="s">
        <v>763</v>
      </c>
      <c r="P19">
        <v>0.1734</v>
      </c>
      <c r="Q19">
        <v>0.63009999999999999</v>
      </c>
      <c r="R19">
        <v>2.218</v>
      </c>
      <c r="S19">
        <v>8</v>
      </c>
      <c r="T19">
        <v>2</v>
      </c>
    </row>
    <row r="20" spans="5:20" ht="15" customHeight="1" x14ac:dyDescent="0.25">
      <c r="E20" s="19">
        <v>1</v>
      </c>
      <c r="F20" s="19">
        <v>9</v>
      </c>
      <c r="G20" s="19" t="s">
        <v>803</v>
      </c>
      <c r="H20" s="19">
        <v>0.37750094375235937</v>
      </c>
      <c r="I20" s="19">
        <v>0.64850843060959795</v>
      </c>
      <c r="J20" s="19">
        <v>1.1284134506883323</v>
      </c>
      <c r="K20" s="59" t="str">
        <f t="shared" si="0"/>
        <v>0.65 (0.38 – 1.13)</v>
      </c>
      <c r="L20" s="16" t="str">
        <f t="shared" si="1"/>
        <v>0.65
(0.38 – 1.13)</v>
      </c>
      <c r="N20" s="59" t="s">
        <v>441</v>
      </c>
      <c r="O20" s="16" t="s">
        <v>764</v>
      </c>
      <c r="P20">
        <v>1.0980000000000001</v>
      </c>
      <c r="Q20">
        <v>2.2949999999999999</v>
      </c>
      <c r="R20">
        <v>4.8099999999999996</v>
      </c>
      <c r="S20">
        <v>9</v>
      </c>
      <c r="T20">
        <v>2</v>
      </c>
    </row>
    <row r="21" spans="5:20" ht="15" customHeight="1" x14ac:dyDescent="0.25">
      <c r="E21" s="19">
        <v>8</v>
      </c>
      <c r="F21" s="59">
        <v>2</v>
      </c>
      <c r="G21" s="54" t="s">
        <v>763</v>
      </c>
      <c r="H21" s="16">
        <v>0.1734</v>
      </c>
      <c r="I21" s="16">
        <v>0.63009999999999999</v>
      </c>
      <c r="J21" s="16">
        <v>2.218</v>
      </c>
      <c r="K21" s="59" t="str">
        <f t="shared" si="0"/>
        <v>0.63 (0.17 – 2.22)</v>
      </c>
      <c r="L21" s="16" t="str">
        <f t="shared" si="1"/>
        <v>0.63
(0.17 – 2.22)</v>
      </c>
      <c r="N21" s="59" t="s">
        <v>442</v>
      </c>
      <c r="O21" s="16" t="s">
        <v>765</v>
      </c>
      <c r="P21">
        <v>0.42320000000000002</v>
      </c>
      <c r="Q21">
        <v>0.87949999999999995</v>
      </c>
      <c r="R21">
        <v>1.8180000000000001</v>
      </c>
      <c r="S21">
        <v>10</v>
      </c>
      <c r="T21">
        <v>2</v>
      </c>
    </row>
    <row r="22" spans="5:20" ht="15" customHeight="1" x14ac:dyDescent="0.25">
      <c r="E22" s="57">
        <v>5</v>
      </c>
      <c r="F22" s="57">
        <v>9</v>
      </c>
      <c r="G22" s="57" t="s">
        <v>797</v>
      </c>
      <c r="H22" s="57">
        <v>9.7370983446932818E-2</v>
      </c>
      <c r="I22" s="57">
        <v>0.62972292191435764</v>
      </c>
      <c r="J22" s="57">
        <v>4.3591979075850045</v>
      </c>
      <c r="K22" s="59" t="str">
        <f t="shared" si="0"/>
        <v>0.63 (0.10 – 4.36)</v>
      </c>
      <c r="L22" s="16" t="str">
        <f t="shared" si="1"/>
        <v>0.63
(0.10 – 4.36)</v>
      </c>
      <c r="N22" s="59" t="s">
        <v>443</v>
      </c>
      <c r="O22" s="16" t="s">
        <v>766</v>
      </c>
      <c r="P22">
        <v>0.42409999999999998</v>
      </c>
      <c r="Q22">
        <v>1.1180000000000001</v>
      </c>
      <c r="R22">
        <v>2.8780000000000001</v>
      </c>
      <c r="S22">
        <v>4</v>
      </c>
      <c r="T22">
        <v>3</v>
      </c>
    </row>
    <row r="23" spans="5:20" ht="15" customHeight="1" x14ac:dyDescent="0.25">
      <c r="E23" s="19">
        <v>7</v>
      </c>
      <c r="F23" s="59">
        <v>3</v>
      </c>
      <c r="G23" s="54" t="s">
        <v>769</v>
      </c>
      <c r="H23" s="16">
        <v>9.3420000000000003E-2</v>
      </c>
      <c r="I23" s="16">
        <v>0.61560000000000004</v>
      </c>
      <c r="J23" s="16">
        <v>3.153</v>
      </c>
      <c r="K23" s="59" t="str">
        <f t="shared" si="0"/>
        <v>0.62 (0.09 – 3.15)</v>
      </c>
      <c r="L23" s="16" t="str">
        <f t="shared" si="1"/>
        <v>0.62
(0.09 – 3.15)</v>
      </c>
      <c r="N23" s="59" t="s">
        <v>444</v>
      </c>
      <c r="O23" s="16" t="s">
        <v>767</v>
      </c>
      <c r="P23">
        <v>0.37719999999999998</v>
      </c>
      <c r="Q23">
        <v>2.3879999999999999</v>
      </c>
      <c r="R23">
        <v>16.16</v>
      </c>
      <c r="S23">
        <v>5</v>
      </c>
      <c r="T23">
        <v>3</v>
      </c>
    </row>
    <row r="24" spans="5:20" ht="15" customHeight="1" x14ac:dyDescent="0.25">
      <c r="E24" s="57">
        <v>10</v>
      </c>
      <c r="F24" s="57">
        <v>5</v>
      </c>
      <c r="G24" s="57" t="s">
        <v>783</v>
      </c>
      <c r="H24" s="57">
        <v>8.3720000000000003E-2</v>
      </c>
      <c r="I24" s="57">
        <v>0.61499999999999999</v>
      </c>
      <c r="J24" s="57">
        <v>3.7690000000000001</v>
      </c>
      <c r="K24" s="59" t="str">
        <f t="shared" si="0"/>
        <v>0.62 (0.08 – 3.77)</v>
      </c>
      <c r="L24" s="16" t="str">
        <f t="shared" si="1"/>
        <v>0.62
(0.08 – 3.77)</v>
      </c>
      <c r="N24" s="59" t="s">
        <v>445</v>
      </c>
      <c r="O24" s="16" t="s">
        <v>768</v>
      </c>
      <c r="P24">
        <v>0.1452</v>
      </c>
      <c r="Q24">
        <v>0.75090000000000001</v>
      </c>
      <c r="R24">
        <v>3.722</v>
      </c>
      <c r="S24">
        <v>6</v>
      </c>
      <c r="T24">
        <v>3</v>
      </c>
    </row>
    <row r="25" spans="5:20" ht="15" customHeight="1" x14ac:dyDescent="0.25">
      <c r="E25" s="19">
        <v>3</v>
      </c>
      <c r="F25" s="59">
        <v>2</v>
      </c>
      <c r="G25" s="54" t="s">
        <v>758</v>
      </c>
      <c r="H25" s="16">
        <v>0.29709999999999998</v>
      </c>
      <c r="I25" s="16">
        <v>0.61070000000000002</v>
      </c>
      <c r="J25" s="16">
        <v>1.163</v>
      </c>
      <c r="K25" s="59" t="str">
        <f t="shared" si="0"/>
        <v>0.61 (0.30 – 1.16)</v>
      </c>
      <c r="L25" s="16" t="str">
        <f t="shared" si="1"/>
        <v>0.61
(0.30 – 1.16)</v>
      </c>
      <c r="N25" s="59" t="s">
        <v>446</v>
      </c>
      <c r="O25" s="16" t="s">
        <v>769</v>
      </c>
      <c r="P25">
        <v>9.3420000000000003E-2</v>
      </c>
      <c r="Q25">
        <v>0.61560000000000004</v>
      </c>
      <c r="R25">
        <v>3.153</v>
      </c>
      <c r="S25">
        <v>7</v>
      </c>
      <c r="T25">
        <v>3</v>
      </c>
    </row>
    <row r="26" spans="5:20" ht="15" customHeight="1" x14ac:dyDescent="0.25">
      <c r="E26" s="19">
        <v>10</v>
      </c>
      <c r="F26" s="19">
        <v>1</v>
      </c>
      <c r="G26" s="19" t="s">
        <v>757</v>
      </c>
      <c r="H26" s="19">
        <v>0.28589999999999999</v>
      </c>
      <c r="I26" s="19">
        <v>0.60040000000000004</v>
      </c>
      <c r="J26" s="19">
        <v>1.2130000000000001</v>
      </c>
      <c r="K26" s="59" t="str">
        <f t="shared" si="0"/>
        <v>0.60 (0.29 – 1.21)</v>
      </c>
      <c r="L26" s="16" t="str">
        <f t="shared" si="1"/>
        <v>0.60
(0.29 – 1.21)</v>
      </c>
      <c r="N26" s="59" t="s">
        <v>447</v>
      </c>
      <c r="O26" s="16" t="s">
        <v>770</v>
      </c>
      <c r="P26">
        <v>0.2492</v>
      </c>
      <c r="Q26">
        <v>1.022</v>
      </c>
      <c r="R26">
        <v>4.4290000000000003</v>
      </c>
      <c r="S26">
        <v>8</v>
      </c>
      <c r="T26">
        <v>3</v>
      </c>
    </row>
    <row r="27" spans="5:20" ht="15" customHeight="1" x14ac:dyDescent="0.25">
      <c r="E27" s="57">
        <v>7</v>
      </c>
      <c r="F27" s="57">
        <v>8</v>
      </c>
      <c r="G27" s="57" t="s">
        <v>873</v>
      </c>
      <c r="H27" s="57">
        <v>6.25E-2</v>
      </c>
      <c r="I27" s="57">
        <v>0.59772863120143449</v>
      </c>
      <c r="J27" s="57">
        <v>4.3610989969472307</v>
      </c>
      <c r="K27" s="59" t="str">
        <f t="shared" si="0"/>
        <v>0.60 (0.06 – 4.36)</v>
      </c>
      <c r="L27" s="16" t="str">
        <f t="shared" si="1"/>
        <v>0.60
(0.06 – 4.36)</v>
      </c>
      <c r="N27" s="59" t="s">
        <v>448</v>
      </c>
      <c r="O27" s="16" t="s">
        <v>771</v>
      </c>
      <c r="P27">
        <v>1.768</v>
      </c>
      <c r="Q27">
        <v>3.7650000000000001</v>
      </c>
      <c r="R27">
        <v>8.4670000000000005</v>
      </c>
      <c r="S27">
        <v>9</v>
      </c>
      <c r="T27">
        <v>3</v>
      </c>
    </row>
    <row r="28" spans="5:20" ht="15" customHeight="1" x14ac:dyDescent="0.25">
      <c r="E28" s="57">
        <v>7</v>
      </c>
      <c r="F28" s="57">
        <v>4</v>
      </c>
      <c r="G28" s="57" t="s">
        <v>775</v>
      </c>
      <c r="H28" s="57">
        <v>7.3209999999999997E-2</v>
      </c>
      <c r="I28" s="57">
        <v>0.56330000000000002</v>
      </c>
      <c r="J28" s="57">
        <v>3.339</v>
      </c>
      <c r="K28" s="59" t="str">
        <f t="shared" si="0"/>
        <v>0.56 (0.07 – 3.34)</v>
      </c>
      <c r="L28" s="16" t="str">
        <f t="shared" si="1"/>
        <v>0.56
(0.07 – 3.34)</v>
      </c>
      <c r="N28" s="59" t="s">
        <v>449</v>
      </c>
      <c r="O28" s="16" t="s">
        <v>772</v>
      </c>
      <c r="P28">
        <v>0.66</v>
      </c>
      <c r="Q28">
        <v>1.458</v>
      </c>
      <c r="R28">
        <v>3.3639999999999999</v>
      </c>
      <c r="S28">
        <v>10</v>
      </c>
      <c r="T28">
        <v>3</v>
      </c>
    </row>
    <row r="29" spans="5:20" ht="15" customHeight="1" x14ac:dyDescent="0.25">
      <c r="E29" s="57">
        <v>6</v>
      </c>
      <c r="F29" s="57">
        <v>10</v>
      </c>
      <c r="G29" s="57" t="s">
        <v>796</v>
      </c>
      <c r="H29" s="57">
        <v>8.0710250201775621E-2</v>
      </c>
      <c r="I29" s="57">
        <v>0.51759834368530022</v>
      </c>
      <c r="J29" s="57">
        <v>3.1545741324921135</v>
      </c>
      <c r="K29" s="59" t="str">
        <f t="shared" si="0"/>
        <v>0.52 (0.08 – 3.15)</v>
      </c>
      <c r="L29" s="16" t="str">
        <f t="shared" si="1"/>
        <v>0.52
(0.08 – 3.15)</v>
      </c>
      <c r="N29" s="59" t="s">
        <v>450</v>
      </c>
      <c r="O29" s="16" t="s">
        <v>773</v>
      </c>
      <c r="P29">
        <v>0.29170000000000001</v>
      </c>
      <c r="Q29">
        <v>2.161</v>
      </c>
      <c r="R29">
        <v>18.21</v>
      </c>
      <c r="S29">
        <v>5</v>
      </c>
      <c r="T29">
        <v>4</v>
      </c>
    </row>
    <row r="30" spans="5:20" ht="15" customHeight="1" x14ac:dyDescent="0.25">
      <c r="E30" s="19">
        <v>4</v>
      </c>
      <c r="F30" s="19">
        <v>5</v>
      </c>
      <c r="G30" s="19" t="s">
        <v>878</v>
      </c>
      <c r="H30" s="19">
        <v>5.491488193300384E-2</v>
      </c>
      <c r="I30" s="19">
        <v>0.46274872744099954</v>
      </c>
      <c r="J30" s="19">
        <v>3.4281796366129584</v>
      </c>
      <c r="K30" s="59" t="str">
        <f t="shared" si="0"/>
        <v>0.46 (0.05 – 3.43)</v>
      </c>
      <c r="L30" s="16" t="str">
        <f t="shared" si="1"/>
        <v>0.46
(0.05 – 3.43)</v>
      </c>
      <c r="N30" s="59" t="s">
        <v>451</v>
      </c>
      <c r="O30" s="16" t="s">
        <v>774</v>
      </c>
      <c r="P30">
        <v>0.1004</v>
      </c>
      <c r="Q30">
        <v>0.66190000000000004</v>
      </c>
      <c r="R30">
        <v>4.242</v>
      </c>
      <c r="S30">
        <v>6</v>
      </c>
      <c r="T30">
        <v>4</v>
      </c>
    </row>
    <row r="31" spans="5:20" ht="15" customHeight="1" x14ac:dyDescent="0.25">
      <c r="E31" s="19">
        <v>4</v>
      </c>
      <c r="F31" s="19">
        <v>1</v>
      </c>
      <c r="G31" s="19" t="s">
        <v>751</v>
      </c>
      <c r="H31" s="19">
        <v>0.15759999999999999</v>
      </c>
      <c r="I31" s="19">
        <v>0.45979999999999999</v>
      </c>
      <c r="J31" s="19">
        <v>1.288</v>
      </c>
      <c r="K31" s="59" t="str">
        <f t="shared" si="0"/>
        <v>0.46 (0.16 – 1.29)</v>
      </c>
      <c r="L31" s="16" t="str">
        <f t="shared" si="1"/>
        <v>0.46
(0.16 – 1.29)</v>
      </c>
      <c r="N31" s="59" t="s">
        <v>452</v>
      </c>
      <c r="O31" s="16" t="s">
        <v>775</v>
      </c>
      <c r="P31">
        <v>7.3209999999999997E-2</v>
      </c>
      <c r="Q31">
        <v>0.56330000000000002</v>
      </c>
      <c r="R31">
        <v>3.339</v>
      </c>
      <c r="S31">
        <v>7</v>
      </c>
      <c r="T31">
        <v>4</v>
      </c>
    </row>
    <row r="32" spans="5:20" ht="15" customHeight="1" x14ac:dyDescent="0.25">
      <c r="E32" s="19">
        <v>6</v>
      </c>
      <c r="F32" s="59">
        <v>2</v>
      </c>
      <c r="G32" s="54" t="s">
        <v>761</v>
      </c>
      <c r="H32" s="16">
        <v>7.5939999999999994E-2</v>
      </c>
      <c r="I32" s="16">
        <v>0.44629999999999997</v>
      </c>
      <c r="J32" s="16">
        <v>2.645</v>
      </c>
      <c r="K32" s="59" t="str">
        <f t="shared" si="0"/>
        <v>0.45 (0.08 – 2.65)</v>
      </c>
      <c r="L32" s="16" t="str">
        <f t="shared" si="1"/>
        <v>0.45
(0.08 – 2.65)</v>
      </c>
      <c r="N32" s="59" t="s">
        <v>453</v>
      </c>
      <c r="O32" s="16" t="s">
        <v>776</v>
      </c>
      <c r="P32">
        <v>0.17249999999999999</v>
      </c>
      <c r="Q32">
        <v>0.92830000000000001</v>
      </c>
      <c r="R32">
        <v>4.8949999999999996</v>
      </c>
      <c r="S32">
        <v>8</v>
      </c>
      <c r="T32">
        <v>4</v>
      </c>
    </row>
    <row r="33" spans="3:20" ht="15" customHeight="1" x14ac:dyDescent="0.25">
      <c r="E33" s="19">
        <v>2</v>
      </c>
      <c r="F33" s="19">
        <v>9</v>
      </c>
      <c r="G33" s="19" t="s">
        <v>880</v>
      </c>
      <c r="H33" s="19">
        <v>0.20790020790020791</v>
      </c>
      <c r="I33" s="19">
        <v>0.4357298474945534</v>
      </c>
      <c r="J33" s="19">
        <v>0.91074681238615662</v>
      </c>
      <c r="K33" s="59" t="str">
        <f t="shared" si="0"/>
        <v>0.44 (0.21 – 0.91)</v>
      </c>
      <c r="L33" s="16" t="str">
        <f t="shared" si="1"/>
        <v>0.44
(0.21 – 0.91)</v>
      </c>
      <c r="N33" s="59" t="s">
        <v>454</v>
      </c>
      <c r="O33" s="16" t="s">
        <v>777</v>
      </c>
      <c r="P33">
        <v>1.099</v>
      </c>
      <c r="Q33">
        <v>3.3559999999999999</v>
      </c>
      <c r="R33">
        <v>10.38</v>
      </c>
      <c r="S33">
        <v>9</v>
      </c>
      <c r="T33">
        <v>4</v>
      </c>
    </row>
    <row r="34" spans="3:20" ht="15" customHeight="1" x14ac:dyDescent="0.25">
      <c r="E34" s="19">
        <v>8</v>
      </c>
      <c r="F34" s="19">
        <v>5</v>
      </c>
      <c r="G34" s="19" t="s">
        <v>781</v>
      </c>
      <c r="H34" s="19">
        <v>4.8959999999999997E-2</v>
      </c>
      <c r="I34" s="19">
        <v>0.42880000000000001</v>
      </c>
      <c r="J34" s="19">
        <v>3.6240000000000001</v>
      </c>
      <c r="K34" s="59" t="str">
        <f t="shared" si="0"/>
        <v>0.43 (0.05 – 3.62)</v>
      </c>
      <c r="L34" s="16" t="str">
        <f t="shared" si="1"/>
        <v>0.43
(0.05 – 3.62)</v>
      </c>
      <c r="N34" s="59" t="s">
        <v>455</v>
      </c>
      <c r="O34" s="16" t="s">
        <v>778</v>
      </c>
      <c r="P34">
        <v>0.40870000000000001</v>
      </c>
      <c r="Q34">
        <v>1.3089999999999999</v>
      </c>
      <c r="R34">
        <v>4.1689999999999996</v>
      </c>
      <c r="S34">
        <v>10</v>
      </c>
      <c r="T34">
        <v>4</v>
      </c>
    </row>
    <row r="35" spans="3:20" ht="15" customHeight="1" x14ac:dyDescent="0.25">
      <c r="E35" s="19">
        <v>7</v>
      </c>
      <c r="F35" s="19">
        <v>10</v>
      </c>
      <c r="G35" s="19" t="s">
        <v>805</v>
      </c>
      <c r="H35" s="19">
        <v>6.2111801242236017E-2</v>
      </c>
      <c r="I35" s="19">
        <v>0.42408821034775229</v>
      </c>
      <c r="J35" s="19">
        <v>2.1267545725223309</v>
      </c>
      <c r="K35" s="59" t="str">
        <f t="shared" si="0"/>
        <v>0.42 (0.06 – 2.13)</v>
      </c>
      <c r="L35" s="16" t="str">
        <f t="shared" si="1"/>
        <v>0.42
(0.06 – 2.13)</v>
      </c>
      <c r="N35" s="59" t="s">
        <v>456</v>
      </c>
      <c r="O35" s="16" t="s">
        <v>779</v>
      </c>
      <c r="P35">
        <v>2.4819999999999998E-2</v>
      </c>
      <c r="Q35">
        <v>0.30769999999999997</v>
      </c>
      <c r="R35">
        <v>3.6309999999999998</v>
      </c>
      <c r="S35">
        <v>6</v>
      </c>
      <c r="T35">
        <v>5</v>
      </c>
    </row>
    <row r="36" spans="3:20" ht="15" customHeight="1" x14ac:dyDescent="0.25">
      <c r="C36" s="56"/>
      <c r="D36" s="57"/>
      <c r="E36" s="57">
        <v>3</v>
      </c>
      <c r="F36" s="57">
        <v>5</v>
      </c>
      <c r="G36" s="57" t="s">
        <v>876</v>
      </c>
      <c r="H36" s="57">
        <v>6.1881188118811881E-2</v>
      </c>
      <c r="I36" s="57">
        <v>0.41876046901172531</v>
      </c>
      <c r="J36" s="57">
        <v>2.6511134676564159</v>
      </c>
      <c r="K36" s="59" t="str">
        <f t="shared" si="0"/>
        <v>0.42 (0.06 – 2.65)</v>
      </c>
      <c r="L36" s="16" t="str">
        <f t="shared" si="1"/>
        <v>0.42
(0.06 – 2.65)</v>
      </c>
      <c r="M36" s="57"/>
      <c r="N36" s="59" t="s">
        <v>457</v>
      </c>
      <c r="O36" s="16" t="s">
        <v>780</v>
      </c>
      <c r="P36">
        <v>1.8929999999999999E-2</v>
      </c>
      <c r="Q36">
        <v>0.25629999999999997</v>
      </c>
      <c r="R36">
        <v>2.4780000000000002</v>
      </c>
      <c r="S36">
        <v>7</v>
      </c>
      <c r="T36">
        <v>5</v>
      </c>
    </row>
    <row r="37" spans="3:20" ht="15" customHeight="1" x14ac:dyDescent="0.25">
      <c r="C37" s="56"/>
      <c r="D37" s="57"/>
      <c r="E37" s="19">
        <v>8</v>
      </c>
      <c r="F37" s="19">
        <v>1</v>
      </c>
      <c r="G37" s="19" t="s">
        <v>755</v>
      </c>
      <c r="H37" s="19">
        <v>0.1067</v>
      </c>
      <c r="I37" s="19">
        <v>0.41739999999999999</v>
      </c>
      <c r="J37" s="19">
        <v>1.629</v>
      </c>
      <c r="K37" s="59" t="str">
        <f t="shared" si="0"/>
        <v>0.42 (0.11 – 1.63)</v>
      </c>
      <c r="L37" s="16" t="str">
        <f t="shared" si="1"/>
        <v>0.42
(0.11 – 1.63)</v>
      </c>
      <c r="M37" s="57"/>
      <c r="N37" s="59" t="s">
        <v>458</v>
      </c>
      <c r="O37" s="16" t="s">
        <v>781</v>
      </c>
      <c r="P37">
        <v>4.8959999999999997E-2</v>
      </c>
      <c r="Q37">
        <v>0.42880000000000001</v>
      </c>
      <c r="R37">
        <v>3.6240000000000001</v>
      </c>
      <c r="S37">
        <v>8</v>
      </c>
      <c r="T37">
        <v>5</v>
      </c>
    </row>
    <row r="38" spans="3:20" ht="15" customHeight="1" x14ac:dyDescent="0.25">
      <c r="C38" s="56"/>
      <c r="D38" s="57"/>
      <c r="E38" s="19">
        <v>3</v>
      </c>
      <c r="F38" s="19">
        <v>1</v>
      </c>
      <c r="G38" s="19" t="s">
        <v>750</v>
      </c>
      <c r="H38" s="19">
        <v>0.20749999999999999</v>
      </c>
      <c r="I38" s="19">
        <v>0.40960000000000002</v>
      </c>
      <c r="J38" s="19">
        <v>0.75219999999999998</v>
      </c>
      <c r="K38" s="59" t="str">
        <f t="shared" si="0"/>
        <v>0.41 (0.21 – 0.75)</v>
      </c>
      <c r="L38" s="16" t="str">
        <f t="shared" si="1"/>
        <v>0.41
(0.21 – 0.75)</v>
      </c>
      <c r="M38" s="57"/>
      <c r="N38" s="59" t="s">
        <v>459</v>
      </c>
      <c r="O38" s="16" t="s">
        <v>782</v>
      </c>
      <c r="P38">
        <v>0.22939999999999999</v>
      </c>
      <c r="Q38">
        <v>1.5880000000000001</v>
      </c>
      <c r="R38">
        <v>10.27</v>
      </c>
      <c r="S38">
        <v>9</v>
      </c>
      <c r="T38">
        <v>5</v>
      </c>
    </row>
    <row r="39" spans="3:20" ht="15" customHeight="1" x14ac:dyDescent="0.25">
      <c r="C39" s="56"/>
      <c r="D39" s="57"/>
      <c r="E39" s="57">
        <v>10</v>
      </c>
      <c r="F39" s="57">
        <v>9</v>
      </c>
      <c r="G39" s="57" t="s">
        <v>793</v>
      </c>
      <c r="H39" s="57">
        <v>0.15029999999999999</v>
      </c>
      <c r="I39" s="57">
        <v>0.38800000000000001</v>
      </c>
      <c r="J39" s="57">
        <v>0.94279999999999997</v>
      </c>
      <c r="K39" s="59" t="str">
        <f t="shared" si="0"/>
        <v>0.39 (0.15 – 0.94)</v>
      </c>
      <c r="L39" s="16" t="str">
        <f t="shared" si="1"/>
        <v>0.39
(0.15 – 0.94)</v>
      </c>
      <c r="M39" s="57"/>
      <c r="N39" s="59" t="s">
        <v>460</v>
      </c>
      <c r="O39" s="16" t="s">
        <v>783</v>
      </c>
      <c r="P39">
        <v>8.3720000000000003E-2</v>
      </c>
      <c r="Q39">
        <v>0.61499999999999999</v>
      </c>
      <c r="R39">
        <v>3.7690000000000001</v>
      </c>
      <c r="S39">
        <v>10</v>
      </c>
      <c r="T39">
        <v>5</v>
      </c>
    </row>
    <row r="40" spans="3:20" ht="15" customHeight="1" x14ac:dyDescent="0.25">
      <c r="C40" s="56"/>
      <c r="D40" s="57"/>
      <c r="E40" s="57">
        <v>7</v>
      </c>
      <c r="F40" s="57">
        <v>2</v>
      </c>
      <c r="G40" s="57" t="s">
        <v>762</v>
      </c>
      <c r="H40" s="57">
        <v>6.3729999999999995E-2</v>
      </c>
      <c r="I40" s="57">
        <v>0.37369999999999998</v>
      </c>
      <c r="J40" s="57">
        <v>1.655</v>
      </c>
      <c r="K40" s="59" t="str">
        <f t="shared" si="0"/>
        <v>0.37 (0.06 – 1.66)</v>
      </c>
      <c r="L40" s="16" t="str">
        <f t="shared" si="1"/>
        <v>0.37
(0.06 – 1.66)</v>
      </c>
      <c r="M40" s="57"/>
      <c r="N40" s="59" t="s">
        <v>461</v>
      </c>
      <c r="O40" s="16" t="s">
        <v>784</v>
      </c>
      <c r="P40">
        <v>7.0370000000000002E-2</v>
      </c>
      <c r="Q40">
        <v>0.82909999999999995</v>
      </c>
      <c r="R40">
        <v>8.2149999999999999</v>
      </c>
      <c r="S40">
        <v>7</v>
      </c>
      <c r="T40">
        <v>6</v>
      </c>
    </row>
    <row r="41" spans="3:20" ht="15" customHeight="1" x14ac:dyDescent="0.25">
      <c r="C41" s="56"/>
      <c r="D41" s="57"/>
      <c r="E41" s="19">
        <v>6</v>
      </c>
      <c r="F41" s="19">
        <v>5</v>
      </c>
      <c r="G41" s="19" t="s">
        <v>779</v>
      </c>
      <c r="H41" s="19">
        <v>2.4819999999999998E-2</v>
      </c>
      <c r="I41" s="19">
        <v>0.30769999999999997</v>
      </c>
      <c r="J41" s="19">
        <v>3.6309999999999998</v>
      </c>
      <c r="K41" s="59" t="str">
        <f t="shared" si="0"/>
        <v>0.31 (0.02 – 3.63)</v>
      </c>
      <c r="L41" s="16" t="str">
        <f t="shared" si="1"/>
        <v>0.31
(0.02 – 3.63)</v>
      </c>
      <c r="M41" s="57"/>
      <c r="N41" s="59" t="s">
        <v>462</v>
      </c>
      <c r="O41" s="16" t="s">
        <v>785</v>
      </c>
      <c r="P41">
        <v>0.1724</v>
      </c>
      <c r="Q41">
        <v>1.3640000000000001</v>
      </c>
      <c r="R41">
        <v>12.04</v>
      </c>
      <c r="S41">
        <v>8</v>
      </c>
      <c r="T41">
        <v>6</v>
      </c>
    </row>
    <row r="42" spans="3:20" ht="15" customHeight="1" x14ac:dyDescent="0.25">
      <c r="C42" s="56"/>
      <c r="D42" s="57"/>
      <c r="E42" s="19">
        <v>6</v>
      </c>
      <c r="F42" s="59">
        <v>1</v>
      </c>
      <c r="G42" s="54" t="s">
        <v>753</v>
      </c>
      <c r="H42" s="16">
        <v>5.2040000000000003E-2</v>
      </c>
      <c r="I42" s="16">
        <v>0.30249999999999999</v>
      </c>
      <c r="J42" s="16">
        <v>1.718</v>
      </c>
      <c r="K42" s="59" t="str">
        <f t="shared" si="0"/>
        <v>0.30 (0.05 – 1.72)</v>
      </c>
      <c r="L42" s="16" t="str">
        <f t="shared" si="1"/>
        <v>0.30
(0.05 – 1.72)</v>
      </c>
      <c r="M42" s="57"/>
      <c r="N42" s="59" t="s">
        <v>463</v>
      </c>
      <c r="O42" s="16" t="s">
        <v>786</v>
      </c>
      <c r="P42">
        <v>0.84560000000000002</v>
      </c>
      <c r="Q42">
        <v>5.0609999999999999</v>
      </c>
      <c r="R42">
        <v>31.1</v>
      </c>
      <c r="S42">
        <v>9</v>
      </c>
      <c r="T42">
        <v>6</v>
      </c>
    </row>
    <row r="43" spans="3:20" ht="15" customHeight="1" x14ac:dyDescent="0.25">
      <c r="C43" s="56"/>
      <c r="D43" s="57"/>
      <c r="E43" s="57">
        <v>4</v>
      </c>
      <c r="F43" s="57">
        <v>9</v>
      </c>
      <c r="G43" s="57" t="s">
        <v>798</v>
      </c>
      <c r="H43" s="57">
        <v>9.6339113680154131E-2</v>
      </c>
      <c r="I43" s="57">
        <v>0.29797377830750893</v>
      </c>
      <c r="J43" s="57">
        <v>0.90991810737033674</v>
      </c>
      <c r="K43" s="59" t="str">
        <f t="shared" si="0"/>
        <v>0.30 (0.10 – 0.91)</v>
      </c>
      <c r="L43" s="16" t="str">
        <f t="shared" si="1"/>
        <v>0.30
(0.10 – 0.91)</v>
      </c>
      <c r="M43" s="57"/>
      <c r="N43" s="59" t="s">
        <v>464</v>
      </c>
      <c r="O43" s="16" t="s">
        <v>787</v>
      </c>
      <c r="P43">
        <v>0.317</v>
      </c>
      <c r="Q43">
        <v>1.9319999999999999</v>
      </c>
      <c r="R43">
        <v>12.39</v>
      </c>
      <c r="S43">
        <v>10</v>
      </c>
      <c r="T43">
        <v>6</v>
      </c>
    </row>
    <row r="44" spans="3:20" ht="15" customHeight="1" x14ac:dyDescent="0.25">
      <c r="C44" s="56"/>
      <c r="D44" s="57"/>
      <c r="E44" s="57">
        <v>8</v>
      </c>
      <c r="F44" s="57">
        <v>9</v>
      </c>
      <c r="G44" s="57" t="s">
        <v>877</v>
      </c>
      <c r="H44" s="57">
        <v>6.2656641604010022E-2</v>
      </c>
      <c r="I44" s="57">
        <v>0.27159152634437805</v>
      </c>
      <c r="J44" s="57">
        <v>1.1868027533823877</v>
      </c>
      <c r="K44" s="59" t="str">
        <f t="shared" si="0"/>
        <v>0.27 (0.06 – 1.19)</v>
      </c>
      <c r="L44" s="16" t="str">
        <f t="shared" si="1"/>
        <v>0.27
(0.06 – 1.19)</v>
      </c>
      <c r="M44" s="57"/>
      <c r="N44" s="59" t="s">
        <v>465</v>
      </c>
      <c r="O44" s="16" t="s">
        <v>788</v>
      </c>
      <c r="P44">
        <v>0.2293</v>
      </c>
      <c r="Q44">
        <v>1.673</v>
      </c>
      <c r="R44">
        <v>16</v>
      </c>
      <c r="S44">
        <v>8</v>
      </c>
      <c r="T44">
        <v>7</v>
      </c>
    </row>
    <row r="45" spans="3:20" ht="15" customHeight="1" x14ac:dyDescent="0.25">
      <c r="C45" s="56"/>
      <c r="D45" s="57"/>
      <c r="E45" s="19">
        <v>3</v>
      </c>
      <c r="F45" s="59">
        <v>9</v>
      </c>
      <c r="G45" s="54" t="s">
        <v>800</v>
      </c>
      <c r="H45" s="16">
        <v>0.11810558639423643</v>
      </c>
      <c r="I45" s="16">
        <v>0.26560424966799467</v>
      </c>
      <c r="J45" s="16">
        <v>0.56561085972850678</v>
      </c>
      <c r="K45" s="59" t="str">
        <f t="shared" si="0"/>
        <v>0.27 (0.12 – 0.57)</v>
      </c>
      <c r="L45" s="16" t="str">
        <f t="shared" si="1"/>
        <v>0.27
(0.12 – 0.57)</v>
      </c>
      <c r="M45" s="57"/>
      <c r="N45" s="59" t="s">
        <v>466</v>
      </c>
      <c r="O45" s="16" t="s">
        <v>789</v>
      </c>
      <c r="P45">
        <v>1.145</v>
      </c>
      <c r="Q45">
        <v>6.1749999999999998</v>
      </c>
      <c r="R45">
        <v>42.37</v>
      </c>
      <c r="S45">
        <v>9</v>
      </c>
      <c r="T45">
        <v>7</v>
      </c>
    </row>
    <row r="46" spans="3:20" ht="15" customHeight="1" x14ac:dyDescent="0.25">
      <c r="C46" s="56"/>
      <c r="D46" s="57"/>
      <c r="E46" s="57">
        <v>7</v>
      </c>
      <c r="F46" s="57">
        <v>5</v>
      </c>
      <c r="G46" s="57" t="s">
        <v>780</v>
      </c>
      <c r="H46" s="57">
        <v>1.8929999999999999E-2</v>
      </c>
      <c r="I46" s="57">
        <v>0.25629999999999997</v>
      </c>
      <c r="J46" s="57">
        <v>2.4780000000000002</v>
      </c>
      <c r="K46" s="59" t="str">
        <f t="shared" si="0"/>
        <v>0.26 (0.02 – 2.48)</v>
      </c>
      <c r="L46" s="16" t="str">
        <f t="shared" si="1"/>
        <v>0.26
(0.02 – 2.48)</v>
      </c>
      <c r="M46" s="57"/>
      <c r="N46" s="59" t="s">
        <v>467</v>
      </c>
      <c r="O46" s="16" t="s">
        <v>790</v>
      </c>
      <c r="P46">
        <v>0.47020000000000001</v>
      </c>
      <c r="Q46">
        <v>2.3580000000000001</v>
      </c>
      <c r="R46">
        <v>16.100000000000001</v>
      </c>
      <c r="S46">
        <v>10</v>
      </c>
      <c r="T46">
        <v>7</v>
      </c>
    </row>
    <row r="47" spans="3:20" ht="15" customHeight="1" x14ac:dyDescent="0.25">
      <c r="C47" s="56"/>
      <c r="D47" s="57"/>
      <c r="E47" s="57">
        <v>7</v>
      </c>
      <c r="F47" s="57">
        <v>1</v>
      </c>
      <c r="G47" s="57" t="s">
        <v>754</v>
      </c>
      <c r="H47" s="57">
        <v>3.9489999999999997E-2</v>
      </c>
      <c r="I47" s="57">
        <v>0.25090000000000001</v>
      </c>
      <c r="J47" s="57">
        <v>1.208</v>
      </c>
      <c r="K47" s="59" t="str">
        <f t="shared" si="0"/>
        <v>0.25 (0.04 – 1.21)</v>
      </c>
      <c r="L47" s="16" t="str">
        <f t="shared" si="1"/>
        <v>0.25
(0.04 – 1.21)</v>
      </c>
      <c r="M47" s="57"/>
      <c r="N47" s="59" t="s">
        <v>468</v>
      </c>
      <c r="O47" s="16" t="s">
        <v>791</v>
      </c>
      <c r="P47">
        <v>0.84260000000000002</v>
      </c>
      <c r="Q47">
        <v>3.6819999999999999</v>
      </c>
      <c r="R47">
        <v>15.96</v>
      </c>
      <c r="S47">
        <v>9</v>
      </c>
      <c r="T47">
        <v>8</v>
      </c>
    </row>
    <row r="48" spans="3:20" ht="15" customHeight="1" x14ac:dyDescent="0.25">
      <c r="C48" s="56"/>
      <c r="D48" s="57"/>
      <c r="E48" s="19">
        <v>6</v>
      </c>
      <c r="F48" s="19">
        <v>9</v>
      </c>
      <c r="G48" s="19" t="s">
        <v>794</v>
      </c>
      <c r="H48" s="19">
        <v>3.215434083601286E-2</v>
      </c>
      <c r="I48" s="19">
        <v>0.19758940920766646</v>
      </c>
      <c r="J48" s="19">
        <v>1.1825922421948911</v>
      </c>
      <c r="K48" s="59" t="str">
        <f t="shared" si="0"/>
        <v>0.20 (0.03 – 1.18)</v>
      </c>
      <c r="L48" s="16" t="str">
        <f t="shared" si="1"/>
        <v>0.20
(0.03 – 1.18)</v>
      </c>
      <c r="M48" s="57"/>
      <c r="N48" s="59" t="s">
        <v>469</v>
      </c>
      <c r="O48" s="16" t="s">
        <v>792</v>
      </c>
      <c r="P48">
        <v>0.33139999999999997</v>
      </c>
      <c r="Q48">
        <v>1.4279999999999999</v>
      </c>
      <c r="R48">
        <v>6.0380000000000003</v>
      </c>
      <c r="S48">
        <v>10</v>
      </c>
      <c r="T48">
        <v>8</v>
      </c>
    </row>
    <row r="49" spans="3:20" ht="15" customHeight="1" x14ac:dyDescent="0.25">
      <c r="C49" s="56"/>
      <c r="D49" s="57"/>
      <c r="E49" s="57">
        <v>7</v>
      </c>
      <c r="F49" s="57">
        <v>9</v>
      </c>
      <c r="G49" s="57" t="s">
        <v>874</v>
      </c>
      <c r="H49" s="57">
        <v>2.3601604909133822E-2</v>
      </c>
      <c r="I49" s="57">
        <v>0.16194331983805668</v>
      </c>
      <c r="J49" s="57">
        <v>0.8733624454148472</v>
      </c>
      <c r="K49" s="59" t="str">
        <f t="shared" si="0"/>
        <v>0.16 (0.02 – 0.87)</v>
      </c>
      <c r="L49" s="16" t="str">
        <f t="shared" si="1"/>
        <v>0.16
(0.02 – 0.87)</v>
      </c>
      <c r="M49" s="57"/>
      <c r="N49" s="59" t="s">
        <v>470</v>
      </c>
      <c r="O49" s="16" t="s">
        <v>793</v>
      </c>
      <c r="P49">
        <v>0.15029999999999999</v>
      </c>
      <c r="Q49">
        <v>0.38800000000000001</v>
      </c>
      <c r="R49">
        <v>0.94279999999999997</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581</v>
      </c>
      <c r="C5" s="17" t="s">
        <v>351</v>
      </c>
      <c r="D5" s="17">
        <v>1</v>
      </c>
      <c r="E5">
        <v>1.6670000000000001E-5</v>
      </c>
      <c r="F5">
        <v>4.0819999999999997E-3</v>
      </c>
      <c r="G5">
        <v>1.1790000000000001E-5</v>
      </c>
      <c r="H5">
        <v>0</v>
      </c>
      <c r="I5">
        <v>0</v>
      </c>
      <c r="J5">
        <v>0</v>
      </c>
      <c r="L5">
        <v>1</v>
      </c>
      <c r="M5">
        <v>1.6670000000000001E-5</v>
      </c>
      <c r="N5">
        <v>1.8330000000000001E-4</v>
      </c>
      <c r="O5">
        <v>3.6339999999999997E-2</v>
      </c>
      <c r="P5">
        <v>6.3380000000000006E-2</v>
      </c>
      <c r="Q5">
        <v>3.6909999999999998E-2</v>
      </c>
      <c r="R5">
        <v>0.30980000000000002</v>
      </c>
      <c r="S5">
        <v>0.4118</v>
      </c>
      <c r="T5">
        <v>0.1336</v>
      </c>
      <c r="U5">
        <v>0</v>
      </c>
      <c r="V5">
        <v>8.0669999999999995E-3</v>
      </c>
    </row>
    <row r="6" spans="2:22" x14ac:dyDescent="0.25">
      <c r="B6" t="s">
        <v>582</v>
      </c>
      <c r="C6" s="17" t="s">
        <v>351</v>
      </c>
      <c r="D6" s="17">
        <v>2</v>
      </c>
      <c r="E6">
        <v>2.5000000000000001E-5</v>
      </c>
      <c r="F6">
        <v>5.0000000000000001E-3</v>
      </c>
      <c r="G6">
        <v>1.4430000000000001E-5</v>
      </c>
      <c r="H6">
        <v>0</v>
      </c>
      <c r="I6">
        <v>0</v>
      </c>
      <c r="J6">
        <v>0</v>
      </c>
      <c r="L6">
        <v>2</v>
      </c>
      <c r="M6">
        <v>2.5000000000000001E-5</v>
      </c>
      <c r="N6">
        <v>4.9420000000000002E-3</v>
      </c>
      <c r="O6">
        <v>0.15440000000000001</v>
      </c>
      <c r="P6">
        <v>0.14149999999999999</v>
      </c>
      <c r="Q6">
        <v>5.024E-2</v>
      </c>
      <c r="R6">
        <v>0.21440000000000001</v>
      </c>
      <c r="S6">
        <v>0.20899999999999999</v>
      </c>
      <c r="T6">
        <v>0.18529999999999999</v>
      </c>
      <c r="U6">
        <v>4.1669999999999999E-5</v>
      </c>
      <c r="V6">
        <v>4.0189999999999997E-2</v>
      </c>
    </row>
    <row r="7" spans="2:22" x14ac:dyDescent="0.25">
      <c r="B7" t="s">
        <v>583</v>
      </c>
      <c r="C7" s="17" t="s">
        <v>351</v>
      </c>
      <c r="D7" s="17">
        <v>3</v>
      </c>
      <c r="E7">
        <v>4.1669999999999999E-4</v>
      </c>
      <c r="F7">
        <v>2.0410000000000001E-2</v>
      </c>
      <c r="G7">
        <v>1.043E-4</v>
      </c>
      <c r="H7">
        <v>0</v>
      </c>
      <c r="I7">
        <v>0</v>
      </c>
      <c r="J7">
        <v>0</v>
      </c>
      <c r="L7">
        <v>3</v>
      </c>
      <c r="M7">
        <v>4.1669999999999999E-4</v>
      </c>
      <c r="N7">
        <v>1.8849999999999999E-2</v>
      </c>
      <c r="O7">
        <v>0.28949999999999998</v>
      </c>
      <c r="P7">
        <v>0.1744</v>
      </c>
      <c r="Q7">
        <v>5.3310000000000003E-2</v>
      </c>
      <c r="R7">
        <v>0.1168</v>
      </c>
      <c r="S7">
        <v>0.10979999999999999</v>
      </c>
      <c r="T7">
        <v>0.15429999999999999</v>
      </c>
      <c r="U7">
        <v>1.6670000000000001E-4</v>
      </c>
      <c r="V7">
        <v>8.2549999999999998E-2</v>
      </c>
    </row>
    <row r="8" spans="2:22" x14ac:dyDescent="0.25">
      <c r="B8" t="s">
        <v>584</v>
      </c>
      <c r="C8" s="17" t="s">
        <v>351</v>
      </c>
      <c r="D8" s="17">
        <v>4</v>
      </c>
      <c r="E8">
        <v>2.4420000000000002E-3</v>
      </c>
      <c r="F8">
        <v>4.9349999999999998E-2</v>
      </c>
      <c r="G8">
        <v>3.0880000000000002E-4</v>
      </c>
      <c r="H8">
        <v>0</v>
      </c>
      <c r="I8">
        <v>0</v>
      </c>
      <c r="J8">
        <v>0</v>
      </c>
      <c r="L8">
        <v>4</v>
      </c>
      <c r="M8">
        <v>2.4420000000000002E-3</v>
      </c>
      <c r="N8">
        <v>6.676E-2</v>
      </c>
      <c r="O8">
        <v>0.2671</v>
      </c>
      <c r="P8">
        <v>0.1777</v>
      </c>
      <c r="Q8">
        <v>5.3170000000000002E-2</v>
      </c>
      <c r="R8">
        <v>8.72E-2</v>
      </c>
      <c r="S8">
        <v>8.2309999999999994E-2</v>
      </c>
      <c r="T8">
        <v>0.122</v>
      </c>
      <c r="U8">
        <v>5.0000000000000001E-4</v>
      </c>
      <c r="V8">
        <v>0.14080000000000001</v>
      </c>
    </row>
    <row r="9" spans="2:22" x14ac:dyDescent="0.25">
      <c r="B9" t="s">
        <v>585</v>
      </c>
      <c r="C9" s="17" t="s">
        <v>351</v>
      </c>
      <c r="D9" s="17">
        <v>5</v>
      </c>
      <c r="E9">
        <v>1.2200000000000001E-2</v>
      </c>
      <c r="F9">
        <v>0.10979999999999999</v>
      </c>
      <c r="G9">
        <v>1.521E-3</v>
      </c>
      <c r="H9">
        <v>0</v>
      </c>
      <c r="I9">
        <v>0</v>
      </c>
      <c r="J9">
        <v>0</v>
      </c>
      <c r="L9">
        <v>5</v>
      </c>
      <c r="M9">
        <v>1.2200000000000001E-2</v>
      </c>
      <c r="N9">
        <v>0.16950000000000001</v>
      </c>
      <c r="O9">
        <v>0.15140000000000001</v>
      </c>
      <c r="P9">
        <v>0.151</v>
      </c>
      <c r="Q9">
        <v>6.3329999999999997E-2</v>
      </c>
      <c r="R9">
        <v>6.8080000000000002E-2</v>
      </c>
      <c r="S9">
        <v>6.173E-2</v>
      </c>
      <c r="T9">
        <v>0.1143</v>
      </c>
      <c r="U9">
        <v>2.0669999999999998E-3</v>
      </c>
      <c r="V9">
        <v>0.2064</v>
      </c>
    </row>
    <row r="10" spans="2:22" x14ac:dyDescent="0.25">
      <c r="B10" t="s">
        <v>586</v>
      </c>
      <c r="C10" s="17" t="s">
        <v>351</v>
      </c>
      <c r="D10" s="17">
        <v>6</v>
      </c>
      <c r="E10">
        <v>4.2020000000000002E-2</v>
      </c>
      <c r="F10">
        <v>0.2006</v>
      </c>
      <c r="G10">
        <v>2.3289999999999999E-3</v>
      </c>
      <c r="H10">
        <v>0</v>
      </c>
      <c r="I10">
        <v>0</v>
      </c>
      <c r="J10">
        <v>1</v>
      </c>
      <c r="L10">
        <v>6</v>
      </c>
      <c r="M10">
        <v>4.2020000000000002E-2</v>
      </c>
      <c r="N10">
        <v>0.29420000000000002</v>
      </c>
      <c r="O10">
        <v>6.7199999999999996E-2</v>
      </c>
      <c r="P10">
        <v>0.1081</v>
      </c>
      <c r="Q10">
        <v>7.8979999999999995E-2</v>
      </c>
      <c r="R10">
        <v>4.9020000000000001E-2</v>
      </c>
      <c r="S10">
        <v>4.3650000000000001E-2</v>
      </c>
      <c r="T10">
        <v>9.3490000000000004E-2</v>
      </c>
      <c r="U10">
        <v>6.0169999999999998E-3</v>
      </c>
      <c r="V10">
        <v>0.21729999999999999</v>
      </c>
    </row>
    <row r="11" spans="2:22" x14ac:dyDescent="0.25">
      <c r="B11" t="s">
        <v>587</v>
      </c>
      <c r="C11" s="17" t="s">
        <v>351</v>
      </c>
      <c r="D11" s="17">
        <v>7</v>
      </c>
      <c r="E11">
        <v>0.1525</v>
      </c>
      <c r="F11">
        <v>0.35949999999999999</v>
      </c>
      <c r="G11">
        <v>5.2570000000000004E-3</v>
      </c>
      <c r="H11">
        <v>0</v>
      </c>
      <c r="I11">
        <v>0</v>
      </c>
      <c r="J11">
        <v>1</v>
      </c>
      <c r="L11">
        <v>7</v>
      </c>
      <c r="M11">
        <v>0.1525</v>
      </c>
      <c r="N11">
        <v>0.30669999999999997</v>
      </c>
      <c r="O11">
        <v>2.9270000000000001E-2</v>
      </c>
      <c r="P11">
        <v>8.2439999999999999E-2</v>
      </c>
      <c r="Q11">
        <v>8.6889999999999995E-2</v>
      </c>
      <c r="R11">
        <v>4.6980000000000001E-2</v>
      </c>
      <c r="S11">
        <v>3.1949999999999999E-2</v>
      </c>
      <c r="T11">
        <v>7.0440000000000003E-2</v>
      </c>
      <c r="U11">
        <v>1.6459999999999999E-2</v>
      </c>
      <c r="V11">
        <v>0.1764</v>
      </c>
    </row>
    <row r="12" spans="2:22" x14ac:dyDescent="0.25">
      <c r="B12" t="s">
        <v>588</v>
      </c>
      <c r="C12" s="17" t="s">
        <v>351</v>
      </c>
      <c r="D12" s="17">
        <v>8</v>
      </c>
      <c r="E12">
        <v>0.40679999999999999</v>
      </c>
      <c r="F12">
        <v>0.49120000000000003</v>
      </c>
      <c r="G12">
        <v>7.3709999999999999E-3</v>
      </c>
      <c r="H12">
        <v>0</v>
      </c>
      <c r="I12">
        <v>0</v>
      </c>
      <c r="J12">
        <v>1</v>
      </c>
      <c r="L12">
        <v>8</v>
      </c>
      <c r="M12">
        <v>0.40679999999999999</v>
      </c>
      <c r="N12">
        <v>0.12180000000000001</v>
      </c>
      <c r="O12">
        <v>4.5999999999999999E-3</v>
      </c>
      <c r="P12">
        <v>6.1850000000000002E-2</v>
      </c>
      <c r="Q12">
        <v>0.1222</v>
      </c>
      <c r="R12">
        <v>4.3029999999999999E-2</v>
      </c>
      <c r="S12">
        <v>2.4369999999999999E-2</v>
      </c>
      <c r="T12">
        <v>6.1069999999999999E-2</v>
      </c>
      <c r="U12">
        <v>5.978E-2</v>
      </c>
      <c r="V12">
        <v>9.4500000000000001E-2</v>
      </c>
    </row>
    <row r="13" spans="2:22" x14ac:dyDescent="0.25">
      <c r="B13" t="s">
        <v>589</v>
      </c>
      <c r="C13" s="17" t="s">
        <v>351</v>
      </c>
      <c r="D13" s="17">
        <v>9</v>
      </c>
      <c r="E13">
        <v>0.35959999999999998</v>
      </c>
      <c r="F13">
        <v>0.47989999999999999</v>
      </c>
      <c r="G13">
        <v>8.7650000000000002E-3</v>
      </c>
      <c r="H13">
        <v>0</v>
      </c>
      <c r="I13">
        <v>0</v>
      </c>
      <c r="J13">
        <v>1</v>
      </c>
      <c r="L13">
        <v>9</v>
      </c>
      <c r="M13">
        <v>0.35959999999999998</v>
      </c>
      <c r="N13">
        <v>1.5699999999999999E-2</v>
      </c>
      <c r="O13">
        <v>2.0000000000000001E-4</v>
      </c>
      <c r="P13">
        <v>3.0380000000000001E-2</v>
      </c>
      <c r="Q13">
        <v>0.155</v>
      </c>
      <c r="R13">
        <v>3.8120000000000001E-2</v>
      </c>
      <c r="S13">
        <v>1.7680000000000001E-2</v>
      </c>
      <c r="T13">
        <v>3.9419999999999997E-2</v>
      </c>
      <c r="U13">
        <v>0.31640000000000001</v>
      </c>
      <c r="V13">
        <v>2.7490000000000001E-2</v>
      </c>
    </row>
    <row r="14" spans="2:22" x14ac:dyDescent="0.25">
      <c r="B14" t="s">
        <v>590</v>
      </c>
      <c r="C14" s="17" t="s">
        <v>351</v>
      </c>
      <c r="D14" s="17">
        <v>10</v>
      </c>
      <c r="E14">
        <v>2.4E-2</v>
      </c>
      <c r="F14">
        <v>0.153</v>
      </c>
      <c r="G14">
        <v>1.5759999999999999E-3</v>
      </c>
      <c r="H14">
        <v>0</v>
      </c>
      <c r="I14">
        <v>0</v>
      </c>
      <c r="J14">
        <v>0</v>
      </c>
      <c r="L14">
        <v>10</v>
      </c>
      <c r="M14">
        <v>2.4E-2</v>
      </c>
      <c r="N14">
        <v>1.358E-3</v>
      </c>
      <c r="O14">
        <v>6.6669999999999997E-5</v>
      </c>
      <c r="P14">
        <v>9.1830000000000002E-3</v>
      </c>
      <c r="Q14">
        <v>0.3</v>
      </c>
      <c r="R14">
        <v>2.6620000000000001E-2</v>
      </c>
      <c r="S14">
        <v>7.7999999999999996E-3</v>
      </c>
      <c r="T14">
        <v>2.613E-2</v>
      </c>
      <c r="U14">
        <v>0.59860000000000002</v>
      </c>
      <c r="V14">
        <v>6.2830000000000004E-3</v>
      </c>
    </row>
    <row r="15" spans="2:22" hidden="1" x14ac:dyDescent="0.25">
      <c r="B15" t="s">
        <v>591</v>
      </c>
      <c r="C15" s="17" t="s">
        <v>352</v>
      </c>
      <c r="D15" s="17">
        <v>1</v>
      </c>
      <c r="E15">
        <v>1.8330000000000001E-4</v>
      </c>
      <c r="F15">
        <v>1.354E-2</v>
      </c>
      <c r="G15">
        <v>4.8130000000000002E-5</v>
      </c>
      <c r="H15">
        <v>0</v>
      </c>
      <c r="I15">
        <v>0</v>
      </c>
      <c r="J15">
        <v>0</v>
      </c>
    </row>
    <row r="16" spans="2:22" hidden="1" x14ac:dyDescent="0.25">
      <c r="B16" t="s">
        <v>592</v>
      </c>
      <c r="C16" s="17" t="s">
        <v>352</v>
      </c>
      <c r="D16" s="17">
        <v>2</v>
      </c>
      <c r="E16">
        <v>4.9420000000000002E-3</v>
      </c>
      <c r="F16">
        <v>7.0120000000000002E-2</v>
      </c>
      <c r="G16">
        <v>9.7689999999999995E-4</v>
      </c>
      <c r="H16">
        <v>0</v>
      </c>
      <c r="I16">
        <v>0</v>
      </c>
      <c r="J16">
        <v>0</v>
      </c>
    </row>
    <row r="17" spans="2:10" hidden="1" x14ac:dyDescent="0.25">
      <c r="B17" t="s">
        <v>593</v>
      </c>
      <c r="C17" s="17" t="s">
        <v>352</v>
      </c>
      <c r="D17" s="17">
        <v>3</v>
      </c>
      <c r="E17">
        <v>1.8849999999999999E-2</v>
      </c>
      <c r="F17">
        <v>0.13600000000000001</v>
      </c>
      <c r="G17">
        <v>1.4599999999999999E-3</v>
      </c>
      <c r="H17">
        <v>0</v>
      </c>
      <c r="I17">
        <v>0</v>
      </c>
      <c r="J17">
        <v>0</v>
      </c>
    </row>
    <row r="18" spans="2:10" hidden="1" x14ac:dyDescent="0.25">
      <c r="B18" t="s">
        <v>594</v>
      </c>
      <c r="C18" s="17" t="s">
        <v>352</v>
      </c>
      <c r="D18" s="17">
        <v>4</v>
      </c>
      <c r="E18">
        <v>6.676E-2</v>
      </c>
      <c r="F18">
        <v>0.24959999999999999</v>
      </c>
      <c r="G18">
        <v>3.2919999999999998E-3</v>
      </c>
      <c r="H18">
        <v>0</v>
      </c>
      <c r="I18">
        <v>0</v>
      </c>
      <c r="J18">
        <v>1</v>
      </c>
    </row>
    <row r="19" spans="2:10" hidden="1" x14ac:dyDescent="0.25">
      <c r="B19" t="s">
        <v>595</v>
      </c>
      <c r="C19" s="17" t="s">
        <v>352</v>
      </c>
      <c r="D19" s="17">
        <v>5</v>
      </c>
      <c r="E19">
        <v>0.16950000000000001</v>
      </c>
      <c r="F19">
        <v>0.37519999999999998</v>
      </c>
      <c r="G19">
        <v>5.1749999999999999E-3</v>
      </c>
      <c r="H19">
        <v>0</v>
      </c>
      <c r="I19">
        <v>0</v>
      </c>
      <c r="J19">
        <v>1</v>
      </c>
    </row>
    <row r="20" spans="2:10" hidden="1" x14ac:dyDescent="0.25">
      <c r="B20" t="s">
        <v>596</v>
      </c>
      <c r="C20" s="17" t="s">
        <v>352</v>
      </c>
      <c r="D20" s="17">
        <v>6</v>
      </c>
      <c r="E20">
        <v>0.29420000000000002</v>
      </c>
      <c r="F20">
        <v>0.45569999999999999</v>
      </c>
      <c r="G20">
        <v>5.6680000000000003E-3</v>
      </c>
      <c r="H20">
        <v>0</v>
      </c>
      <c r="I20">
        <v>0</v>
      </c>
      <c r="J20">
        <v>1</v>
      </c>
    </row>
    <row r="21" spans="2:10" hidden="1" x14ac:dyDescent="0.25">
      <c r="B21" t="s">
        <v>597</v>
      </c>
      <c r="C21" s="17" t="s">
        <v>352</v>
      </c>
      <c r="D21" s="17">
        <v>7</v>
      </c>
      <c r="E21">
        <v>0.30669999999999997</v>
      </c>
      <c r="F21">
        <v>0.46110000000000001</v>
      </c>
      <c r="G21">
        <v>6.672E-3</v>
      </c>
      <c r="H21">
        <v>0</v>
      </c>
      <c r="I21">
        <v>0</v>
      </c>
      <c r="J21">
        <v>1</v>
      </c>
    </row>
    <row r="22" spans="2:10" hidden="1" x14ac:dyDescent="0.25">
      <c r="B22" t="s">
        <v>598</v>
      </c>
      <c r="C22" s="17" t="s">
        <v>352</v>
      </c>
      <c r="D22" s="17">
        <v>8</v>
      </c>
      <c r="E22">
        <v>0.12180000000000001</v>
      </c>
      <c r="F22">
        <v>0.3271</v>
      </c>
      <c r="G22">
        <v>5.3550000000000004E-3</v>
      </c>
      <c r="H22">
        <v>0</v>
      </c>
      <c r="I22">
        <v>0</v>
      </c>
      <c r="J22">
        <v>1</v>
      </c>
    </row>
    <row r="23" spans="2:10" hidden="1" x14ac:dyDescent="0.25">
      <c r="B23" t="s">
        <v>599</v>
      </c>
      <c r="C23" s="17" t="s">
        <v>352</v>
      </c>
      <c r="D23" s="17">
        <v>9</v>
      </c>
      <c r="E23">
        <v>1.5699999999999999E-2</v>
      </c>
      <c r="F23">
        <v>0.12429999999999999</v>
      </c>
      <c r="G23">
        <v>1.3829999999999999E-3</v>
      </c>
      <c r="H23">
        <v>0</v>
      </c>
      <c r="I23">
        <v>0</v>
      </c>
      <c r="J23">
        <v>0</v>
      </c>
    </row>
    <row r="24" spans="2:10" hidden="1" x14ac:dyDescent="0.25">
      <c r="B24" t="s">
        <v>600</v>
      </c>
      <c r="C24" s="17" t="s">
        <v>352</v>
      </c>
      <c r="D24" s="17">
        <v>10</v>
      </c>
      <c r="E24">
        <v>1.358E-3</v>
      </c>
      <c r="F24">
        <v>3.6830000000000002E-2</v>
      </c>
      <c r="G24">
        <v>2.3729999999999999E-4</v>
      </c>
      <c r="H24">
        <v>0</v>
      </c>
      <c r="I24">
        <v>0</v>
      </c>
      <c r="J24">
        <v>0</v>
      </c>
    </row>
    <row r="25" spans="2:10" hidden="1" x14ac:dyDescent="0.25">
      <c r="B25" t="s">
        <v>601</v>
      </c>
      <c r="C25" s="17" t="s">
        <v>353</v>
      </c>
      <c r="D25" s="17">
        <v>1</v>
      </c>
      <c r="E25">
        <v>3.6339999999999997E-2</v>
      </c>
      <c r="F25">
        <v>0.18709999999999999</v>
      </c>
      <c r="G25">
        <v>2.8600000000000001E-3</v>
      </c>
      <c r="H25">
        <v>0</v>
      </c>
      <c r="I25">
        <v>0</v>
      </c>
      <c r="J25">
        <v>1</v>
      </c>
    </row>
    <row r="26" spans="2:10" hidden="1" x14ac:dyDescent="0.25">
      <c r="B26" t="s">
        <v>602</v>
      </c>
      <c r="C26" s="17" t="s">
        <v>353</v>
      </c>
      <c r="D26" s="17">
        <v>2</v>
      </c>
      <c r="E26">
        <v>0.15440000000000001</v>
      </c>
      <c r="F26">
        <v>0.36130000000000001</v>
      </c>
      <c r="G26">
        <v>5.3010000000000002E-3</v>
      </c>
      <c r="H26">
        <v>0</v>
      </c>
      <c r="I26">
        <v>0</v>
      </c>
      <c r="J26">
        <v>1</v>
      </c>
    </row>
    <row r="27" spans="2:10" hidden="1" x14ac:dyDescent="0.25">
      <c r="B27" t="s">
        <v>603</v>
      </c>
      <c r="C27" s="17" t="s">
        <v>353</v>
      </c>
      <c r="D27" s="17">
        <v>3</v>
      </c>
      <c r="E27">
        <v>0.28949999999999998</v>
      </c>
      <c r="F27">
        <v>0.45350000000000001</v>
      </c>
      <c r="G27">
        <v>6.1700000000000001E-3</v>
      </c>
      <c r="H27">
        <v>0</v>
      </c>
      <c r="I27">
        <v>0</v>
      </c>
      <c r="J27">
        <v>1</v>
      </c>
    </row>
    <row r="28" spans="2:10" hidden="1" x14ac:dyDescent="0.25">
      <c r="B28" t="s">
        <v>604</v>
      </c>
      <c r="C28" s="17" t="s">
        <v>353</v>
      </c>
      <c r="D28" s="17">
        <v>4</v>
      </c>
      <c r="E28">
        <v>0.2671</v>
      </c>
      <c r="F28">
        <v>0.44240000000000002</v>
      </c>
      <c r="G28">
        <v>5.3740000000000003E-3</v>
      </c>
      <c r="H28">
        <v>0</v>
      </c>
      <c r="I28">
        <v>0</v>
      </c>
      <c r="J28">
        <v>1</v>
      </c>
    </row>
    <row r="29" spans="2:10" hidden="1" x14ac:dyDescent="0.25">
      <c r="B29" t="s">
        <v>605</v>
      </c>
      <c r="C29" s="17" t="s">
        <v>353</v>
      </c>
      <c r="D29" s="17">
        <v>5</v>
      </c>
      <c r="E29">
        <v>0.15140000000000001</v>
      </c>
      <c r="F29">
        <v>0.3584</v>
      </c>
      <c r="G29">
        <v>4.5360000000000001E-3</v>
      </c>
      <c r="H29">
        <v>0</v>
      </c>
      <c r="I29">
        <v>0</v>
      </c>
      <c r="J29">
        <v>1</v>
      </c>
    </row>
    <row r="30" spans="2:10" hidden="1" x14ac:dyDescent="0.25">
      <c r="B30" t="s">
        <v>606</v>
      </c>
      <c r="C30" t="s">
        <v>353</v>
      </c>
      <c r="D30">
        <v>6</v>
      </c>
      <c r="E30">
        <v>6.7199999999999996E-2</v>
      </c>
      <c r="F30">
        <v>0.25040000000000001</v>
      </c>
      <c r="G30">
        <v>4.3350000000000003E-3</v>
      </c>
      <c r="H30">
        <v>0</v>
      </c>
      <c r="I30">
        <v>0</v>
      </c>
      <c r="J30">
        <v>1</v>
      </c>
    </row>
    <row r="31" spans="2:10" hidden="1" x14ac:dyDescent="0.25">
      <c r="B31" t="s">
        <v>607</v>
      </c>
      <c r="C31" t="s">
        <v>353</v>
      </c>
      <c r="D31">
        <v>7</v>
      </c>
      <c r="E31">
        <v>2.9270000000000001E-2</v>
      </c>
      <c r="F31">
        <v>0.1686</v>
      </c>
      <c r="G31">
        <v>4.1000000000000003E-3</v>
      </c>
      <c r="H31">
        <v>0</v>
      </c>
      <c r="I31">
        <v>0</v>
      </c>
      <c r="J31">
        <v>1</v>
      </c>
    </row>
    <row r="32" spans="2:10" hidden="1" x14ac:dyDescent="0.25">
      <c r="B32" t="s">
        <v>608</v>
      </c>
      <c r="C32" t="s">
        <v>353</v>
      </c>
      <c r="D32">
        <v>8</v>
      </c>
      <c r="E32">
        <v>4.5999999999999999E-3</v>
      </c>
      <c r="F32">
        <v>6.7669999999999994E-2</v>
      </c>
      <c r="G32">
        <v>9.7000000000000005E-4</v>
      </c>
      <c r="H32">
        <v>0</v>
      </c>
      <c r="I32">
        <v>0</v>
      </c>
      <c r="J32">
        <v>0</v>
      </c>
    </row>
    <row r="33" spans="2:10" hidden="1" x14ac:dyDescent="0.25">
      <c r="B33" t="s">
        <v>609</v>
      </c>
      <c r="C33" t="s">
        <v>353</v>
      </c>
      <c r="D33">
        <v>9</v>
      </c>
      <c r="E33">
        <v>2.0000000000000001E-4</v>
      </c>
      <c r="F33">
        <v>1.414E-2</v>
      </c>
      <c r="G33">
        <v>5.2200000000000002E-5</v>
      </c>
      <c r="H33">
        <v>0</v>
      </c>
      <c r="I33">
        <v>0</v>
      </c>
      <c r="J33">
        <v>0</v>
      </c>
    </row>
    <row r="34" spans="2:10" hidden="1" x14ac:dyDescent="0.25">
      <c r="B34" t="s">
        <v>610</v>
      </c>
      <c r="C34" t="s">
        <v>353</v>
      </c>
      <c r="D34">
        <v>10</v>
      </c>
      <c r="E34">
        <v>6.6669999999999997E-5</v>
      </c>
      <c r="F34">
        <v>8.1650000000000004E-3</v>
      </c>
      <c r="G34">
        <v>4.4119999999999998E-5</v>
      </c>
      <c r="H34">
        <v>0</v>
      </c>
      <c r="I34">
        <v>0</v>
      </c>
      <c r="J34">
        <v>0</v>
      </c>
    </row>
    <row r="35" spans="2:10" hidden="1" x14ac:dyDescent="0.25">
      <c r="B35" t="s">
        <v>611</v>
      </c>
      <c r="C35" t="s">
        <v>354</v>
      </c>
      <c r="D35">
        <v>1</v>
      </c>
      <c r="E35">
        <v>6.3380000000000006E-2</v>
      </c>
      <c r="F35">
        <v>0.24360000000000001</v>
      </c>
      <c r="G35">
        <v>3.9240000000000004E-3</v>
      </c>
      <c r="H35">
        <v>0</v>
      </c>
      <c r="I35">
        <v>0</v>
      </c>
      <c r="J35">
        <v>1</v>
      </c>
    </row>
    <row r="36" spans="2:10" hidden="1" x14ac:dyDescent="0.25">
      <c r="B36" t="s">
        <v>612</v>
      </c>
      <c r="C36" t="s">
        <v>354</v>
      </c>
      <c r="D36">
        <v>2</v>
      </c>
      <c r="E36">
        <v>0.14149999999999999</v>
      </c>
      <c r="F36">
        <v>0.34849999999999998</v>
      </c>
      <c r="G36">
        <v>5.1590000000000004E-3</v>
      </c>
      <c r="H36">
        <v>0</v>
      </c>
      <c r="I36">
        <v>0</v>
      </c>
      <c r="J36">
        <v>1</v>
      </c>
    </row>
    <row r="37" spans="2:10" hidden="1" x14ac:dyDescent="0.25">
      <c r="B37" t="s">
        <v>613</v>
      </c>
      <c r="C37" t="s">
        <v>354</v>
      </c>
      <c r="D37">
        <v>3</v>
      </c>
      <c r="E37">
        <v>0.1744</v>
      </c>
      <c r="F37">
        <v>0.3795</v>
      </c>
      <c r="G37">
        <v>5.4739999999999997E-3</v>
      </c>
      <c r="H37">
        <v>0</v>
      </c>
      <c r="I37">
        <v>0</v>
      </c>
      <c r="J37">
        <v>1</v>
      </c>
    </row>
    <row r="38" spans="2:10" hidden="1" x14ac:dyDescent="0.25">
      <c r="B38" t="s">
        <v>614</v>
      </c>
      <c r="C38" t="s">
        <v>354</v>
      </c>
      <c r="D38">
        <v>4</v>
      </c>
      <c r="E38">
        <v>0.1777</v>
      </c>
      <c r="F38">
        <v>0.38229999999999997</v>
      </c>
      <c r="G38">
        <v>5.1960000000000001E-3</v>
      </c>
      <c r="H38">
        <v>0</v>
      </c>
      <c r="I38">
        <v>0</v>
      </c>
      <c r="J38">
        <v>1</v>
      </c>
    </row>
    <row r="39" spans="2:10" hidden="1" x14ac:dyDescent="0.25">
      <c r="B39" t="s">
        <v>615</v>
      </c>
      <c r="C39" t="s">
        <v>354</v>
      </c>
      <c r="D39">
        <v>5</v>
      </c>
      <c r="E39">
        <v>0.151</v>
      </c>
      <c r="F39">
        <v>0.35809999999999997</v>
      </c>
      <c r="G39">
        <v>4.215E-3</v>
      </c>
      <c r="H39">
        <v>0</v>
      </c>
      <c r="I39">
        <v>0</v>
      </c>
      <c r="J39">
        <v>1</v>
      </c>
    </row>
    <row r="40" spans="2:10" hidden="1" x14ac:dyDescent="0.25">
      <c r="B40" t="s">
        <v>616</v>
      </c>
      <c r="C40" t="s">
        <v>354</v>
      </c>
      <c r="D40">
        <v>6</v>
      </c>
      <c r="E40">
        <v>0.1081</v>
      </c>
      <c r="F40">
        <v>0.3105</v>
      </c>
      <c r="G40">
        <v>3.6389999999999999E-3</v>
      </c>
      <c r="H40">
        <v>0</v>
      </c>
      <c r="I40">
        <v>0</v>
      </c>
      <c r="J40">
        <v>1</v>
      </c>
    </row>
    <row r="41" spans="2:10" hidden="1" x14ac:dyDescent="0.25">
      <c r="B41" t="s">
        <v>617</v>
      </c>
      <c r="C41" t="s">
        <v>354</v>
      </c>
      <c r="D41">
        <v>7</v>
      </c>
      <c r="E41">
        <v>8.2439999999999999E-2</v>
      </c>
      <c r="F41">
        <v>0.27500000000000002</v>
      </c>
      <c r="G41">
        <v>2.8930000000000002E-3</v>
      </c>
      <c r="H41">
        <v>0</v>
      </c>
      <c r="I41">
        <v>0</v>
      </c>
      <c r="J41">
        <v>1</v>
      </c>
    </row>
    <row r="42" spans="2:10" hidden="1" x14ac:dyDescent="0.25">
      <c r="B42" t="s">
        <v>618</v>
      </c>
      <c r="C42" t="s">
        <v>354</v>
      </c>
      <c r="D42">
        <v>8</v>
      </c>
      <c r="E42">
        <v>6.1850000000000002E-2</v>
      </c>
      <c r="F42">
        <v>0.2409</v>
      </c>
      <c r="G42">
        <v>3.7109999999999999E-3</v>
      </c>
      <c r="H42">
        <v>0</v>
      </c>
      <c r="I42">
        <v>0</v>
      </c>
      <c r="J42">
        <v>1</v>
      </c>
    </row>
    <row r="43" spans="2:10" hidden="1" x14ac:dyDescent="0.25">
      <c r="B43" t="s">
        <v>619</v>
      </c>
      <c r="C43" t="s">
        <v>354</v>
      </c>
      <c r="D43">
        <v>9</v>
      </c>
      <c r="E43">
        <v>3.0380000000000001E-2</v>
      </c>
      <c r="F43">
        <v>0.1716</v>
      </c>
      <c r="G43">
        <v>2.5590000000000001E-3</v>
      </c>
      <c r="H43">
        <v>0</v>
      </c>
      <c r="I43">
        <v>0</v>
      </c>
      <c r="J43">
        <v>1</v>
      </c>
    </row>
    <row r="44" spans="2:10" hidden="1" x14ac:dyDescent="0.25">
      <c r="B44" t="s">
        <v>620</v>
      </c>
      <c r="C44" t="s">
        <v>354</v>
      </c>
      <c r="D44">
        <v>10</v>
      </c>
      <c r="E44">
        <v>9.1830000000000002E-3</v>
      </c>
      <c r="F44">
        <v>9.5390000000000003E-2</v>
      </c>
      <c r="G44">
        <v>1.281E-3</v>
      </c>
      <c r="H44">
        <v>0</v>
      </c>
      <c r="I44">
        <v>0</v>
      </c>
      <c r="J44">
        <v>0</v>
      </c>
    </row>
    <row r="45" spans="2:10" hidden="1" x14ac:dyDescent="0.25">
      <c r="B45" t="s">
        <v>621</v>
      </c>
      <c r="C45" t="s">
        <v>355</v>
      </c>
      <c r="D45">
        <v>1</v>
      </c>
      <c r="E45">
        <v>3.6909999999999998E-2</v>
      </c>
      <c r="F45">
        <v>0.1885</v>
      </c>
      <c r="G45">
        <v>2.9910000000000002E-3</v>
      </c>
      <c r="H45">
        <v>0</v>
      </c>
      <c r="I45">
        <v>0</v>
      </c>
      <c r="J45">
        <v>1</v>
      </c>
    </row>
    <row r="46" spans="2:10" hidden="1" x14ac:dyDescent="0.25">
      <c r="B46" t="s">
        <v>622</v>
      </c>
      <c r="C46" t="s">
        <v>355</v>
      </c>
      <c r="D46">
        <v>2</v>
      </c>
      <c r="E46">
        <v>5.024E-2</v>
      </c>
      <c r="F46">
        <v>0.21840000000000001</v>
      </c>
      <c r="G46">
        <v>2.7390000000000001E-3</v>
      </c>
      <c r="H46">
        <v>0</v>
      </c>
      <c r="I46">
        <v>0</v>
      </c>
      <c r="J46">
        <v>1</v>
      </c>
    </row>
    <row r="47" spans="2:10" hidden="1" x14ac:dyDescent="0.25">
      <c r="B47" t="s">
        <v>623</v>
      </c>
      <c r="C47" t="s">
        <v>355</v>
      </c>
      <c r="D47">
        <v>3</v>
      </c>
      <c r="E47">
        <v>5.3310000000000003E-2</v>
      </c>
      <c r="F47">
        <v>0.22459999999999999</v>
      </c>
      <c r="G47">
        <v>2.2460000000000002E-3</v>
      </c>
      <c r="H47">
        <v>0</v>
      </c>
      <c r="I47">
        <v>0</v>
      </c>
      <c r="J47">
        <v>1</v>
      </c>
    </row>
    <row r="48" spans="2:10" hidden="1" x14ac:dyDescent="0.25">
      <c r="B48" t="s">
        <v>624</v>
      </c>
      <c r="C48" t="s">
        <v>355</v>
      </c>
      <c r="D48">
        <v>4</v>
      </c>
      <c r="E48">
        <v>5.3170000000000002E-2</v>
      </c>
      <c r="F48">
        <v>0.22439999999999999</v>
      </c>
      <c r="G48">
        <v>2.1640000000000001E-3</v>
      </c>
      <c r="H48">
        <v>0</v>
      </c>
      <c r="I48">
        <v>0</v>
      </c>
      <c r="J48">
        <v>1</v>
      </c>
    </row>
    <row r="49" spans="2:10" hidden="1" x14ac:dyDescent="0.25">
      <c r="B49" t="s">
        <v>625</v>
      </c>
      <c r="C49" t="s">
        <v>355</v>
      </c>
      <c r="D49">
        <v>5</v>
      </c>
      <c r="E49">
        <v>6.3329999999999997E-2</v>
      </c>
      <c r="F49">
        <v>0.24349999999999999</v>
      </c>
      <c r="G49">
        <v>2.8479999999999998E-3</v>
      </c>
      <c r="H49">
        <v>0</v>
      </c>
      <c r="I49">
        <v>0</v>
      </c>
      <c r="J49">
        <v>1</v>
      </c>
    </row>
    <row r="50" spans="2:10" hidden="1" x14ac:dyDescent="0.25">
      <c r="B50" t="s">
        <v>626</v>
      </c>
      <c r="C50" t="s">
        <v>355</v>
      </c>
      <c r="D50">
        <v>6</v>
      </c>
      <c r="E50">
        <v>7.8979999999999995E-2</v>
      </c>
      <c r="F50">
        <v>0.2697</v>
      </c>
      <c r="G50">
        <v>3.8800000000000002E-3</v>
      </c>
      <c r="H50">
        <v>0</v>
      </c>
      <c r="I50">
        <v>0</v>
      </c>
      <c r="J50">
        <v>1</v>
      </c>
    </row>
    <row r="51" spans="2:10" hidden="1" x14ac:dyDescent="0.25">
      <c r="B51" t="s">
        <v>627</v>
      </c>
      <c r="C51" t="s">
        <v>355</v>
      </c>
      <c r="D51">
        <v>7</v>
      </c>
      <c r="E51">
        <v>8.6889999999999995E-2</v>
      </c>
      <c r="F51">
        <v>0.28170000000000001</v>
      </c>
      <c r="G51">
        <v>3.2759999999999998E-3</v>
      </c>
      <c r="H51">
        <v>0</v>
      </c>
      <c r="I51">
        <v>0</v>
      </c>
      <c r="J51">
        <v>1</v>
      </c>
    </row>
    <row r="52" spans="2:10" hidden="1" x14ac:dyDescent="0.25">
      <c r="B52" t="s">
        <v>628</v>
      </c>
      <c r="C52" t="s">
        <v>355</v>
      </c>
      <c r="D52">
        <v>8</v>
      </c>
      <c r="E52">
        <v>0.1222</v>
      </c>
      <c r="F52">
        <v>0.32750000000000001</v>
      </c>
      <c r="G52">
        <v>4.1609999999999998E-3</v>
      </c>
      <c r="H52">
        <v>0</v>
      </c>
      <c r="I52">
        <v>0</v>
      </c>
      <c r="J52">
        <v>1</v>
      </c>
    </row>
    <row r="53" spans="2:10" hidden="1" x14ac:dyDescent="0.25">
      <c r="B53" t="s">
        <v>629</v>
      </c>
      <c r="C53" t="s">
        <v>355</v>
      </c>
      <c r="D53">
        <v>9</v>
      </c>
      <c r="E53">
        <v>0.155</v>
      </c>
      <c r="F53">
        <v>0.3619</v>
      </c>
      <c r="G53">
        <v>4.3870000000000003E-3</v>
      </c>
      <c r="H53">
        <v>0</v>
      </c>
      <c r="I53">
        <v>0</v>
      </c>
      <c r="J53">
        <v>1</v>
      </c>
    </row>
    <row r="54" spans="2:10" hidden="1" x14ac:dyDescent="0.25">
      <c r="B54" t="s">
        <v>630</v>
      </c>
      <c r="C54" t="s">
        <v>355</v>
      </c>
      <c r="D54">
        <v>10</v>
      </c>
      <c r="E54">
        <v>0.3</v>
      </c>
      <c r="F54">
        <v>0.45829999999999999</v>
      </c>
      <c r="G54">
        <v>8.9110000000000005E-3</v>
      </c>
      <c r="H54">
        <v>0</v>
      </c>
      <c r="I54">
        <v>0</v>
      </c>
      <c r="J54">
        <v>1</v>
      </c>
    </row>
    <row r="55" spans="2:10" hidden="1" x14ac:dyDescent="0.25">
      <c r="B55" t="s">
        <v>631</v>
      </c>
      <c r="C55" t="s">
        <v>356</v>
      </c>
      <c r="D55">
        <v>1</v>
      </c>
      <c r="E55">
        <v>0.30980000000000002</v>
      </c>
      <c r="F55">
        <v>0.46239999999999998</v>
      </c>
      <c r="G55">
        <v>8.5129999999999997E-3</v>
      </c>
      <c r="H55">
        <v>0</v>
      </c>
      <c r="I55">
        <v>0</v>
      </c>
      <c r="J55">
        <v>1</v>
      </c>
    </row>
    <row r="56" spans="2:10" hidden="1" x14ac:dyDescent="0.25">
      <c r="B56" t="s">
        <v>632</v>
      </c>
      <c r="C56" t="s">
        <v>356</v>
      </c>
      <c r="D56">
        <v>2</v>
      </c>
      <c r="E56">
        <v>0.21440000000000001</v>
      </c>
      <c r="F56">
        <v>0.41039999999999999</v>
      </c>
      <c r="G56">
        <v>5.8110000000000002E-3</v>
      </c>
      <c r="H56">
        <v>0</v>
      </c>
      <c r="I56">
        <v>0</v>
      </c>
      <c r="J56">
        <v>1</v>
      </c>
    </row>
    <row r="57" spans="2:10" hidden="1" x14ac:dyDescent="0.25">
      <c r="B57" t="s">
        <v>633</v>
      </c>
      <c r="C57" t="s">
        <v>356</v>
      </c>
      <c r="D57">
        <v>3</v>
      </c>
      <c r="E57">
        <v>0.1168</v>
      </c>
      <c r="F57">
        <v>0.32119999999999999</v>
      </c>
      <c r="G57">
        <v>3.2130000000000001E-3</v>
      </c>
      <c r="H57">
        <v>0</v>
      </c>
      <c r="I57">
        <v>0</v>
      </c>
      <c r="J57">
        <v>1</v>
      </c>
    </row>
    <row r="58" spans="2:10" hidden="1" x14ac:dyDescent="0.25">
      <c r="B58" t="s">
        <v>634</v>
      </c>
      <c r="C58" t="s">
        <v>356</v>
      </c>
      <c r="D58">
        <v>4</v>
      </c>
      <c r="E58">
        <v>8.72E-2</v>
      </c>
      <c r="F58">
        <v>0.28210000000000002</v>
      </c>
      <c r="G58">
        <v>3.571E-3</v>
      </c>
      <c r="H58">
        <v>0</v>
      </c>
      <c r="I58">
        <v>0</v>
      </c>
      <c r="J58">
        <v>1</v>
      </c>
    </row>
    <row r="59" spans="2:10" hidden="1" x14ac:dyDescent="0.25">
      <c r="B59" t="s">
        <v>635</v>
      </c>
      <c r="C59" t="s">
        <v>356</v>
      </c>
      <c r="D59">
        <v>5</v>
      </c>
      <c r="E59">
        <v>6.8080000000000002E-2</v>
      </c>
      <c r="F59">
        <v>0.25190000000000001</v>
      </c>
      <c r="G59">
        <v>2.8540000000000002E-3</v>
      </c>
      <c r="H59">
        <v>0</v>
      </c>
      <c r="I59">
        <v>0</v>
      </c>
      <c r="J59">
        <v>1</v>
      </c>
    </row>
    <row r="60" spans="2:10" hidden="1" x14ac:dyDescent="0.25">
      <c r="B60" t="s">
        <v>636</v>
      </c>
      <c r="C60" t="s">
        <v>356</v>
      </c>
      <c r="D60">
        <v>6</v>
      </c>
      <c r="E60">
        <v>4.9020000000000001E-2</v>
      </c>
      <c r="F60">
        <v>0.21590000000000001</v>
      </c>
      <c r="G60">
        <v>1.9300000000000001E-3</v>
      </c>
      <c r="H60">
        <v>0</v>
      </c>
      <c r="I60">
        <v>0</v>
      </c>
      <c r="J60">
        <v>1</v>
      </c>
    </row>
    <row r="61" spans="2:10" hidden="1" x14ac:dyDescent="0.25">
      <c r="B61" t="s">
        <v>637</v>
      </c>
      <c r="C61" t="s">
        <v>356</v>
      </c>
      <c r="D61">
        <v>7</v>
      </c>
      <c r="E61">
        <v>4.6980000000000001E-2</v>
      </c>
      <c r="F61">
        <v>0.21160000000000001</v>
      </c>
      <c r="G61">
        <v>2.1310000000000001E-3</v>
      </c>
      <c r="H61">
        <v>0</v>
      </c>
      <c r="I61">
        <v>0</v>
      </c>
      <c r="J61">
        <v>1</v>
      </c>
    </row>
    <row r="62" spans="2:10" hidden="1" x14ac:dyDescent="0.25">
      <c r="B62" t="s">
        <v>638</v>
      </c>
      <c r="C62" t="s">
        <v>356</v>
      </c>
      <c r="D62">
        <v>8</v>
      </c>
      <c r="E62">
        <v>4.3029999999999999E-2</v>
      </c>
      <c r="F62">
        <v>0.2029</v>
      </c>
      <c r="G62">
        <v>2.1459999999999999E-3</v>
      </c>
      <c r="H62">
        <v>0</v>
      </c>
      <c r="I62">
        <v>0</v>
      </c>
      <c r="J62">
        <v>1</v>
      </c>
    </row>
    <row r="63" spans="2:10" hidden="1" x14ac:dyDescent="0.25">
      <c r="B63" t="s">
        <v>639</v>
      </c>
      <c r="C63" t="s">
        <v>356</v>
      </c>
      <c r="D63">
        <v>9</v>
      </c>
      <c r="E63">
        <v>3.8120000000000001E-2</v>
      </c>
      <c r="F63">
        <v>0.1915</v>
      </c>
      <c r="G63">
        <v>2.7079999999999999E-3</v>
      </c>
      <c r="H63">
        <v>0</v>
      </c>
      <c r="I63">
        <v>0</v>
      </c>
      <c r="J63">
        <v>1</v>
      </c>
    </row>
    <row r="64" spans="2:10" hidden="1" x14ac:dyDescent="0.25">
      <c r="B64" t="s">
        <v>640</v>
      </c>
      <c r="C64" t="s">
        <v>356</v>
      </c>
      <c r="D64">
        <v>10</v>
      </c>
      <c r="E64">
        <v>2.6620000000000001E-2</v>
      </c>
      <c r="F64">
        <v>0.161</v>
      </c>
      <c r="G64">
        <v>2.2569999999999999E-3</v>
      </c>
      <c r="H64">
        <v>0</v>
      </c>
      <c r="I64">
        <v>0</v>
      </c>
      <c r="J64">
        <v>1</v>
      </c>
    </row>
    <row r="65" spans="2:10" hidden="1" x14ac:dyDescent="0.25">
      <c r="B65" t="s">
        <v>641</v>
      </c>
      <c r="C65" t="s">
        <v>357</v>
      </c>
      <c r="D65">
        <v>1</v>
      </c>
      <c r="E65">
        <v>0.4118</v>
      </c>
      <c r="F65">
        <v>0.49220000000000003</v>
      </c>
      <c r="G65">
        <v>8.7810000000000006E-3</v>
      </c>
      <c r="H65">
        <v>0</v>
      </c>
      <c r="I65">
        <v>0</v>
      </c>
      <c r="J65">
        <v>1</v>
      </c>
    </row>
    <row r="66" spans="2:10" hidden="1" x14ac:dyDescent="0.25">
      <c r="B66" t="s">
        <v>642</v>
      </c>
      <c r="C66" t="s">
        <v>357</v>
      </c>
      <c r="D66">
        <v>2</v>
      </c>
      <c r="E66">
        <v>0.20899999999999999</v>
      </c>
      <c r="F66">
        <v>0.40660000000000002</v>
      </c>
      <c r="G66">
        <v>5.378E-3</v>
      </c>
      <c r="H66">
        <v>0</v>
      </c>
      <c r="I66">
        <v>0</v>
      </c>
      <c r="J66">
        <v>1</v>
      </c>
    </row>
    <row r="67" spans="2:10" hidden="1" x14ac:dyDescent="0.25">
      <c r="B67" t="s">
        <v>643</v>
      </c>
      <c r="C67" t="s">
        <v>357</v>
      </c>
      <c r="D67">
        <v>3</v>
      </c>
      <c r="E67">
        <v>0.10979999999999999</v>
      </c>
      <c r="F67">
        <v>0.31259999999999999</v>
      </c>
      <c r="G67">
        <v>3.0999999999999999E-3</v>
      </c>
      <c r="H67">
        <v>0</v>
      </c>
      <c r="I67">
        <v>0</v>
      </c>
      <c r="J67">
        <v>1</v>
      </c>
    </row>
    <row r="68" spans="2:10" hidden="1" x14ac:dyDescent="0.25">
      <c r="B68" t="s">
        <v>644</v>
      </c>
      <c r="C68" t="s">
        <v>357</v>
      </c>
      <c r="D68">
        <v>4</v>
      </c>
      <c r="E68">
        <v>8.2309999999999994E-2</v>
      </c>
      <c r="F68">
        <v>0.27479999999999999</v>
      </c>
      <c r="G68">
        <v>3.8159999999999999E-3</v>
      </c>
      <c r="H68">
        <v>0</v>
      </c>
      <c r="I68">
        <v>0</v>
      </c>
      <c r="J68">
        <v>1</v>
      </c>
    </row>
    <row r="69" spans="2:10" hidden="1" x14ac:dyDescent="0.25">
      <c r="B69" t="s">
        <v>645</v>
      </c>
      <c r="C69" t="s">
        <v>357</v>
      </c>
      <c r="D69">
        <v>5</v>
      </c>
      <c r="E69">
        <v>6.173E-2</v>
      </c>
      <c r="F69">
        <v>0.2407</v>
      </c>
      <c r="G69">
        <v>2.5490000000000001E-3</v>
      </c>
      <c r="H69">
        <v>0</v>
      </c>
      <c r="I69">
        <v>0</v>
      </c>
      <c r="J69">
        <v>1</v>
      </c>
    </row>
    <row r="70" spans="2:10" hidden="1" x14ac:dyDescent="0.25">
      <c r="B70" t="s">
        <v>646</v>
      </c>
      <c r="C70" t="s">
        <v>357</v>
      </c>
      <c r="D70">
        <v>6</v>
      </c>
      <c r="E70">
        <v>4.3650000000000001E-2</v>
      </c>
      <c r="F70">
        <v>0.20430000000000001</v>
      </c>
      <c r="G70">
        <v>2.2469999999999999E-3</v>
      </c>
      <c r="H70">
        <v>0</v>
      </c>
      <c r="I70">
        <v>0</v>
      </c>
      <c r="J70">
        <v>1</v>
      </c>
    </row>
    <row r="71" spans="2:10" hidden="1" x14ac:dyDescent="0.25">
      <c r="B71" t="s">
        <v>647</v>
      </c>
      <c r="C71" t="s">
        <v>357</v>
      </c>
      <c r="D71">
        <v>7</v>
      </c>
      <c r="E71">
        <v>3.1949999999999999E-2</v>
      </c>
      <c r="F71">
        <v>0.1759</v>
      </c>
      <c r="G71">
        <v>1.464E-3</v>
      </c>
      <c r="H71">
        <v>0</v>
      </c>
      <c r="I71">
        <v>0</v>
      </c>
      <c r="J71">
        <v>1</v>
      </c>
    </row>
    <row r="72" spans="2:10" hidden="1" x14ac:dyDescent="0.25">
      <c r="B72" t="s">
        <v>648</v>
      </c>
      <c r="C72" t="s">
        <v>357</v>
      </c>
      <c r="D72">
        <v>8</v>
      </c>
      <c r="E72">
        <v>2.4369999999999999E-2</v>
      </c>
      <c r="F72">
        <v>0.1542</v>
      </c>
      <c r="G72">
        <v>1.423E-3</v>
      </c>
      <c r="H72">
        <v>0</v>
      </c>
      <c r="I72">
        <v>0</v>
      </c>
      <c r="J72">
        <v>0</v>
      </c>
    </row>
    <row r="73" spans="2:10" hidden="1" x14ac:dyDescent="0.25">
      <c r="B73" t="s">
        <v>649</v>
      </c>
      <c r="C73" t="s">
        <v>357</v>
      </c>
      <c r="D73">
        <v>9</v>
      </c>
      <c r="E73">
        <v>1.7680000000000001E-2</v>
      </c>
      <c r="F73">
        <v>0.1318</v>
      </c>
      <c r="G73">
        <v>1.3240000000000001E-3</v>
      </c>
      <c r="H73">
        <v>0</v>
      </c>
      <c r="I73">
        <v>0</v>
      </c>
      <c r="J73">
        <v>0</v>
      </c>
    </row>
    <row r="74" spans="2:10" hidden="1" x14ac:dyDescent="0.25">
      <c r="B74" t="s">
        <v>650</v>
      </c>
      <c r="C74" t="s">
        <v>357</v>
      </c>
      <c r="D74">
        <v>10</v>
      </c>
      <c r="E74">
        <v>7.7999999999999996E-3</v>
      </c>
      <c r="F74">
        <v>8.7970000000000007E-2</v>
      </c>
      <c r="G74">
        <v>5.6760000000000003E-4</v>
      </c>
      <c r="H74">
        <v>0</v>
      </c>
      <c r="I74">
        <v>0</v>
      </c>
      <c r="J74">
        <v>0</v>
      </c>
    </row>
    <row r="75" spans="2:10" hidden="1" x14ac:dyDescent="0.25">
      <c r="B75" t="s">
        <v>651</v>
      </c>
      <c r="C75" t="s">
        <v>358</v>
      </c>
      <c r="D75">
        <v>1</v>
      </c>
      <c r="E75">
        <v>0.1336</v>
      </c>
      <c r="F75">
        <v>0.3402</v>
      </c>
      <c r="G75">
        <v>5.4660000000000004E-3</v>
      </c>
      <c r="H75">
        <v>0</v>
      </c>
      <c r="I75">
        <v>0</v>
      </c>
      <c r="J75">
        <v>1</v>
      </c>
    </row>
    <row r="76" spans="2:10" hidden="1" x14ac:dyDescent="0.25">
      <c r="B76" t="s">
        <v>652</v>
      </c>
      <c r="C76" t="s">
        <v>358</v>
      </c>
      <c r="D76">
        <v>2</v>
      </c>
      <c r="E76">
        <v>0.18529999999999999</v>
      </c>
      <c r="F76">
        <v>0.38850000000000001</v>
      </c>
      <c r="G76">
        <v>5.8589999999999996E-3</v>
      </c>
      <c r="H76">
        <v>0</v>
      </c>
      <c r="I76">
        <v>0</v>
      </c>
      <c r="J76">
        <v>1</v>
      </c>
    </row>
    <row r="77" spans="2:10" hidden="1" x14ac:dyDescent="0.25">
      <c r="B77" t="s">
        <v>653</v>
      </c>
      <c r="C77" t="s">
        <v>358</v>
      </c>
      <c r="D77">
        <v>3</v>
      </c>
      <c r="E77">
        <v>0.15429999999999999</v>
      </c>
      <c r="F77">
        <v>0.36130000000000001</v>
      </c>
      <c r="G77">
        <v>5.0759999999999998E-3</v>
      </c>
      <c r="H77">
        <v>0</v>
      </c>
      <c r="I77">
        <v>0</v>
      </c>
      <c r="J77">
        <v>1</v>
      </c>
    </row>
    <row r="78" spans="2:10" hidden="1" x14ac:dyDescent="0.25">
      <c r="B78" t="s">
        <v>654</v>
      </c>
      <c r="C78" t="s">
        <v>358</v>
      </c>
      <c r="D78">
        <v>4</v>
      </c>
      <c r="E78">
        <v>0.122</v>
      </c>
      <c r="F78">
        <v>0.32729999999999998</v>
      </c>
      <c r="G78">
        <v>3.7680000000000001E-3</v>
      </c>
      <c r="H78">
        <v>0</v>
      </c>
      <c r="I78">
        <v>0</v>
      </c>
      <c r="J78">
        <v>1</v>
      </c>
    </row>
    <row r="79" spans="2:10" hidden="1" x14ac:dyDescent="0.25">
      <c r="B79" t="s">
        <v>655</v>
      </c>
      <c r="C79" t="s">
        <v>358</v>
      </c>
      <c r="D79">
        <v>5</v>
      </c>
      <c r="E79">
        <v>0.1143</v>
      </c>
      <c r="F79">
        <v>0.31809999999999999</v>
      </c>
      <c r="G79">
        <v>3.6579999999999998E-3</v>
      </c>
      <c r="H79">
        <v>0</v>
      </c>
      <c r="I79">
        <v>0</v>
      </c>
      <c r="J79">
        <v>1</v>
      </c>
    </row>
    <row r="80" spans="2:10" hidden="1" x14ac:dyDescent="0.25">
      <c r="B80" t="s">
        <v>656</v>
      </c>
      <c r="C80" t="s">
        <v>358</v>
      </c>
      <c r="D80">
        <v>6</v>
      </c>
      <c r="E80">
        <v>9.3490000000000004E-2</v>
      </c>
      <c r="F80">
        <v>0.29110000000000003</v>
      </c>
      <c r="G80">
        <v>3.7399999999999998E-3</v>
      </c>
      <c r="H80">
        <v>0</v>
      </c>
      <c r="I80">
        <v>0</v>
      </c>
      <c r="J80">
        <v>1</v>
      </c>
    </row>
    <row r="81" spans="2:10" hidden="1" x14ac:dyDescent="0.25">
      <c r="B81" t="s">
        <v>657</v>
      </c>
      <c r="C81" t="s">
        <v>358</v>
      </c>
      <c r="D81">
        <v>7</v>
      </c>
      <c r="E81">
        <v>7.0440000000000003E-2</v>
      </c>
      <c r="F81">
        <v>0.25590000000000002</v>
      </c>
      <c r="G81">
        <v>2.4499999999999999E-3</v>
      </c>
      <c r="H81">
        <v>0</v>
      </c>
      <c r="I81">
        <v>0</v>
      </c>
      <c r="J81">
        <v>1</v>
      </c>
    </row>
    <row r="82" spans="2:10" hidden="1" x14ac:dyDescent="0.25">
      <c r="B82" t="s">
        <v>658</v>
      </c>
      <c r="C82" t="s">
        <v>358</v>
      </c>
      <c r="D82">
        <v>8</v>
      </c>
      <c r="E82">
        <v>6.1069999999999999E-2</v>
      </c>
      <c r="F82">
        <v>0.23949999999999999</v>
      </c>
      <c r="G82">
        <v>3.065E-3</v>
      </c>
      <c r="H82">
        <v>0</v>
      </c>
      <c r="I82">
        <v>0</v>
      </c>
      <c r="J82">
        <v>1</v>
      </c>
    </row>
    <row r="83" spans="2:10" hidden="1" x14ac:dyDescent="0.25">
      <c r="B83" t="s">
        <v>659</v>
      </c>
      <c r="C83" t="s">
        <v>358</v>
      </c>
      <c r="D83">
        <v>9</v>
      </c>
      <c r="E83">
        <v>3.9419999999999997E-2</v>
      </c>
      <c r="F83">
        <v>0.1946</v>
      </c>
      <c r="G83">
        <v>2.392E-3</v>
      </c>
      <c r="H83">
        <v>0</v>
      </c>
      <c r="I83">
        <v>0</v>
      </c>
      <c r="J83">
        <v>1</v>
      </c>
    </row>
    <row r="84" spans="2:10" hidden="1" x14ac:dyDescent="0.25">
      <c r="B84" t="s">
        <v>660</v>
      </c>
      <c r="C84" t="s">
        <v>358</v>
      </c>
      <c r="D84">
        <v>10</v>
      </c>
      <c r="E84">
        <v>2.613E-2</v>
      </c>
      <c r="F84">
        <v>0.1595</v>
      </c>
      <c r="G84">
        <v>3.0439999999999998E-3</v>
      </c>
      <c r="H84">
        <v>0</v>
      </c>
      <c r="I84">
        <v>0</v>
      </c>
      <c r="J84">
        <v>1</v>
      </c>
    </row>
    <row r="85" spans="2:10" hidden="1" x14ac:dyDescent="0.25">
      <c r="B85" t="s">
        <v>661</v>
      </c>
      <c r="C85" t="s">
        <v>359</v>
      </c>
      <c r="D85">
        <v>1</v>
      </c>
      <c r="E85">
        <v>0</v>
      </c>
      <c r="F85">
        <v>0</v>
      </c>
      <c r="G85">
        <v>1.6670000000000001E-13</v>
      </c>
      <c r="H85">
        <v>0</v>
      </c>
      <c r="I85">
        <v>0</v>
      </c>
      <c r="J85">
        <v>0</v>
      </c>
    </row>
    <row r="86" spans="2:10" hidden="1" x14ac:dyDescent="0.25">
      <c r="B86" t="s">
        <v>662</v>
      </c>
      <c r="C86" t="s">
        <v>359</v>
      </c>
      <c r="D86">
        <v>2</v>
      </c>
      <c r="E86">
        <v>4.1669999999999999E-5</v>
      </c>
      <c r="F86">
        <v>6.4549999999999998E-3</v>
      </c>
      <c r="G86">
        <v>3.4400000000000003E-5</v>
      </c>
      <c r="H86">
        <v>0</v>
      </c>
      <c r="I86">
        <v>0</v>
      </c>
      <c r="J86">
        <v>0</v>
      </c>
    </row>
    <row r="87" spans="2:10" hidden="1" x14ac:dyDescent="0.25">
      <c r="B87" t="s">
        <v>663</v>
      </c>
      <c r="C87" t="s">
        <v>359</v>
      </c>
      <c r="D87">
        <v>3</v>
      </c>
      <c r="E87">
        <v>1.6670000000000001E-4</v>
      </c>
      <c r="F87">
        <v>1.291E-2</v>
      </c>
      <c r="G87">
        <v>5.2389999999999998E-5</v>
      </c>
      <c r="H87">
        <v>0</v>
      </c>
      <c r="I87">
        <v>0</v>
      </c>
      <c r="J87">
        <v>0</v>
      </c>
    </row>
    <row r="88" spans="2:10" hidden="1" x14ac:dyDescent="0.25">
      <c r="B88" t="s">
        <v>664</v>
      </c>
      <c r="C88" t="s">
        <v>359</v>
      </c>
      <c r="D88">
        <v>4</v>
      </c>
      <c r="E88">
        <v>5.0000000000000001E-4</v>
      </c>
      <c r="F88">
        <v>2.2360000000000001E-2</v>
      </c>
      <c r="G88">
        <v>8.6819999999999999E-5</v>
      </c>
      <c r="H88">
        <v>0</v>
      </c>
      <c r="I88">
        <v>0</v>
      </c>
      <c r="J88">
        <v>0</v>
      </c>
    </row>
    <row r="89" spans="2:10" hidden="1" x14ac:dyDescent="0.25">
      <c r="B89" t="s">
        <v>665</v>
      </c>
      <c r="C89" t="s">
        <v>359</v>
      </c>
      <c r="D89">
        <v>5</v>
      </c>
      <c r="E89">
        <v>2.0669999999999998E-3</v>
      </c>
      <c r="F89">
        <v>4.5409999999999999E-2</v>
      </c>
      <c r="G89">
        <v>2.3230000000000001E-4</v>
      </c>
      <c r="H89">
        <v>0</v>
      </c>
      <c r="I89">
        <v>0</v>
      </c>
      <c r="J89">
        <v>0</v>
      </c>
    </row>
    <row r="90" spans="2:10" hidden="1" x14ac:dyDescent="0.25">
      <c r="B90" t="s">
        <v>666</v>
      </c>
      <c r="C90" t="s">
        <v>359</v>
      </c>
      <c r="D90">
        <v>6</v>
      </c>
      <c r="E90">
        <v>6.0169999999999998E-3</v>
      </c>
      <c r="F90">
        <v>7.7329999999999996E-2</v>
      </c>
      <c r="G90">
        <v>6.9419999999999996E-4</v>
      </c>
      <c r="H90">
        <v>0</v>
      </c>
      <c r="I90">
        <v>0</v>
      </c>
      <c r="J90">
        <v>0</v>
      </c>
    </row>
    <row r="91" spans="2:10" hidden="1" x14ac:dyDescent="0.25">
      <c r="B91" t="s">
        <v>667</v>
      </c>
      <c r="C91" t="s">
        <v>359</v>
      </c>
      <c r="D91">
        <v>7</v>
      </c>
      <c r="E91">
        <v>1.6459999999999999E-2</v>
      </c>
      <c r="F91">
        <v>0.12720000000000001</v>
      </c>
      <c r="G91">
        <v>1.405E-3</v>
      </c>
      <c r="H91">
        <v>0</v>
      </c>
      <c r="I91">
        <v>0</v>
      </c>
      <c r="J91">
        <v>0</v>
      </c>
    </row>
    <row r="92" spans="2:10" hidden="1" x14ac:dyDescent="0.25">
      <c r="B92" t="s">
        <v>668</v>
      </c>
      <c r="C92" t="s">
        <v>359</v>
      </c>
      <c r="D92">
        <v>8</v>
      </c>
      <c r="E92">
        <v>5.978E-2</v>
      </c>
      <c r="F92">
        <v>0.23710000000000001</v>
      </c>
      <c r="G92">
        <v>2.797E-3</v>
      </c>
      <c r="H92">
        <v>0</v>
      </c>
      <c r="I92">
        <v>0</v>
      </c>
      <c r="J92">
        <v>1</v>
      </c>
    </row>
    <row r="93" spans="2:10" hidden="1" x14ac:dyDescent="0.25">
      <c r="B93" t="s">
        <v>669</v>
      </c>
      <c r="C93" t="s">
        <v>359</v>
      </c>
      <c r="D93">
        <v>9</v>
      </c>
      <c r="E93">
        <v>0.31640000000000001</v>
      </c>
      <c r="F93">
        <v>0.46510000000000001</v>
      </c>
      <c r="G93">
        <v>7.8910000000000004E-3</v>
      </c>
      <c r="H93">
        <v>0</v>
      </c>
      <c r="I93">
        <v>0</v>
      </c>
      <c r="J93">
        <v>1</v>
      </c>
    </row>
    <row r="94" spans="2:10" hidden="1" x14ac:dyDescent="0.25">
      <c r="B94" t="s">
        <v>670</v>
      </c>
      <c r="C94" t="s">
        <v>359</v>
      </c>
      <c r="D94">
        <v>10</v>
      </c>
      <c r="E94">
        <v>0.59860000000000002</v>
      </c>
      <c r="F94">
        <v>0.49020000000000002</v>
      </c>
      <c r="G94">
        <v>9.2149999999999992E-3</v>
      </c>
      <c r="H94">
        <v>0</v>
      </c>
      <c r="I94">
        <v>1</v>
      </c>
      <c r="J94">
        <v>1</v>
      </c>
    </row>
    <row r="95" spans="2:10" hidden="1" x14ac:dyDescent="0.25">
      <c r="B95" t="s">
        <v>671</v>
      </c>
      <c r="C95" t="s">
        <v>360</v>
      </c>
      <c r="D95">
        <v>1</v>
      </c>
      <c r="E95">
        <v>8.0669999999999995E-3</v>
      </c>
      <c r="F95">
        <v>8.9450000000000002E-2</v>
      </c>
      <c r="G95">
        <v>8.4550000000000001E-4</v>
      </c>
      <c r="H95">
        <v>0</v>
      </c>
      <c r="I95">
        <v>0</v>
      </c>
      <c r="J95">
        <v>0</v>
      </c>
    </row>
    <row r="96" spans="2:10" hidden="1" x14ac:dyDescent="0.25">
      <c r="B96" t="s">
        <v>672</v>
      </c>
      <c r="C96" t="s">
        <v>360</v>
      </c>
      <c r="D96">
        <v>2</v>
      </c>
      <c r="E96">
        <v>4.0189999999999997E-2</v>
      </c>
      <c r="F96">
        <v>0.19639999999999999</v>
      </c>
      <c r="G96">
        <v>3.4889999999999999E-3</v>
      </c>
      <c r="H96">
        <v>0</v>
      </c>
      <c r="I96">
        <v>0</v>
      </c>
      <c r="J96">
        <v>1</v>
      </c>
    </row>
    <row r="97" spans="2:10" hidden="1" x14ac:dyDescent="0.25">
      <c r="B97" t="s">
        <v>673</v>
      </c>
      <c r="C97" t="s">
        <v>360</v>
      </c>
      <c r="D97">
        <v>3</v>
      </c>
      <c r="E97">
        <v>8.2549999999999998E-2</v>
      </c>
      <c r="F97">
        <v>0.2752</v>
      </c>
      <c r="G97">
        <v>4.0759999999999998E-3</v>
      </c>
      <c r="H97">
        <v>0</v>
      </c>
      <c r="I97">
        <v>0</v>
      </c>
      <c r="J97">
        <v>1</v>
      </c>
    </row>
    <row r="98" spans="2:10" hidden="1" x14ac:dyDescent="0.25">
      <c r="B98" t="s">
        <v>674</v>
      </c>
      <c r="C98" t="s">
        <v>360</v>
      </c>
      <c r="D98">
        <v>4</v>
      </c>
      <c r="E98">
        <v>0.14080000000000001</v>
      </c>
      <c r="F98">
        <v>0.3478</v>
      </c>
      <c r="G98">
        <v>4.4479999999999997E-3</v>
      </c>
      <c r="H98">
        <v>0</v>
      </c>
      <c r="I98">
        <v>0</v>
      </c>
      <c r="J98">
        <v>1</v>
      </c>
    </row>
    <row r="99" spans="2:10" hidden="1" x14ac:dyDescent="0.25">
      <c r="B99" t="s">
        <v>675</v>
      </c>
      <c r="C99" t="s">
        <v>360</v>
      </c>
      <c r="D99">
        <v>5</v>
      </c>
      <c r="E99">
        <v>0.2064</v>
      </c>
      <c r="F99">
        <v>0.40479999999999999</v>
      </c>
      <c r="G99">
        <v>5.4679999999999998E-3</v>
      </c>
      <c r="H99">
        <v>0</v>
      </c>
      <c r="I99">
        <v>0</v>
      </c>
      <c r="J99">
        <v>1</v>
      </c>
    </row>
    <row r="100" spans="2:10" hidden="1" x14ac:dyDescent="0.25">
      <c r="B100" t="s">
        <v>676</v>
      </c>
      <c r="C100" t="s">
        <v>360</v>
      </c>
      <c r="D100">
        <v>6</v>
      </c>
      <c r="E100">
        <v>0.21729999999999999</v>
      </c>
      <c r="F100">
        <v>0.41239999999999999</v>
      </c>
      <c r="G100">
        <v>5.5209999999999999E-3</v>
      </c>
      <c r="H100">
        <v>0</v>
      </c>
      <c r="I100">
        <v>0</v>
      </c>
      <c r="J100">
        <v>1</v>
      </c>
    </row>
    <row r="101" spans="2:10" hidden="1" x14ac:dyDescent="0.25">
      <c r="B101" t="s">
        <v>677</v>
      </c>
      <c r="C101" t="s">
        <v>360</v>
      </c>
      <c r="D101">
        <v>7</v>
      </c>
      <c r="E101">
        <v>0.1764</v>
      </c>
      <c r="F101">
        <v>0.38109999999999999</v>
      </c>
      <c r="G101">
        <v>5.6249999999999998E-3</v>
      </c>
      <c r="H101">
        <v>0</v>
      </c>
      <c r="I101">
        <v>0</v>
      </c>
      <c r="J101">
        <v>1</v>
      </c>
    </row>
    <row r="102" spans="2:10" hidden="1" x14ac:dyDescent="0.25">
      <c r="B102" t="s">
        <v>678</v>
      </c>
      <c r="C102" t="s">
        <v>360</v>
      </c>
      <c r="D102">
        <v>8</v>
      </c>
      <c r="E102">
        <v>9.4500000000000001E-2</v>
      </c>
      <c r="F102">
        <v>0.29249999999999998</v>
      </c>
      <c r="G102">
        <v>4.0720000000000001E-3</v>
      </c>
      <c r="H102">
        <v>0</v>
      </c>
      <c r="I102">
        <v>0</v>
      </c>
      <c r="J102">
        <v>1</v>
      </c>
    </row>
    <row r="103" spans="2:10" hidden="1" x14ac:dyDescent="0.25">
      <c r="B103" t="s">
        <v>679</v>
      </c>
      <c r="C103" t="s">
        <v>360</v>
      </c>
      <c r="D103">
        <v>9</v>
      </c>
      <c r="E103">
        <v>2.7490000000000001E-2</v>
      </c>
      <c r="F103">
        <v>0.16350000000000001</v>
      </c>
      <c r="G103">
        <v>2.2039999999999998E-3</v>
      </c>
      <c r="H103">
        <v>0</v>
      </c>
      <c r="I103">
        <v>0</v>
      </c>
      <c r="J103">
        <v>1</v>
      </c>
    </row>
    <row r="104" spans="2:10" hidden="1" x14ac:dyDescent="0.25">
      <c r="B104" t="s">
        <v>680</v>
      </c>
      <c r="C104" t="s">
        <v>360</v>
      </c>
      <c r="D104">
        <v>10</v>
      </c>
      <c r="E104">
        <v>6.2830000000000004E-3</v>
      </c>
      <c r="F104">
        <v>7.9020000000000007E-2</v>
      </c>
      <c r="G104">
        <v>1.0989999999999999E-3</v>
      </c>
      <c r="H104">
        <v>0</v>
      </c>
      <c r="I104">
        <v>0</v>
      </c>
      <c r="J104">
        <v>0</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40000</v>
      </c>
      <c r="F8" s="150"/>
      <c r="G8" s="151"/>
      <c r="H8" s="152"/>
    </row>
    <row r="9" spans="2:16" ht="15.75" thickBot="1" x14ac:dyDescent="0.3">
      <c r="B9" s="20"/>
      <c r="C9" s="18" t="s">
        <v>36</v>
      </c>
      <c r="D9" s="175">
        <f>'Winbugs Settings '!model_runs</f>
        <v>40000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16 2018 3 42 07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2018-01-16T19:58:42Z</dcterms:modified>
</cp:coreProperties>
</file>