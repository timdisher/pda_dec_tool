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gif" ContentType="image/gif"/>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ustomProperty1.bin" ContentType="application/vnd.openxmlformats-officedocument.spreadsheetml.customProperty"/>
  <Override PartName="/xl/drawings/drawing3.xml" ContentType="application/vnd.openxmlformats-officedocument.drawing+xml"/>
  <Override PartName="/xl/customProperty2.bin" ContentType="application/vnd.openxmlformats-officedocument.spreadsheetml.customProperty"/>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1.xml" ContentType="application/vnd.openxmlformats-officedocument.drawingml.chartshapes+xml"/>
  <Override PartName="/xl/drawings/drawing12.xml" ContentType="application/vnd.openxmlformats-officedocument.drawing+xml"/>
  <Override PartName="/xl/ctrlProps/ctrlProp1.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8634b9946f374598"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H:\Neonatal\Neonatal\Mitra\PDA_NMA\August 2017 analyses\Aug_LOW ROB\Aug_Low RoB_outc 1\"/>
    </mc:Choice>
  </mc:AlternateContent>
  <bookViews>
    <workbookView xWindow="0" yWindow="0" windowWidth="28800" windowHeight="12435" tabRatio="663" firstSheet="6" activeTab="6"/>
  </bookViews>
  <sheets>
    <sheet name="Cover" sheetId="19" r:id="rId1"/>
    <sheet name="Winbugs Settings " sheetId="47" r:id="rId2"/>
    <sheet name="DATA Input" sheetId="2" r:id="rId3"/>
    <sheet name="Diagram Data" sheetId="23" state="hidden" r:id="rId4"/>
    <sheet name="WINBUGS data" sheetId="1" r:id="rId5"/>
    <sheet name="WINBUGS Data Inconsistency" sheetId="39" r:id="rId6"/>
    <sheet name="Data Summary" sheetId="48" r:id="rId7"/>
    <sheet name="Network Diagram" sheetId="22" r:id="rId8"/>
    <sheet name="Forest Plot" sheetId="41" r:id="rId9"/>
    <sheet name="League Table" sheetId="44" r:id="rId10"/>
    <sheet name="Rankogram" sheetId="42" r:id="rId11"/>
    <sheet name="Inconsistency Data" sheetId="46" state="hidden" r:id="rId12"/>
    <sheet name="Inconsistency Results" sheetId="40" r:id="rId13"/>
    <sheet name="FE Results" sheetId="10" state="hidden" r:id="rId14"/>
    <sheet name="RE Results (Vague Prior)" sheetId="11" r:id="rId15"/>
    <sheet name="RE Results (Informative Prior)" sheetId="29" r:id="rId16"/>
    <sheet name="FE Inconsistency Results" sheetId="35" r:id="rId17"/>
    <sheet name="RE Inconsistency Results" sheetId="36" r:id="rId18"/>
    <sheet name="Informative Priors" sheetId="24" r:id="rId19"/>
    <sheet name="Data Table" sheetId="3" r:id="rId20"/>
    <sheet name="FE Script" sheetId="4" r:id="rId21"/>
    <sheet name="RE Script" sheetId="6" r:id="rId22"/>
    <sheet name="FE Inconsistency Script " sheetId="37" r:id="rId23"/>
    <sheet name="RE Inconsistency Script" sheetId="38" r:id="rId24"/>
    <sheet name="FE Model" sheetId="7" r:id="rId25"/>
    <sheet name="Fixed Effects" sheetId="12" state="hidden" r:id="rId26"/>
    <sheet name="RE Model" sheetId="8" r:id="rId27"/>
    <sheet name="League Table Data" sheetId="45" state="hidden" r:id="rId28"/>
    <sheet name="Random Effects  (Informative)" sheetId="27" state="hidden" r:id="rId29"/>
    <sheet name="Random Effects (Vague)" sheetId="20" state="hidden" r:id="rId30"/>
    <sheet name="FE Inconsistency Model" sheetId="33" r:id="rId31"/>
    <sheet name="RE Inconsistency Model" sheetId="34" r:id="rId32"/>
    <sheet name="Rankogram Data" sheetId="43" r:id="rId33"/>
    <sheet name="Variables" sheetId="9" r:id="rId34"/>
  </sheets>
  <functionGroups builtInGroupCount="18"/>
  <definedNames>
    <definedName name="_xlnm._FilterDatabase" localSheetId="3" hidden="1">'Diagram Data'!$E$5:$E$14</definedName>
    <definedName name="ab_names">'Network Diagram'!$C$25:$C$39</definedName>
    <definedName name="auto_run">Variables!$D$44</definedName>
    <definedName name="best">Variables!$D$17</definedName>
    <definedName name="bottom">'Forest Plot'!$D$6</definedName>
    <definedName name="burn_in" localSheetId="1">'Winbugs Settings '!$D$9</definedName>
    <definedName name="burn_in">Variables!$D$8</definedName>
    <definedName name="chart_legend1" localSheetId="11">#REF!</definedName>
    <definedName name="chart_legend1" localSheetId="27">#REF!</definedName>
    <definedName name="chart_legend1" localSheetId="1">#REF!</definedName>
    <definedName name="chart_legend1">#REF!</definedName>
    <definedName name="chart_type">Rankogram!$C$8</definedName>
    <definedName name="data_directory" localSheetId="1">'Winbugs Settings '!$D$20</definedName>
    <definedName name="data_directory">Variables!$D$33</definedName>
    <definedName name="data_name" localSheetId="1">'Winbugs Settings '!$D$26</definedName>
    <definedName name="data_name">Variables!$D$39</definedName>
    <definedName name="datalist_name" localSheetId="1">'Winbugs Settings '!$D$27</definedName>
    <definedName name="datalist_name">Variables!$D$40</definedName>
    <definedName name="date_time" localSheetId="1">'Winbugs Settings '!$D$30</definedName>
    <definedName name="date_time">Variables!$D$43</definedName>
    <definedName name="diag_radius">'Network Diagram'!$C$20</definedName>
    <definedName name="DIC">Variables!$D$24</definedName>
    <definedName name="events_bad">Variables!$D$10</definedName>
    <definedName name="_xlnm.Extract" localSheetId="3">'Diagram Data'!$B$5:$B$15</definedName>
    <definedName name="FE_choice" localSheetId="11">Variables!#REF!</definedName>
    <definedName name="FE_choice" localSheetId="27">Variables!#REF!</definedName>
    <definedName name="FE_inits" localSheetId="5">'WINBUGS Data Inconsistency'!$H$7</definedName>
    <definedName name="FE_inits">'WINBUGS data'!$H$11</definedName>
    <definedName name="FEinits_name" localSheetId="1">'Winbugs Settings '!$D$28</definedName>
    <definedName name="FEinits_name">Variables!$D$41</definedName>
    <definedName name="FEmodel_name" localSheetId="1">'Winbugs Settings '!$D$24</definedName>
    <definedName name="FEmodel_name">Variables!$D$37</definedName>
    <definedName name="FEresults_name" localSheetId="1">'Winbugs Settings '!$D$22</definedName>
    <definedName name="FEresults_name">Variables!$D$35</definedName>
    <definedName name="Forest">'Forest Plot'!$D$4</definedName>
    <definedName name="gr_or" localSheetId="1">'Winbugs Settings '!$D$12</definedName>
    <definedName name="gr_or">Variables!$D$22</definedName>
    <definedName name="gr_rr">Variables!$D$23</definedName>
    <definedName name="incon" localSheetId="1">'Winbugs Settings '!$P$2:$P$3</definedName>
    <definedName name="incon">Variables!$P$2:$P$3</definedName>
    <definedName name="incon_list" localSheetId="1">'Winbugs Settings '!$P$2:$P$3</definedName>
    <definedName name="incon_list">Variables!$P$2:$P$3</definedName>
    <definedName name="inits_high" localSheetId="1">'Winbugs Settings '!$D$15</definedName>
    <definedName name="inits_high">Variables!$D$29</definedName>
    <definedName name="inits_low" localSheetId="1">'Winbugs Settings '!$D$14</definedName>
    <definedName name="inits_low">Variables!$D$28</definedName>
    <definedName name="Inits_settings" localSheetId="1">'Winbugs Settings '!$C$14:$C$17</definedName>
    <definedName name="intervention_selection">Variables!$D$26</definedName>
    <definedName name="intervention_type">'Informative Priors'!$V$6:$V$8</definedName>
    <definedName name="Legend" localSheetId="5">'WINBUGS Data Inconsistency'!$B$2:$C$18</definedName>
    <definedName name="Legend">'WINBUGS data'!$B$2:$C$18</definedName>
    <definedName name="list">'Diagram Data'!$E$5:$E$53</definedName>
    <definedName name="list_1">'Diagram Data'!$F$5:$F$53</definedName>
    <definedName name="list_2">'Diagram Data'!$G$5:$G$53</definedName>
    <definedName name="list_3">'Diagram Data'!$H$5:$H$53</definedName>
    <definedName name="list_statement">'WINBUGS data'!$H$15</definedName>
    <definedName name="marker">'Forest Plot'!$D$8</definedName>
    <definedName name="max_logOR">'Diagram Data'!$B$4</definedName>
    <definedName name="max_total">'DATA Input'!$D$57</definedName>
    <definedName name="min_total">'DATA Input'!$C$57</definedName>
    <definedName name="model_runs" localSheetId="1">'Winbugs Settings '!$D$10</definedName>
    <definedName name="model_runs">Variables!$D$9</definedName>
    <definedName name="monitor_nnt">Variables!$D$15</definedName>
    <definedName name="monitor_or">Variables!$D$12</definedName>
    <definedName name="monitor_rd">Variables!$D$14</definedName>
    <definedName name="monitor_resdev">Variables!$D$25</definedName>
    <definedName name="monitor_rr">Variables!$D$13</definedName>
    <definedName name="monitor_SUCRA">Variables!$D$18</definedName>
    <definedName name="names" localSheetId="5">'WINBUGS Data Inconsistency'!$B$4:$B$18</definedName>
    <definedName name="names">'WINBUGS data'!$B$4:$B$18</definedName>
    <definedName name="num_studies">'DATA Input'!$C$2</definedName>
    <definedName name="num_treatment_1_studies">'DATA Input'!$C$4</definedName>
    <definedName name="num_treatments">'DATA Input'!$C$3</definedName>
    <definedName name="outcome_selection">Variables!$D$27</definedName>
    <definedName name="outcome_type">'Informative Priors'!$E$7:$E$9</definedName>
    <definedName name="patient_totals">'DATA Input'!$E$57:$AH$57</definedName>
    <definedName name="prior_mean">'Informative Priors'!$F$7:$H$9</definedName>
    <definedName name="prior_sigma">'Informative Priors'!$F$13:$H$15</definedName>
    <definedName name="prior_sigma2">'Informative Priors'!$F$19:$H$21</definedName>
    <definedName name="prob">Variables!$D$19</definedName>
    <definedName name="Program_settings" localSheetId="1">'Winbugs Settings '!$C$19:$C$30</definedName>
    <definedName name="rank">Variables!$D$16</definedName>
    <definedName name="rank_analysis">Rankogram!$C$7</definedName>
    <definedName name="rank_legend">'Rankogram Data'!$M$4:$AA$4</definedName>
    <definedName name="RE_choice" localSheetId="11">Variables!#REF!</definedName>
    <definedName name="RE_choice" localSheetId="27">Variables!#REF!</definedName>
    <definedName name="RE_inits" localSheetId="5">'WINBUGS Data Inconsistency'!$H$3</definedName>
    <definedName name="REI_inits">'WINBUGS data'!$H$7</definedName>
    <definedName name="REinits_name">Variables!$D$42</definedName>
    <definedName name="REmodel_name" localSheetId="1">'Winbugs Settings '!$D$25</definedName>
    <definedName name="REmodel_name">Variables!$D$38</definedName>
    <definedName name="REresults_name" localSheetId="1">'Winbugs Settings '!$D$23</definedName>
    <definedName name="REresults_name">Variables!$D$36</definedName>
    <definedName name="results_directory" localSheetId="1">'Winbugs Settings '!$D$21</definedName>
    <definedName name="results_directory">Variables!$D$34</definedName>
    <definedName name="REV_inits">'WINBUGS data'!$H$3</definedName>
    <definedName name="REVinits_name" localSheetId="1">'Winbugs Settings '!$D$29</definedName>
    <definedName name="sd_high" localSheetId="1">'Winbugs Settings '!$D$17</definedName>
    <definedName name="sd_high">Variables!$D$31</definedName>
    <definedName name="sd_low" localSheetId="1">'Winbugs Settings '!$D$16</definedName>
    <definedName name="sd_low">Variables!$D$30</definedName>
    <definedName name="spacing">'Forest Plot'!$D$7</definedName>
    <definedName name="step">'League Table'!$C$2</definedName>
    <definedName name="study_arms">'Diagram Data'!$F$5:$T$5</definedName>
    <definedName name="sucra_list">Rankogram!$C$15:$C$24</definedName>
    <definedName name="sucra_table">Rankogram!$C$15:$D$29</definedName>
    <definedName name="sum_total">'DATA Input'!$D$57</definedName>
    <definedName name="top">'Forest Plot'!$D$5</definedName>
    <definedName name="trace_or" localSheetId="1">'Winbugs Settings '!$D$11</definedName>
    <definedName name="trace_or">Variables!$D$20</definedName>
    <definedName name="trace_rr">Variables!$D$21</definedName>
    <definedName name="treatment_selection">Rankogram!$C$9</definedName>
    <definedName name="vague_prior">Variables!$D$45</definedName>
    <definedName name="winbugs_directory" localSheetId="1">'Winbugs Settings '!$D$19</definedName>
    <definedName name="winbugs_directory">Variables!$D$32</definedName>
    <definedName name="Winbugs_settings" localSheetId="1">'Winbugs Settings '!$C$9:$C$12</definedName>
    <definedName name="zero_corr">Variables!$D$11</definedName>
  </definedNames>
  <calcPr calcId="152511"/>
</workbook>
</file>

<file path=xl/calcChain.xml><?xml version="1.0" encoding="utf-8"?>
<calcChain xmlns="http://schemas.openxmlformats.org/spreadsheetml/2006/main">
  <c r="C46" i="8" l="1"/>
  <c r="C45" i="8"/>
  <c r="B37" i="8"/>
  <c r="B36" i="8"/>
  <c r="B35" i="8"/>
  <c r="B34" i="8"/>
  <c r="B33" i="8"/>
  <c r="C30" i="7"/>
  <c r="C29" i="7"/>
  <c r="D36" i="9"/>
  <c r="D42" i="9"/>
  <c r="D38" i="9"/>
  <c r="R105" i="46"/>
  <c r="R104" i="46"/>
  <c r="R103" i="46"/>
  <c r="R102" i="46"/>
  <c r="R101" i="46"/>
  <c r="R100" i="46"/>
  <c r="E24" i="48"/>
  <c r="E25" i="48"/>
  <c r="E26" i="48"/>
  <c r="E27" i="48"/>
  <c r="E28" i="48"/>
  <c r="D24" i="48"/>
  <c r="D25" i="48"/>
  <c r="D26" i="48"/>
  <c r="D27" i="48"/>
  <c r="D28" i="48"/>
  <c r="D38" i="48"/>
  <c r="D37" i="48"/>
  <c r="D36" i="48"/>
  <c r="D35" i="48"/>
  <c r="D34" i="48"/>
  <c r="D33" i="48"/>
  <c r="D32" i="48"/>
  <c r="D31" i="48"/>
  <c r="D30" i="48"/>
  <c r="D29" i="48"/>
  <c r="F38" i="48"/>
  <c r="F37" i="48"/>
  <c r="F36" i="48"/>
  <c r="F35" i="48"/>
  <c r="F34" i="48"/>
  <c r="F33" i="48"/>
  <c r="F32" i="48"/>
  <c r="F31" i="48"/>
  <c r="F30" i="48"/>
  <c r="F29" i="48"/>
  <c r="F28" i="48"/>
  <c r="F27" i="48"/>
  <c r="F26" i="48"/>
  <c r="F25" i="48"/>
  <c r="F24" i="48"/>
  <c r="G38" i="48"/>
  <c r="G37" i="48"/>
  <c r="G36" i="48"/>
  <c r="G35" i="48"/>
  <c r="G34" i="48"/>
  <c r="G33" i="48"/>
  <c r="G32" i="48"/>
  <c r="G31" i="48"/>
  <c r="G30" i="48"/>
  <c r="G29" i="48"/>
  <c r="G28" i="48"/>
  <c r="G27" i="48"/>
  <c r="G26" i="48"/>
  <c r="G25" i="48"/>
  <c r="G24" i="48"/>
  <c r="E38" i="48"/>
  <c r="E37" i="48"/>
  <c r="E36" i="48"/>
  <c r="E35" i="48"/>
  <c r="E34" i="48"/>
  <c r="E33" i="48"/>
  <c r="E32" i="48"/>
  <c r="E31" i="48"/>
  <c r="E30" i="48"/>
  <c r="E29" i="48"/>
  <c r="E14" i="48"/>
  <c r="E13" i="48"/>
  <c r="E10" i="48"/>
  <c r="B4" i="23"/>
  <c r="C53" i="23"/>
  <c r="C52" i="23"/>
  <c r="C51" i="23"/>
  <c r="C50" i="23"/>
  <c r="C49"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4" i="23"/>
  <c r="C13" i="23"/>
  <c r="C12" i="23"/>
  <c r="C11" i="23"/>
  <c r="C10" i="23"/>
  <c r="C9" i="23"/>
  <c r="C8" i="23"/>
  <c r="C7" i="23"/>
  <c r="C6" i="23"/>
  <c r="C5" i="23"/>
  <c r="D31" i="9"/>
  <c r="D30" i="9"/>
  <c r="D29" i="9"/>
  <c r="D28" i="9"/>
  <c r="D41" i="9"/>
  <c r="D40" i="9"/>
  <c r="D39" i="9"/>
  <c r="D37" i="9"/>
  <c r="D35" i="9"/>
  <c r="D34" i="9"/>
  <c r="D33" i="9"/>
  <c r="D32" i="9"/>
  <c r="D22" i="9"/>
  <c r="D20" i="9"/>
  <c r="D9" i="9"/>
  <c r="D8" i="9"/>
  <c r="D43" i="9"/>
  <c r="A32" i="37" s="1"/>
  <c r="L200" i="20"/>
  <c r="K200" i="20"/>
  <c r="L199" i="20"/>
  <c r="K199" i="20"/>
  <c r="L198" i="20"/>
  <c r="K198" i="20"/>
  <c r="L197" i="20"/>
  <c r="K197" i="20"/>
  <c r="L196" i="20"/>
  <c r="K196" i="20"/>
  <c r="L195" i="20"/>
  <c r="K195" i="20"/>
  <c r="L194" i="20"/>
  <c r="K194" i="20"/>
  <c r="L193" i="20"/>
  <c r="K193" i="20"/>
  <c r="L192" i="20"/>
  <c r="K192" i="20"/>
  <c r="L191" i="20"/>
  <c r="K191" i="20"/>
  <c r="L190" i="20"/>
  <c r="K190" i="20"/>
  <c r="L189" i="20"/>
  <c r="K189" i="20"/>
  <c r="L188" i="20"/>
  <c r="K188" i="20"/>
  <c r="L187" i="20"/>
  <c r="K187" i="20"/>
  <c r="L186" i="20"/>
  <c r="K186" i="20"/>
  <c r="L185" i="20"/>
  <c r="K185" i="20"/>
  <c r="L184" i="20"/>
  <c r="K184" i="20"/>
  <c r="L183" i="20"/>
  <c r="K183" i="20"/>
  <c r="L182" i="20"/>
  <c r="K182" i="20"/>
  <c r="L181" i="20"/>
  <c r="K181" i="20"/>
  <c r="L180" i="20"/>
  <c r="K180" i="20"/>
  <c r="L179" i="20"/>
  <c r="K179" i="20"/>
  <c r="L178" i="20"/>
  <c r="K178" i="20"/>
  <c r="L177" i="20"/>
  <c r="K177" i="20"/>
  <c r="L176" i="20"/>
  <c r="K176" i="20"/>
  <c r="L175" i="20"/>
  <c r="K175" i="20"/>
  <c r="L174" i="20"/>
  <c r="K174" i="20"/>
  <c r="L173" i="20"/>
  <c r="K173" i="20"/>
  <c r="L172" i="20"/>
  <c r="K172" i="20"/>
  <c r="L171" i="20"/>
  <c r="K171" i="20"/>
  <c r="L170" i="20"/>
  <c r="K170" i="20"/>
  <c r="L169" i="20"/>
  <c r="K169" i="20"/>
  <c r="L168" i="20"/>
  <c r="K168" i="20"/>
  <c r="L167" i="20"/>
  <c r="K167" i="20"/>
  <c r="L166" i="20"/>
  <c r="K166" i="20"/>
  <c r="L165" i="20"/>
  <c r="K165" i="20"/>
  <c r="L164" i="20"/>
  <c r="K164" i="20"/>
  <c r="L163" i="20"/>
  <c r="K163" i="20"/>
  <c r="L162" i="20"/>
  <c r="K162" i="20"/>
  <c r="L161" i="20"/>
  <c r="K161" i="20"/>
  <c r="L160" i="20"/>
  <c r="K160" i="20"/>
  <c r="L159" i="20"/>
  <c r="K159" i="20"/>
  <c r="L158" i="20"/>
  <c r="K158" i="20"/>
  <c r="L157" i="20"/>
  <c r="K157" i="20"/>
  <c r="L156" i="20"/>
  <c r="K156" i="20"/>
  <c r="L155" i="20"/>
  <c r="K155" i="20"/>
  <c r="L154" i="20"/>
  <c r="K154" i="20"/>
  <c r="L153" i="20"/>
  <c r="K153" i="20"/>
  <c r="L152" i="20"/>
  <c r="K152" i="20"/>
  <c r="L151" i="20"/>
  <c r="K151" i="20"/>
  <c r="L150" i="20"/>
  <c r="K150" i="20"/>
  <c r="L149" i="20"/>
  <c r="K149" i="20"/>
  <c r="L148" i="20"/>
  <c r="K148" i="20"/>
  <c r="L147" i="20"/>
  <c r="K147" i="20"/>
  <c r="L146" i="20"/>
  <c r="K146" i="20"/>
  <c r="L145" i="20"/>
  <c r="K145" i="20"/>
  <c r="L144" i="20"/>
  <c r="K144" i="20"/>
  <c r="L143" i="20"/>
  <c r="K143" i="20"/>
  <c r="L142" i="20"/>
  <c r="K142" i="20"/>
  <c r="L141" i="20"/>
  <c r="K141" i="20"/>
  <c r="L140" i="20"/>
  <c r="K140" i="20"/>
  <c r="L139" i="20"/>
  <c r="K139" i="20"/>
  <c r="L138" i="20"/>
  <c r="K138" i="20"/>
  <c r="L137" i="20"/>
  <c r="K137" i="20"/>
  <c r="L136" i="20"/>
  <c r="K136" i="20"/>
  <c r="L135" i="20"/>
  <c r="K135" i="20"/>
  <c r="L134" i="20"/>
  <c r="K134" i="20"/>
  <c r="L133" i="20"/>
  <c r="K133" i="20"/>
  <c r="L132" i="20"/>
  <c r="K132" i="20"/>
  <c r="L131" i="20"/>
  <c r="K131" i="20"/>
  <c r="L130" i="20"/>
  <c r="K130" i="20"/>
  <c r="L129" i="20"/>
  <c r="K129" i="20"/>
  <c r="L128" i="20"/>
  <c r="K128" i="20"/>
  <c r="L127" i="20"/>
  <c r="K127" i="20"/>
  <c r="L126" i="20"/>
  <c r="K126" i="20"/>
  <c r="L125" i="20"/>
  <c r="K125" i="20"/>
  <c r="L124" i="20"/>
  <c r="K124" i="20"/>
  <c r="L123" i="20"/>
  <c r="K123" i="20"/>
  <c r="L122" i="20"/>
  <c r="K122" i="20"/>
  <c r="L121" i="20"/>
  <c r="K121" i="20"/>
  <c r="L120" i="20"/>
  <c r="K120" i="20"/>
  <c r="L119" i="20"/>
  <c r="K119" i="20"/>
  <c r="L118" i="20"/>
  <c r="K118" i="20"/>
  <c r="L117" i="20"/>
  <c r="K117" i="20"/>
  <c r="L116" i="20"/>
  <c r="K116" i="20"/>
  <c r="L115" i="20"/>
  <c r="K115" i="20"/>
  <c r="L114" i="20"/>
  <c r="K114" i="20"/>
  <c r="L113" i="20"/>
  <c r="K113" i="20"/>
  <c r="L112" i="20"/>
  <c r="K112" i="20"/>
  <c r="L111" i="20"/>
  <c r="K111" i="20"/>
  <c r="L110" i="20"/>
  <c r="K110" i="20"/>
  <c r="L109" i="20"/>
  <c r="K109" i="20"/>
  <c r="L108" i="20"/>
  <c r="K108" i="20"/>
  <c r="L107" i="20"/>
  <c r="K107" i="20"/>
  <c r="L106" i="20"/>
  <c r="K106" i="20"/>
  <c r="L105" i="20"/>
  <c r="K105" i="20"/>
  <c r="L104" i="20"/>
  <c r="K104" i="20"/>
  <c r="L103" i="20"/>
  <c r="K103" i="20"/>
  <c r="L102" i="20"/>
  <c r="K102" i="20"/>
  <c r="L101" i="20"/>
  <c r="K101" i="20"/>
  <c r="L100" i="20"/>
  <c r="K100" i="20"/>
  <c r="L99" i="20"/>
  <c r="K99" i="20"/>
  <c r="L98" i="20"/>
  <c r="K98" i="20"/>
  <c r="L97" i="20"/>
  <c r="K97" i="20"/>
  <c r="L96" i="20"/>
  <c r="K96" i="20"/>
  <c r="L95" i="20"/>
  <c r="K95" i="20"/>
  <c r="L94" i="20"/>
  <c r="K94" i="20"/>
  <c r="L93" i="20"/>
  <c r="K93" i="20"/>
  <c r="L92" i="20"/>
  <c r="K92" i="20"/>
  <c r="L91" i="20"/>
  <c r="K91" i="20"/>
  <c r="L90" i="20"/>
  <c r="K90" i="20"/>
  <c r="L89" i="20"/>
  <c r="K89" i="20"/>
  <c r="L88" i="20"/>
  <c r="K88" i="20"/>
  <c r="L87" i="20"/>
  <c r="K87" i="20"/>
  <c r="L86" i="20"/>
  <c r="K86" i="20"/>
  <c r="L85" i="20"/>
  <c r="K85" i="20"/>
  <c r="L84" i="20"/>
  <c r="K84" i="20"/>
  <c r="L83" i="20"/>
  <c r="K83" i="20"/>
  <c r="L82" i="20"/>
  <c r="K82" i="20"/>
  <c r="L81" i="20"/>
  <c r="K81" i="20"/>
  <c r="L80" i="20"/>
  <c r="K80" i="20"/>
  <c r="L79" i="20"/>
  <c r="K79" i="20"/>
  <c r="L78" i="20"/>
  <c r="K78" i="20"/>
  <c r="L77" i="20"/>
  <c r="K77" i="20"/>
  <c r="L76" i="20"/>
  <c r="K76" i="20"/>
  <c r="L75" i="20"/>
  <c r="K75" i="20"/>
  <c r="L74" i="20"/>
  <c r="K74" i="20"/>
  <c r="L73" i="20"/>
  <c r="K73" i="20"/>
  <c r="L72" i="20"/>
  <c r="K72" i="20"/>
  <c r="L71" i="20"/>
  <c r="K71" i="20"/>
  <c r="L70" i="20"/>
  <c r="K70" i="20"/>
  <c r="L69" i="20"/>
  <c r="K69" i="20"/>
  <c r="L68" i="20"/>
  <c r="K68" i="20"/>
  <c r="L67" i="20"/>
  <c r="K67" i="20"/>
  <c r="L66" i="20"/>
  <c r="K66" i="20"/>
  <c r="L65" i="20"/>
  <c r="K65" i="20"/>
  <c r="L64" i="20"/>
  <c r="K64" i="20"/>
  <c r="L63" i="20"/>
  <c r="K63" i="20"/>
  <c r="L62" i="20"/>
  <c r="K62" i="20"/>
  <c r="L61" i="20"/>
  <c r="K61" i="20"/>
  <c r="L60" i="20"/>
  <c r="K60" i="20"/>
  <c r="L59" i="20"/>
  <c r="K59" i="20"/>
  <c r="L58" i="20"/>
  <c r="K58" i="20"/>
  <c r="L57" i="20"/>
  <c r="K57" i="20"/>
  <c r="L56" i="20"/>
  <c r="K56" i="20"/>
  <c r="L55" i="20"/>
  <c r="K55" i="20"/>
  <c r="L54" i="20"/>
  <c r="K54" i="20"/>
  <c r="L53" i="20"/>
  <c r="K53" i="20"/>
  <c r="L52" i="20"/>
  <c r="K52" i="20"/>
  <c r="L51" i="20"/>
  <c r="K51" i="20"/>
  <c r="L50" i="20"/>
  <c r="K50" i="20"/>
  <c r="L17" i="20"/>
  <c r="K17" i="20"/>
  <c r="L16" i="20"/>
  <c r="K16" i="20"/>
  <c r="L25" i="20"/>
  <c r="K25" i="20"/>
  <c r="L39" i="20"/>
  <c r="K39" i="20"/>
  <c r="L48" i="20"/>
  <c r="K48" i="20"/>
  <c r="L43" i="20"/>
  <c r="K43" i="20"/>
  <c r="L11" i="20"/>
  <c r="K11" i="20"/>
  <c r="L12" i="20"/>
  <c r="K12" i="20"/>
  <c r="L40" i="20"/>
  <c r="K40" i="20"/>
  <c r="L10" i="20"/>
  <c r="K10" i="20"/>
  <c r="L20" i="20"/>
  <c r="K20" i="20"/>
  <c r="L21" i="20"/>
  <c r="K21" i="20"/>
  <c r="L26" i="20"/>
  <c r="K26" i="20"/>
  <c r="L33" i="20"/>
  <c r="K33" i="20"/>
  <c r="L24" i="20"/>
  <c r="K24" i="20"/>
  <c r="L27" i="20"/>
  <c r="K27" i="20"/>
  <c r="L6" i="20"/>
  <c r="K6" i="20"/>
  <c r="L7" i="20"/>
  <c r="K7" i="20"/>
  <c r="L31" i="20"/>
  <c r="K31" i="20"/>
  <c r="L14" i="20"/>
  <c r="K14" i="20"/>
  <c r="L42" i="20"/>
  <c r="K42" i="20"/>
  <c r="L36" i="20"/>
  <c r="K36" i="20"/>
  <c r="L32" i="20"/>
  <c r="K32" i="20"/>
  <c r="L38" i="20"/>
  <c r="K38" i="20"/>
  <c r="L19" i="20"/>
  <c r="K19" i="20"/>
  <c r="L46" i="20"/>
  <c r="K46" i="20"/>
  <c r="L15" i="20"/>
  <c r="K15" i="20"/>
  <c r="L37" i="20"/>
  <c r="K37" i="20"/>
  <c r="L23" i="20"/>
  <c r="K23" i="20"/>
  <c r="L49" i="20"/>
  <c r="K49" i="20"/>
  <c r="L5" i="20"/>
  <c r="K5" i="20"/>
  <c r="L9" i="20"/>
  <c r="K9" i="20"/>
  <c r="L30" i="20"/>
  <c r="K30" i="20"/>
  <c r="L29" i="20"/>
  <c r="K29" i="20"/>
  <c r="L8" i="20"/>
  <c r="K8" i="20"/>
  <c r="L44" i="20"/>
  <c r="K44" i="20"/>
  <c r="L34" i="20"/>
  <c r="K34" i="20"/>
  <c r="L13" i="20"/>
  <c r="K13" i="20"/>
  <c r="L35" i="20"/>
  <c r="K35" i="20"/>
  <c r="L45" i="20"/>
  <c r="K45" i="20"/>
  <c r="L41" i="20"/>
  <c r="K41" i="20"/>
  <c r="L18" i="20"/>
  <c r="K18" i="20"/>
  <c r="L22" i="20"/>
  <c r="K22" i="20"/>
  <c r="L28" i="20"/>
  <c r="K28" i="20"/>
  <c r="L47" i="20"/>
  <c r="K47" i="20"/>
  <c r="N4" i="20"/>
  <c r="L4" i="20"/>
  <c r="K4" i="20"/>
  <c r="F3" i="20"/>
  <c r="N3" i="20"/>
  <c r="N51" i="23"/>
  <c r="P51" i="23"/>
  <c r="H51" i="23"/>
  <c r="Q51" i="23"/>
  <c r="I51" i="23"/>
  <c r="L51" i="23"/>
  <c r="M51" i="23"/>
  <c r="O51" i="23"/>
  <c r="R51" i="23"/>
  <c r="J51" i="23"/>
  <c r="S51" i="23"/>
  <c r="K51" i="23"/>
  <c r="T51" i="23"/>
  <c r="D51" i="23"/>
  <c r="F51" i="23"/>
  <c r="G51" i="23"/>
  <c r="G52" i="23"/>
  <c r="P52" i="23"/>
  <c r="H52" i="23"/>
  <c r="Q52" i="23"/>
  <c r="I52" i="23"/>
  <c r="L52" i="23"/>
  <c r="O52" i="23"/>
  <c r="R52" i="23"/>
  <c r="J52" i="23"/>
  <c r="S52" i="23"/>
  <c r="K52" i="23"/>
  <c r="T52" i="23"/>
  <c r="M52" i="23"/>
  <c r="D52" i="23"/>
  <c r="N52" i="23"/>
  <c r="F52" i="23"/>
  <c r="N53" i="23"/>
  <c r="F53" i="23"/>
  <c r="G53" i="23"/>
  <c r="P53" i="23"/>
  <c r="H53" i="23"/>
  <c r="Q53" i="23"/>
  <c r="I53" i="23"/>
  <c r="T53" i="23"/>
  <c r="L53" i="23"/>
  <c r="D53" i="23"/>
  <c r="O53" i="23"/>
  <c r="R53" i="23"/>
  <c r="J53" i="23"/>
  <c r="S53" i="23"/>
  <c r="K53" i="23"/>
  <c r="M53" i="23"/>
  <c r="M20" i="23"/>
  <c r="D20" i="23"/>
  <c r="H20" i="23"/>
  <c r="Q20" i="23"/>
  <c r="J20" i="23"/>
  <c r="S20" i="23"/>
  <c r="L20" i="23"/>
  <c r="N20" i="23"/>
  <c r="F20" i="23"/>
  <c r="K20" i="23"/>
  <c r="O20" i="23"/>
  <c r="G20" i="23"/>
  <c r="P20" i="23"/>
  <c r="I20" i="23"/>
  <c r="R20" i="23"/>
  <c r="T20" i="23"/>
  <c r="M44" i="23"/>
  <c r="D44" i="23"/>
  <c r="P44" i="23"/>
  <c r="Q44" i="23"/>
  <c r="K44" i="23"/>
  <c r="L44" i="23"/>
  <c r="N44" i="23"/>
  <c r="F44" i="23"/>
  <c r="J44" i="23"/>
  <c r="S44" i="23"/>
  <c r="O44" i="23"/>
  <c r="G44" i="23"/>
  <c r="H44" i="23"/>
  <c r="I44" i="23"/>
  <c r="R44" i="23"/>
  <c r="T44" i="23"/>
  <c r="M27" i="23"/>
  <c r="D27" i="23"/>
  <c r="H27" i="23"/>
  <c r="R27" i="23"/>
  <c r="T27" i="23"/>
  <c r="N27" i="23"/>
  <c r="F27" i="23"/>
  <c r="P27" i="23"/>
  <c r="I27" i="23"/>
  <c r="J27" i="23"/>
  <c r="S27" i="23"/>
  <c r="L27" i="23"/>
  <c r="O27" i="23"/>
  <c r="G27" i="23"/>
  <c r="Q27" i="23"/>
  <c r="K27" i="23"/>
  <c r="M18" i="23"/>
  <c r="D18" i="23"/>
  <c r="P18" i="23"/>
  <c r="R18" i="23"/>
  <c r="T18" i="23"/>
  <c r="N18" i="23"/>
  <c r="F18" i="23"/>
  <c r="H18" i="23"/>
  <c r="I18" i="23"/>
  <c r="J18" i="23"/>
  <c r="S18" i="23"/>
  <c r="L18" i="23"/>
  <c r="O18" i="23"/>
  <c r="G18" i="23"/>
  <c r="Q18" i="23"/>
  <c r="K18" i="23"/>
  <c r="N7" i="23"/>
  <c r="F7" i="23"/>
  <c r="J7" i="23"/>
  <c r="S7" i="23"/>
  <c r="D7" i="23"/>
  <c r="O7" i="23"/>
  <c r="G7" i="23"/>
  <c r="Q7" i="23"/>
  <c r="R7" i="23"/>
  <c r="L7" i="23"/>
  <c r="P7" i="23"/>
  <c r="H7" i="23"/>
  <c r="I7" i="23"/>
  <c r="K7" i="23"/>
  <c r="T7" i="23"/>
  <c r="M7" i="23"/>
  <c r="M23" i="23"/>
  <c r="D23" i="23"/>
  <c r="Q23" i="23"/>
  <c r="J23" i="23"/>
  <c r="S23" i="23"/>
  <c r="L23" i="23"/>
  <c r="N23" i="23"/>
  <c r="F23" i="23"/>
  <c r="H23" i="23"/>
  <c r="K23" i="23"/>
  <c r="O23" i="23"/>
  <c r="G23" i="23"/>
  <c r="P23" i="23"/>
  <c r="I23" i="23"/>
  <c r="R23" i="23"/>
  <c r="T23" i="23"/>
  <c r="M39" i="23"/>
  <c r="D39" i="23"/>
  <c r="H39" i="23"/>
  <c r="J39" i="23"/>
  <c r="T39" i="23"/>
  <c r="N39" i="23"/>
  <c r="F39" i="23"/>
  <c r="I39" i="23"/>
  <c r="R39" i="23"/>
  <c r="S39" i="23"/>
  <c r="L39" i="23"/>
  <c r="O39" i="23"/>
  <c r="G39" i="23"/>
  <c r="P39" i="23"/>
  <c r="Q39" i="23"/>
  <c r="K39" i="23"/>
  <c r="N6" i="23"/>
  <c r="F6" i="23"/>
  <c r="Q6" i="23"/>
  <c r="K6" i="23"/>
  <c r="T6" i="23"/>
  <c r="O6" i="23"/>
  <c r="G6" i="23"/>
  <c r="I6" i="23"/>
  <c r="J6" i="23"/>
  <c r="S6" i="23"/>
  <c r="M6" i="23"/>
  <c r="P6" i="23"/>
  <c r="H6" i="23"/>
  <c r="R6" i="23"/>
  <c r="L6" i="23"/>
  <c r="D6" i="23"/>
  <c r="M14" i="23"/>
  <c r="D14" i="23"/>
  <c r="H14" i="23"/>
  <c r="Q14" i="23"/>
  <c r="S14" i="23"/>
  <c r="L14" i="23"/>
  <c r="N14" i="23"/>
  <c r="F14" i="23"/>
  <c r="R14" i="23"/>
  <c r="K14" i="23"/>
  <c r="O14" i="23"/>
  <c r="G14" i="23"/>
  <c r="P14" i="23"/>
  <c r="I14" i="23"/>
  <c r="J14" i="23"/>
  <c r="T14" i="23"/>
  <c r="M22" i="23"/>
  <c r="D22" i="23"/>
  <c r="P22" i="23"/>
  <c r="I22" i="23"/>
  <c r="K22" i="23"/>
  <c r="N22" i="23"/>
  <c r="F22" i="23"/>
  <c r="Q22" i="23"/>
  <c r="R22" i="23"/>
  <c r="T22" i="23"/>
  <c r="O22" i="23"/>
  <c r="G22" i="23"/>
  <c r="H22" i="23"/>
  <c r="J22" i="23"/>
  <c r="S22" i="23"/>
  <c r="L22" i="23"/>
  <c r="M30" i="23"/>
  <c r="D30" i="23"/>
  <c r="R30" i="23"/>
  <c r="T30" i="23"/>
  <c r="N30" i="23"/>
  <c r="F30" i="23"/>
  <c r="P30" i="23"/>
  <c r="I30" i="23"/>
  <c r="J30" i="23"/>
  <c r="S30" i="23"/>
  <c r="L30" i="23"/>
  <c r="O30" i="23"/>
  <c r="G30" i="23"/>
  <c r="H30" i="23"/>
  <c r="Q30" i="23"/>
  <c r="K30" i="23"/>
  <c r="M38" i="23"/>
  <c r="D38" i="23"/>
  <c r="H38" i="23"/>
  <c r="Q38" i="23"/>
  <c r="S38" i="23"/>
  <c r="L38" i="23"/>
  <c r="N38" i="23"/>
  <c r="F38" i="23"/>
  <c r="J38" i="23"/>
  <c r="K38" i="23"/>
  <c r="O38" i="23"/>
  <c r="G38" i="23"/>
  <c r="P38" i="23"/>
  <c r="I38" i="23"/>
  <c r="R38" i="23"/>
  <c r="T38" i="23"/>
  <c r="M46" i="23"/>
  <c r="D46" i="23"/>
  <c r="P46" i="23"/>
  <c r="I46" i="23"/>
  <c r="R46" i="23"/>
  <c r="S46" i="23"/>
  <c r="N46" i="23"/>
  <c r="F46" i="23"/>
  <c r="Q46" i="23"/>
  <c r="J46" i="23"/>
  <c r="K46" i="23"/>
  <c r="T46" i="23"/>
  <c r="O46" i="23"/>
  <c r="G46" i="23"/>
  <c r="H46" i="23"/>
  <c r="L46" i="23"/>
  <c r="M13" i="23"/>
  <c r="D13" i="23"/>
  <c r="I13" i="23"/>
  <c r="K13" i="23"/>
  <c r="N13" i="23"/>
  <c r="F13" i="23"/>
  <c r="P13" i="23"/>
  <c r="Q13" i="23"/>
  <c r="R13" i="23"/>
  <c r="T13" i="23"/>
  <c r="O13" i="23"/>
  <c r="G13" i="23"/>
  <c r="H13" i="23"/>
  <c r="J13" i="23"/>
  <c r="S13" i="23"/>
  <c r="L13" i="23"/>
  <c r="M21" i="23"/>
  <c r="D21" i="23"/>
  <c r="P21" i="23"/>
  <c r="R21" i="23"/>
  <c r="T21" i="23"/>
  <c r="N21" i="23"/>
  <c r="F21" i="23"/>
  <c r="H21" i="23"/>
  <c r="I21" i="23"/>
  <c r="J21" i="23"/>
  <c r="S21" i="23"/>
  <c r="L21" i="23"/>
  <c r="O21" i="23"/>
  <c r="G21" i="23"/>
  <c r="Q21" i="23"/>
  <c r="K21" i="23"/>
  <c r="M37" i="23"/>
  <c r="D37" i="23"/>
  <c r="I37" i="23"/>
  <c r="R37" i="23"/>
  <c r="K37" i="23"/>
  <c r="N37" i="23"/>
  <c r="F37" i="23"/>
  <c r="P37" i="23"/>
  <c r="Q37" i="23"/>
  <c r="T37" i="23"/>
  <c r="O37" i="23"/>
  <c r="G37" i="23"/>
  <c r="H37" i="23"/>
  <c r="J37" i="23"/>
  <c r="S37" i="23"/>
  <c r="L37" i="23"/>
  <c r="N11" i="23"/>
  <c r="F11" i="23"/>
  <c r="I11" i="23"/>
  <c r="R11" i="23"/>
  <c r="T11" i="23"/>
  <c r="M11" i="23"/>
  <c r="O11" i="23"/>
  <c r="G11" i="23"/>
  <c r="S11" i="23"/>
  <c r="L11" i="23"/>
  <c r="D11" i="23"/>
  <c r="P11" i="23"/>
  <c r="H11" i="23"/>
  <c r="Q11" i="23"/>
  <c r="J11" i="23"/>
  <c r="K11" i="23"/>
  <c r="M35" i="23"/>
  <c r="D35" i="23"/>
  <c r="P35" i="23"/>
  <c r="Q35" i="23"/>
  <c r="J35" i="23"/>
  <c r="S35" i="23"/>
  <c r="L35" i="23"/>
  <c r="N35" i="23"/>
  <c r="F35" i="23"/>
  <c r="H35" i="23"/>
  <c r="K35" i="23"/>
  <c r="O35" i="23"/>
  <c r="G35" i="23"/>
  <c r="I35" i="23"/>
  <c r="R35" i="23"/>
  <c r="T35" i="23"/>
  <c r="N10" i="23"/>
  <c r="F10" i="23"/>
  <c r="J10" i="23"/>
  <c r="K10" i="23"/>
  <c r="D10" i="23"/>
  <c r="O10" i="23"/>
  <c r="G10" i="23"/>
  <c r="Q10" i="23"/>
  <c r="R10" i="23"/>
  <c r="S10" i="23"/>
  <c r="L10" i="23"/>
  <c r="P10" i="23"/>
  <c r="H10" i="23"/>
  <c r="I10" i="23"/>
  <c r="T10" i="23"/>
  <c r="M10" i="23"/>
  <c r="M26" i="23"/>
  <c r="D26" i="23"/>
  <c r="Q26" i="23"/>
  <c r="J26" i="23"/>
  <c r="S26" i="23"/>
  <c r="L26" i="23"/>
  <c r="N26" i="23"/>
  <c r="F26" i="23"/>
  <c r="H26" i="23"/>
  <c r="K26" i="23"/>
  <c r="O26" i="23"/>
  <c r="G26" i="23"/>
  <c r="P26" i="23"/>
  <c r="I26" i="23"/>
  <c r="R26" i="23"/>
  <c r="T26" i="23"/>
  <c r="M42" i="23"/>
  <c r="D42" i="23"/>
  <c r="P42" i="23"/>
  <c r="J42" i="23"/>
  <c r="S42" i="23"/>
  <c r="T42" i="23"/>
  <c r="N42" i="23"/>
  <c r="F42" i="23"/>
  <c r="H42" i="23"/>
  <c r="I42" i="23"/>
  <c r="R42" i="23"/>
  <c r="K42" i="23"/>
  <c r="L42" i="23"/>
  <c r="O42" i="23"/>
  <c r="G42" i="23"/>
  <c r="Q42" i="23"/>
  <c r="M50" i="23"/>
  <c r="D50" i="23"/>
  <c r="H50" i="23"/>
  <c r="S50" i="23"/>
  <c r="T50" i="23"/>
  <c r="N50" i="23"/>
  <c r="F50" i="23"/>
  <c r="K50" i="23"/>
  <c r="O50" i="23"/>
  <c r="G50" i="23"/>
  <c r="P50" i="23"/>
  <c r="Q50" i="23"/>
  <c r="I50" i="23"/>
  <c r="R50" i="23"/>
  <c r="J50" i="23"/>
  <c r="L50" i="23"/>
  <c r="N9" i="23"/>
  <c r="F9" i="23"/>
  <c r="Q9" i="23"/>
  <c r="T9" i="23"/>
  <c r="O9" i="23"/>
  <c r="G9" i="23"/>
  <c r="I9" i="23"/>
  <c r="J9" i="23"/>
  <c r="S9" i="23"/>
  <c r="M9" i="23"/>
  <c r="P9" i="23"/>
  <c r="H9" i="23"/>
  <c r="R9" i="23"/>
  <c r="K9" i="23"/>
  <c r="L9" i="23"/>
  <c r="D9" i="23"/>
  <c r="M17" i="23"/>
  <c r="D17" i="23"/>
  <c r="H17" i="23"/>
  <c r="Q17" i="23"/>
  <c r="J17" i="23"/>
  <c r="S17" i="23"/>
  <c r="L17" i="23"/>
  <c r="N17" i="23"/>
  <c r="F17" i="23"/>
  <c r="K17" i="23"/>
  <c r="O17" i="23"/>
  <c r="G17" i="23"/>
  <c r="P17" i="23"/>
  <c r="I17" i="23"/>
  <c r="R17" i="23"/>
  <c r="T17" i="23"/>
  <c r="M25" i="23"/>
  <c r="D25" i="23"/>
  <c r="P25" i="23"/>
  <c r="I25" i="23"/>
  <c r="K25" i="23"/>
  <c r="N25" i="23"/>
  <c r="F25" i="23"/>
  <c r="Q25" i="23"/>
  <c r="R25" i="23"/>
  <c r="T25" i="23"/>
  <c r="O25" i="23"/>
  <c r="G25" i="23"/>
  <c r="H25" i="23"/>
  <c r="J25" i="23"/>
  <c r="S25" i="23"/>
  <c r="L25" i="23"/>
  <c r="M33" i="23"/>
  <c r="D33" i="23"/>
  <c r="R33" i="23"/>
  <c r="T33" i="23"/>
  <c r="N33" i="23"/>
  <c r="F33" i="23"/>
  <c r="P33" i="23"/>
  <c r="I33" i="23"/>
  <c r="J33" i="23"/>
  <c r="S33" i="23"/>
  <c r="L33" i="23"/>
  <c r="O33" i="23"/>
  <c r="G33" i="23"/>
  <c r="H33" i="23"/>
  <c r="Q33" i="23"/>
  <c r="K33" i="23"/>
  <c r="M41" i="23"/>
  <c r="D41" i="23"/>
  <c r="H41" i="23"/>
  <c r="Q41" i="23"/>
  <c r="S41" i="23"/>
  <c r="L41" i="23"/>
  <c r="N41" i="23"/>
  <c r="F41" i="23"/>
  <c r="J41" i="23"/>
  <c r="O41" i="23"/>
  <c r="G41" i="23"/>
  <c r="P41" i="23"/>
  <c r="I41" i="23"/>
  <c r="R41" i="23"/>
  <c r="K41" i="23"/>
  <c r="T41" i="23"/>
  <c r="M49" i="23"/>
  <c r="D49" i="23"/>
  <c r="H49" i="23"/>
  <c r="R49" i="23"/>
  <c r="S49" i="23"/>
  <c r="K49" i="23"/>
  <c r="T49" i="23"/>
  <c r="L49" i="23"/>
  <c r="N49" i="23"/>
  <c r="F49" i="23"/>
  <c r="O49" i="23"/>
  <c r="G49" i="23"/>
  <c r="P49" i="23"/>
  <c r="Q49" i="23"/>
  <c r="I49" i="23"/>
  <c r="J49" i="23"/>
  <c r="M12" i="23"/>
  <c r="P12" i="23"/>
  <c r="T12" i="23"/>
  <c r="N12" i="23"/>
  <c r="F12" i="23"/>
  <c r="H12" i="23"/>
  <c r="I12" i="23"/>
  <c r="R12" i="23"/>
  <c r="S12" i="23"/>
  <c r="L12" i="23"/>
  <c r="O12" i="23"/>
  <c r="G12" i="23"/>
  <c r="Q12" i="23"/>
  <c r="J12" i="23"/>
  <c r="K12" i="23"/>
  <c r="D12" i="23"/>
  <c r="M36" i="23"/>
  <c r="D36" i="23"/>
  <c r="P36" i="23"/>
  <c r="R36" i="23"/>
  <c r="T36" i="23"/>
  <c r="N36" i="23"/>
  <c r="F36" i="23"/>
  <c r="I36" i="23"/>
  <c r="J36" i="23"/>
  <c r="S36" i="23"/>
  <c r="L36" i="23"/>
  <c r="O36" i="23"/>
  <c r="G36" i="23"/>
  <c r="H36" i="23"/>
  <c r="Q36" i="23"/>
  <c r="K36" i="23"/>
  <c r="M19" i="23"/>
  <c r="D19" i="23"/>
  <c r="I19" i="23"/>
  <c r="K19" i="23"/>
  <c r="N19" i="23"/>
  <c r="F19" i="23"/>
  <c r="P19" i="23"/>
  <c r="Q19" i="23"/>
  <c r="R19" i="23"/>
  <c r="T19" i="23"/>
  <c r="O19" i="23"/>
  <c r="G19" i="23"/>
  <c r="H19" i="23"/>
  <c r="J19" i="23"/>
  <c r="S19" i="23"/>
  <c r="L19" i="23"/>
  <c r="M34" i="23"/>
  <c r="D34" i="23"/>
  <c r="H34" i="23"/>
  <c r="I34" i="23"/>
  <c r="K34" i="23"/>
  <c r="N34" i="23"/>
  <c r="F34" i="23"/>
  <c r="Q34" i="23"/>
  <c r="R34" i="23"/>
  <c r="T34" i="23"/>
  <c r="O34" i="23"/>
  <c r="G34" i="23"/>
  <c r="P34" i="23"/>
  <c r="J34" i="23"/>
  <c r="S34" i="23"/>
  <c r="L34" i="23"/>
  <c r="N8" i="23"/>
  <c r="F8" i="23"/>
  <c r="I8" i="23"/>
  <c r="R8" i="23"/>
  <c r="L8" i="23"/>
  <c r="M8" i="23"/>
  <c r="O8" i="23"/>
  <c r="G8" i="23"/>
  <c r="S8" i="23"/>
  <c r="K8" i="23"/>
  <c r="T8" i="23"/>
  <c r="D8" i="23"/>
  <c r="P8" i="23"/>
  <c r="H8" i="23"/>
  <c r="Q8" i="23"/>
  <c r="J8" i="23"/>
  <c r="M16" i="23"/>
  <c r="D16" i="23"/>
  <c r="I16" i="23"/>
  <c r="K16" i="23"/>
  <c r="N16" i="23"/>
  <c r="F16" i="23"/>
  <c r="P16" i="23"/>
  <c r="Q16" i="23"/>
  <c r="R16" i="23"/>
  <c r="T16" i="23"/>
  <c r="O16" i="23"/>
  <c r="G16" i="23"/>
  <c r="H16" i="23"/>
  <c r="J16" i="23"/>
  <c r="S16" i="23"/>
  <c r="L16" i="23"/>
  <c r="M24" i="23"/>
  <c r="D24" i="23"/>
  <c r="H24" i="23"/>
  <c r="R24" i="23"/>
  <c r="T24" i="23"/>
  <c r="N24" i="23"/>
  <c r="F24" i="23"/>
  <c r="P24" i="23"/>
  <c r="I24" i="23"/>
  <c r="J24" i="23"/>
  <c r="S24" i="23"/>
  <c r="L24" i="23"/>
  <c r="O24" i="23"/>
  <c r="G24" i="23"/>
  <c r="Q24" i="23"/>
  <c r="K24" i="23"/>
  <c r="M32" i="23"/>
  <c r="D32" i="23"/>
  <c r="P32" i="23"/>
  <c r="Q32" i="23"/>
  <c r="J32" i="23"/>
  <c r="S32" i="23"/>
  <c r="L32" i="23"/>
  <c r="N32" i="23"/>
  <c r="F32" i="23"/>
  <c r="H32" i="23"/>
  <c r="K32" i="23"/>
  <c r="O32" i="23"/>
  <c r="G32" i="23"/>
  <c r="I32" i="23"/>
  <c r="R32" i="23"/>
  <c r="T32" i="23"/>
  <c r="M40" i="23"/>
  <c r="D40" i="23"/>
  <c r="H40" i="23"/>
  <c r="I40" i="23"/>
  <c r="R40" i="23"/>
  <c r="K40" i="23"/>
  <c r="N40" i="23"/>
  <c r="F40" i="23"/>
  <c r="Q40" i="23"/>
  <c r="S40" i="23"/>
  <c r="T40" i="23"/>
  <c r="O40" i="23"/>
  <c r="G40" i="23"/>
  <c r="P40" i="23"/>
  <c r="J40" i="23"/>
  <c r="L40" i="23"/>
  <c r="M48" i="23"/>
  <c r="D48" i="23"/>
  <c r="H48" i="23"/>
  <c r="K48" i="23"/>
  <c r="L48" i="23"/>
  <c r="N48" i="23"/>
  <c r="F48" i="23"/>
  <c r="Q48" i="23"/>
  <c r="R48" i="23"/>
  <c r="S48" i="23"/>
  <c r="T48" i="23"/>
  <c r="O48" i="23"/>
  <c r="G48" i="23"/>
  <c r="P48" i="23"/>
  <c r="I48" i="23"/>
  <c r="J48" i="23"/>
  <c r="N5" i="23"/>
  <c r="F5" i="23"/>
  <c r="I5" i="23"/>
  <c r="R5" i="23"/>
  <c r="L5" i="23"/>
  <c r="M5" i="23"/>
  <c r="O5" i="23"/>
  <c r="G5" i="23"/>
  <c r="S5" i="23"/>
  <c r="T5" i="23"/>
  <c r="D5" i="23"/>
  <c r="P5" i="23"/>
  <c r="H5" i="23"/>
  <c r="Q5" i="23"/>
  <c r="J5" i="23"/>
  <c r="K5" i="23"/>
  <c r="M29" i="23"/>
  <c r="D29" i="23"/>
  <c r="P29" i="23"/>
  <c r="Q29" i="23"/>
  <c r="J29" i="23"/>
  <c r="S29" i="23"/>
  <c r="L29" i="23"/>
  <c r="N29" i="23"/>
  <c r="F29" i="23"/>
  <c r="H29" i="23"/>
  <c r="K29" i="23"/>
  <c r="O29" i="23"/>
  <c r="G29" i="23"/>
  <c r="I29" i="23"/>
  <c r="R29" i="23"/>
  <c r="T29" i="23"/>
  <c r="M45" i="23"/>
  <c r="D45" i="23"/>
  <c r="P45" i="23"/>
  <c r="J45" i="23"/>
  <c r="K45" i="23"/>
  <c r="T45" i="23"/>
  <c r="N45" i="23"/>
  <c r="F45" i="23"/>
  <c r="I45" i="23"/>
  <c r="L45" i="23"/>
  <c r="O45" i="23"/>
  <c r="G45" i="23"/>
  <c r="H45" i="23"/>
  <c r="Q45" i="23"/>
  <c r="R45" i="23"/>
  <c r="S45" i="23"/>
  <c r="M28" i="23"/>
  <c r="D28" i="23"/>
  <c r="H28" i="23"/>
  <c r="I28" i="23"/>
  <c r="K28" i="23"/>
  <c r="N28" i="23"/>
  <c r="F28" i="23"/>
  <c r="Q28" i="23"/>
  <c r="R28" i="23"/>
  <c r="T28" i="23"/>
  <c r="O28" i="23"/>
  <c r="G28" i="23"/>
  <c r="P28" i="23"/>
  <c r="J28" i="23"/>
  <c r="S28" i="23"/>
  <c r="L28" i="23"/>
  <c r="M43" i="23"/>
  <c r="D43" i="23"/>
  <c r="P43" i="23"/>
  <c r="I43" i="23"/>
  <c r="R43" i="23"/>
  <c r="N43" i="23"/>
  <c r="F43" i="23"/>
  <c r="Q43" i="23"/>
  <c r="S43" i="23"/>
  <c r="T43" i="23"/>
  <c r="O43" i="23"/>
  <c r="G43" i="23"/>
  <c r="H43" i="23"/>
  <c r="J43" i="23"/>
  <c r="K43" i="23"/>
  <c r="L43" i="23"/>
  <c r="M15" i="23"/>
  <c r="D15" i="23"/>
  <c r="P15" i="23"/>
  <c r="T15" i="23"/>
  <c r="N15" i="23"/>
  <c r="F15" i="23"/>
  <c r="H15" i="23"/>
  <c r="I15" i="23"/>
  <c r="R15" i="23"/>
  <c r="S15" i="23"/>
  <c r="L15" i="23"/>
  <c r="O15" i="23"/>
  <c r="G15" i="23"/>
  <c r="Q15" i="23"/>
  <c r="J15" i="23"/>
  <c r="K15" i="23"/>
  <c r="M31" i="23"/>
  <c r="D31" i="23"/>
  <c r="H31" i="23"/>
  <c r="I31" i="23"/>
  <c r="K31" i="23"/>
  <c r="N31" i="23"/>
  <c r="F31" i="23"/>
  <c r="Q31" i="23"/>
  <c r="R31" i="23"/>
  <c r="T31" i="23"/>
  <c r="O31" i="23"/>
  <c r="G31" i="23"/>
  <c r="P31" i="23"/>
  <c r="J31" i="23"/>
  <c r="S31" i="23"/>
  <c r="L31" i="23"/>
  <c r="M47" i="23"/>
  <c r="D47" i="23"/>
  <c r="Q47" i="23"/>
  <c r="R47" i="23"/>
  <c r="S47" i="23"/>
  <c r="L47" i="23"/>
  <c r="N47" i="23"/>
  <c r="F47" i="23"/>
  <c r="K47" i="23"/>
  <c r="O47" i="23"/>
  <c r="G47" i="23"/>
  <c r="P47" i="23"/>
  <c r="H47" i="23"/>
  <c r="I47" i="23"/>
  <c r="J47" i="23"/>
  <c r="T47" i="23"/>
  <c r="H32" i="48"/>
  <c r="H24" i="48"/>
  <c r="H36" i="48"/>
  <c r="H38" i="48"/>
  <c r="H30" i="48"/>
  <c r="H28" i="48"/>
  <c r="H27" i="48"/>
  <c r="H31" i="48"/>
  <c r="H35" i="48"/>
  <c r="H34" i="48"/>
  <c r="H25" i="48"/>
  <c r="H33" i="48"/>
  <c r="H26" i="48"/>
  <c r="H29" i="48"/>
  <c r="H37" i="48"/>
  <c r="A2" i="20"/>
  <c r="A1" i="20"/>
  <c r="Z4" i="44" s="1"/>
  <c r="L200" i="27"/>
  <c r="K200" i="27"/>
  <c r="L199" i="27"/>
  <c r="K199" i="27"/>
  <c r="L198" i="27"/>
  <c r="K198" i="27"/>
  <c r="L197" i="27"/>
  <c r="K197" i="27"/>
  <c r="L196" i="27"/>
  <c r="K196" i="27"/>
  <c r="L195" i="27"/>
  <c r="K195" i="27"/>
  <c r="L194" i="27"/>
  <c r="K194" i="27"/>
  <c r="L193" i="27"/>
  <c r="K193" i="27"/>
  <c r="L192" i="27"/>
  <c r="K192" i="27"/>
  <c r="L191" i="27"/>
  <c r="K191" i="27"/>
  <c r="L190" i="27"/>
  <c r="K190" i="27"/>
  <c r="L189" i="27"/>
  <c r="K189" i="27"/>
  <c r="L188" i="27"/>
  <c r="K188" i="27"/>
  <c r="L187" i="27"/>
  <c r="K187" i="27"/>
  <c r="L186" i="27"/>
  <c r="K186" i="27"/>
  <c r="L185" i="27"/>
  <c r="K185" i="27"/>
  <c r="L184" i="27"/>
  <c r="K184" i="27"/>
  <c r="L183" i="27"/>
  <c r="K183" i="27"/>
  <c r="L182" i="27"/>
  <c r="K182" i="27"/>
  <c r="L181" i="27"/>
  <c r="K181" i="27"/>
  <c r="L180" i="27"/>
  <c r="K180" i="27"/>
  <c r="L179" i="27"/>
  <c r="K179" i="27"/>
  <c r="L178" i="27"/>
  <c r="K178" i="27"/>
  <c r="L177" i="27"/>
  <c r="K177" i="27"/>
  <c r="L176" i="27"/>
  <c r="K176" i="27"/>
  <c r="L175" i="27"/>
  <c r="K175" i="27"/>
  <c r="L174" i="27"/>
  <c r="K174" i="27"/>
  <c r="L173" i="27"/>
  <c r="K173" i="27"/>
  <c r="L172" i="27"/>
  <c r="K172" i="27"/>
  <c r="L171" i="27"/>
  <c r="K171" i="27"/>
  <c r="L170" i="27"/>
  <c r="K170" i="27"/>
  <c r="L169" i="27"/>
  <c r="K169" i="27"/>
  <c r="L168" i="27"/>
  <c r="K168" i="27"/>
  <c r="L167" i="27"/>
  <c r="K167" i="27"/>
  <c r="L166" i="27"/>
  <c r="K166" i="27"/>
  <c r="L165" i="27"/>
  <c r="K165" i="27"/>
  <c r="L164" i="27"/>
  <c r="K164" i="27"/>
  <c r="L163" i="27"/>
  <c r="K163" i="27"/>
  <c r="L162" i="27"/>
  <c r="K162" i="27"/>
  <c r="L161" i="27"/>
  <c r="K161" i="27"/>
  <c r="L160" i="27"/>
  <c r="K160" i="27"/>
  <c r="L159" i="27"/>
  <c r="K159" i="27"/>
  <c r="L158" i="27"/>
  <c r="K158" i="27"/>
  <c r="L157" i="27"/>
  <c r="K157" i="27"/>
  <c r="L156" i="27"/>
  <c r="K156" i="27"/>
  <c r="L155" i="27"/>
  <c r="K155" i="27"/>
  <c r="L154" i="27"/>
  <c r="K154" i="27"/>
  <c r="L153" i="27"/>
  <c r="K153" i="27"/>
  <c r="L152" i="27"/>
  <c r="K152" i="27"/>
  <c r="L151" i="27"/>
  <c r="K151" i="27"/>
  <c r="L150" i="27"/>
  <c r="K150" i="27"/>
  <c r="L149" i="27"/>
  <c r="K149" i="27"/>
  <c r="L148" i="27"/>
  <c r="K148" i="27"/>
  <c r="L147" i="27"/>
  <c r="K147" i="27"/>
  <c r="L146" i="27"/>
  <c r="K146" i="27"/>
  <c r="L145" i="27"/>
  <c r="K145" i="27"/>
  <c r="L144" i="27"/>
  <c r="K144" i="27"/>
  <c r="L143" i="27"/>
  <c r="K143" i="27"/>
  <c r="L142" i="27"/>
  <c r="K142" i="27"/>
  <c r="L141" i="27"/>
  <c r="K141" i="27"/>
  <c r="L140" i="27"/>
  <c r="K140" i="27"/>
  <c r="L139" i="27"/>
  <c r="K139" i="27"/>
  <c r="L138" i="27"/>
  <c r="K138" i="27"/>
  <c r="L137" i="27"/>
  <c r="K137" i="27"/>
  <c r="L136" i="27"/>
  <c r="K136" i="27"/>
  <c r="L135" i="27"/>
  <c r="K135" i="27"/>
  <c r="L134" i="27"/>
  <c r="K134" i="27"/>
  <c r="L133" i="27"/>
  <c r="K133" i="27"/>
  <c r="L132" i="27"/>
  <c r="K132" i="27"/>
  <c r="L131" i="27"/>
  <c r="K131" i="27"/>
  <c r="L130" i="27"/>
  <c r="K130" i="27"/>
  <c r="L129" i="27"/>
  <c r="K129" i="27"/>
  <c r="L128" i="27"/>
  <c r="K128" i="27"/>
  <c r="L127" i="27"/>
  <c r="K127" i="27"/>
  <c r="L126" i="27"/>
  <c r="K126" i="27"/>
  <c r="L125" i="27"/>
  <c r="K125" i="27"/>
  <c r="L124" i="27"/>
  <c r="K124" i="27"/>
  <c r="L123" i="27"/>
  <c r="K123" i="27"/>
  <c r="L122" i="27"/>
  <c r="K122" i="27"/>
  <c r="L121" i="27"/>
  <c r="K121" i="27"/>
  <c r="L120" i="27"/>
  <c r="K120" i="27"/>
  <c r="L119" i="27"/>
  <c r="K119" i="27"/>
  <c r="L118" i="27"/>
  <c r="K118" i="27"/>
  <c r="L117" i="27"/>
  <c r="K117" i="27"/>
  <c r="L116" i="27"/>
  <c r="K116" i="27"/>
  <c r="L115" i="27"/>
  <c r="K115" i="27"/>
  <c r="L114" i="27"/>
  <c r="K114" i="27"/>
  <c r="L113" i="27"/>
  <c r="K113" i="27"/>
  <c r="L112" i="27"/>
  <c r="K112" i="27"/>
  <c r="L111" i="27"/>
  <c r="K111" i="27"/>
  <c r="L110" i="27"/>
  <c r="K110" i="27"/>
  <c r="L109" i="27"/>
  <c r="K109" i="27"/>
  <c r="L108" i="27"/>
  <c r="K108" i="27"/>
  <c r="L107" i="27"/>
  <c r="K107" i="27"/>
  <c r="L106" i="27"/>
  <c r="K106" i="27"/>
  <c r="L105" i="27"/>
  <c r="K105" i="27"/>
  <c r="L104" i="27"/>
  <c r="K104" i="27"/>
  <c r="L103" i="27"/>
  <c r="K103" i="27"/>
  <c r="L102" i="27"/>
  <c r="K102" i="27"/>
  <c r="L101" i="27"/>
  <c r="K101" i="27"/>
  <c r="L100" i="27"/>
  <c r="K100" i="27"/>
  <c r="L99" i="27"/>
  <c r="K99" i="27"/>
  <c r="L98" i="27"/>
  <c r="K98" i="27"/>
  <c r="L97" i="27"/>
  <c r="K97" i="27"/>
  <c r="L96" i="27"/>
  <c r="K96" i="27"/>
  <c r="L95" i="27"/>
  <c r="K95" i="27"/>
  <c r="L94" i="27"/>
  <c r="K94" i="27"/>
  <c r="L93" i="27"/>
  <c r="K93" i="27"/>
  <c r="L92" i="27"/>
  <c r="K92" i="27"/>
  <c r="L91" i="27"/>
  <c r="K91" i="27"/>
  <c r="L90" i="27"/>
  <c r="K90" i="27"/>
  <c r="L89" i="27"/>
  <c r="K89" i="27"/>
  <c r="L88" i="27"/>
  <c r="K88" i="27"/>
  <c r="L87" i="27"/>
  <c r="K87" i="27"/>
  <c r="L86" i="27"/>
  <c r="K86" i="27"/>
  <c r="L85" i="27"/>
  <c r="K85" i="27"/>
  <c r="L84" i="27"/>
  <c r="K84" i="27"/>
  <c r="L83" i="27"/>
  <c r="K83" i="27"/>
  <c r="L82" i="27"/>
  <c r="K82" i="27"/>
  <c r="L81" i="27"/>
  <c r="K81" i="27"/>
  <c r="L80" i="27"/>
  <c r="K80" i="27"/>
  <c r="L79" i="27"/>
  <c r="K79" i="27"/>
  <c r="L78" i="27"/>
  <c r="K78" i="27"/>
  <c r="L77" i="27"/>
  <c r="K77" i="27"/>
  <c r="L76" i="27"/>
  <c r="K76" i="27"/>
  <c r="L75" i="27"/>
  <c r="K75" i="27"/>
  <c r="L74" i="27"/>
  <c r="K74" i="27"/>
  <c r="L73" i="27"/>
  <c r="K73" i="27"/>
  <c r="L72" i="27"/>
  <c r="K72" i="27"/>
  <c r="L71" i="27"/>
  <c r="K71" i="27"/>
  <c r="L70" i="27"/>
  <c r="K70" i="27"/>
  <c r="L69" i="27"/>
  <c r="K69" i="27"/>
  <c r="L68" i="27"/>
  <c r="K68" i="27"/>
  <c r="L67" i="27"/>
  <c r="K67" i="27"/>
  <c r="L66" i="27"/>
  <c r="K66" i="27"/>
  <c r="L65" i="27"/>
  <c r="K65" i="27"/>
  <c r="L64" i="27"/>
  <c r="K64" i="27"/>
  <c r="L63" i="27"/>
  <c r="K63" i="27"/>
  <c r="L62" i="27"/>
  <c r="K62" i="27"/>
  <c r="L61" i="27"/>
  <c r="K61" i="27"/>
  <c r="L60" i="27"/>
  <c r="K60" i="27"/>
  <c r="L59" i="27"/>
  <c r="K59" i="27"/>
  <c r="L58" i="27"/>
  <c r="K58" i="27"/>
  <c r="L57" i="27"/>
  <c r="K57" i="27"/>
  <c r="L56" i="27"/>
  <c r="K56" i="27"/>
  <c r="L55" i="27"/>
  <c r="K55" i="27"/>
  <c r="L54" i="27"/>
  <c r="K54" i="27"/>
  <c r="L53" i="27"/>
  <c r="K53" i="27"/>
  <c r="L52" i="27"/>
  <c r="K52" i="27"/>
  <c r="L51" i="27"/>
  <c r="K51" i="27"/>
  <c r="L50" i="27"/>
  <c r="K50" i="27"/>
  <c r="L45" i="27"/>
  <c r="K45" i="27"/>
  <c r="L36" i="27"/>
  <c r="K36" i="27"/>
  <c r="L19" i="27"/>
  <c r="K19" i="27"/>
  <c r="L8" i="27"/>
  <c r="K8" i="27"/>
  <c r="L22" i="27"/>
  <c r="K22" i="27"/>
  <c r="L27" i="27"/>
  <c r="K27" i="27"/>
  <c r="L28" i="27"/>
  <c r="K28" i="27"/>
  <c r="L48" i="27"/>
  <c r="K48" i="27"/>
  <c r="L13" i="27"/>
  <c r="K13" i="27"/>
  <c r="L26" i="27"/>
  <c r="K26" i="27"/>
  <c r="L42" i="27"/>
  <c r="K42" i="27"/>
  <c r="L41" i="27"/>
  <c r="K41" i="27"/>
  <c r="L5" i="27"/>
  <c r="K5" i="27"/>
  <c r="L25" i="27"/>
  <c r="K25" i="27"/>
  <c r="L47" i="27"/>
  <c r="K47" i="27"/>
  <c r="L29" i="27"/>
  <c r="K29" i="27"/>
  <c r="L39" i="27"/>
  <c r="K39" i="27"/>
  <c r="L12" i="27"/>
  <c r="K12" i="27"/>
  <c r="L15" i="27"/>
  <c r="K15" i="27"/>
  <c r="L10" i="27"/>
  <c r="K10" i="27"/>
  <c r="L34" i="27"/>
  <c r="K34" i="27"/>
  <c r="L9" i="27"/>
  <c r="K9" i="27"/>
  <c r="L16" i="27"/>
  <c r="K16" i="27"/>
  <c r="L6" i="27"/>
  <c r="K6" i="27"/>
  <c r="L37" i="27"/>
  <c r="K37" i="27"/>
  <c r="L30" i="27"/>
  <c r="K30" i="27"/>
  <c r="L33" i="27"/>
  <c r="K33" i="27"/>
  <c r="L14" i="27"/>
  <c r="K14" i="27"/>
  <c r="L40" i="27"/>
  <c r="K40" i="27"/>
  <c r="L11" i="27"/>
  <c r="K11" i="27"/>
  <c r="L44" i="27"/>
  <c r="K44" i="27"/>
  <c r="L35" i="27"/>
  <c r="K35" i="27"/>
  <c r="L18" i="27"/>
  <c r="K18" i="27"/>
  <c r="L32" i="27"/>
  <c r="K32" i="27"/>
  <c r="L24" i="27"/>
  <c r="K24" i="27"/>
  <c r="L23" i="27"/>
  <c r="K23" i="27"/>
  <c r="L46" i="27"/>
  <c r="K46" i="27"/>
  <c r="L20" i="27"/>
  <c r="K20" i="27"/>
  <c r="L31" i="27"/>
  <c r="K31" i="27"/>
  <c r="L21" i="27"/>
  <c r="K21" i="27"/>
  <c r="L49" i="27"/>
  <c r="K49" i="27"/>
  <c r="L17" i="27"/>
  <c r="K17" i="27"/>
  <c r="L7" i="27"/>
  <c r="K7" i="27"/>
  <c r="L43" i="27"/>
  <c r="K43" i="27"/>
  <c r="L38" i="27"/>
  <c r="K38" i="27"/>
  <c r="N4" i="27"/>
  <c r="L4" i="27"/>
  <c r="K4" i="27"/>
  <c r="E53" i="23"/>
  <c r="E51" i="23"/>
  <c r="E52" i="23"/>
  <c r="E28" i="23"/>
  <c r="E32" i="23"/>
  <c r="E35" i="23"/>
  <c r="E44" i="23"/>
  <c r="E20" i="23"/>
  <c r="E29" i="23"/>
  <c r="E8" i="23"/>
  <c r="E9" i="23"/>
  <c r="E10" i="23"/>
  <c r="E11" i="23"/>
  <c r="E7" i="23"/>
  <c r="E41" i="23"/>
  <c r="E33" i="23"/>
  <c r="E30" i="23"/>
  <c r="E15" i="23"/>
  <c r="E16" i="23"/>
  <c r="E19" i="23"/>
  <c r="E13" i="23"/>
  <c r="E46" i="23"/>
  <c r="E36" i="23"/>
  <c r="E49" i="23"/>
  <c r="E25" i="23"/>
  <c r="E22" i="23"/>
  <c r="E31" i="23"/>
  <c r="E43" i="23"/>
  <c r="E48" i="23"/>
  <c r="E24" i="23"/>
  <c r="E34" i="23"/>
  <c r="E50" i="23"/>
  <c r="E37" i="23"/>
  <c r="E21" i="23"/>
  <c r="E6" i="23"/>
  <c r="E39" i="23"/>
  <c r="E18" i="23"/>
  <c r="E27" i="23"/>
  <c r="E17" i="23"/>
  <c r="E38" i="23"/>
  <c r="E14" i="23"/>
  <c r="E12" i="23"/>
  <c r="E47" i="23"/>
  <c r="E45" i="23"/>
  <c r="E40" i="23"/>
  <c r="E42" i="23"/>
  <c r="E26" i="23"/>
  <c r="E23" i="23"/>
  <c r="F3" i="27"/>
  <c r="N3" i="27"/>
  <c r="A2" i="27"/>
  <c r="A1" i="27"/>
  <c r="Z5" i="44" s="1"/>
  <c r="L200" i="45"/>
  <c r="K200" i="45"/>
  <c r="L199" i="45"/>
  <c r="K199" i="45"/>
  <c r="L198" i="45"/>
  <c r="K198" i="45"/>
  <c r="L197" i="45"/>
  <c r="K197" i="45"/>
  <c r="L196" i="45"/>
  <c r="K196" i="45"/>
  <c r="L195" i="45"/>
  <c r="K195" i="45"/>
  <c r="L194" i="45"/>
  <c r="K194" i="45"/>
  <c r="L193" i="45"/>
  <c r="K193" i="45"/>
  <c r="L192" i="45"/>
  <c r="K192" i="45"/>
  <c r="L191" i="45"/>
  <c r="K191" i="45"/>
  <c r="L190" i="45"/>
  <c r="K190" i="45"/>
  <c r="L189" i="45"/>
  <c r="K189" i="45"/>
  <c r="L188" i="45"/>
  <c r="K188" i="45"/>
  <c r="L187" i="45"/>
  <c r="K187" i="45"/>
  <c r="L186" i="45"/>
  <c r="K186" i="45"/>
  <c r="L185" i="45"/>
  <c r="K185" i="45"/>
  <c r="L184" i="45"/>
  <c r="K184" i="45"/>
  <c r="L183" i="45"/>
  <c r="K183" i="45"/>
  <c r="L182" i="45"/>
  <c r="K182" i="45"/>
  <c r="L181" i="45"/>
  <c r="K181" i="45"/>
  <c r="L180" i="45"/>
  <c r="K180" i="45"/>
  <c r="L179" i="45"/>
  <c r="K179" i="45"/>
  <c r="L178" i="45"/>
  <c r="K178" i="45"/>
  <c r="L177" i="45"/>
  <c r="K177" i="45"/>
  <c r="L176" i="45"/>
  <c r="K176" i="45"/>
  <c r="L175" i="45"/>
  <c r="K175" i="45"/>
  <c r="L174" i="45"/>
  <c r="K174" i="45"/>
  <c r="L173" i="45"/>
  <c r="K173" i="45"/>
  <c r="L172" i="45"/>
  <c r="K172" i="45"/>
  <c r="L171" i="45"/>
  <c r="K171" i="45"/>
  <c r="L170" i="45"/>
  <c r="K170" i="45"/>
  <c r="L169" i="45"/>
  <c r="K169" i="45"/>
  <c r="L168" i="45"/>
  <c r="K168" i="45"/>
  <c r="L167" i="45"/>
  <c r="K167" i="45"/>
  <c r="L166" i="45"/>
  <c r="K166" i="45"/>
  <c r="L165" i="45"/>
  <c r="K165" i="45"/>
  <c r="L164" i="45"/>
  <c r="K164" i="45"/>
  <c r="L163" i="45"/>
  <c r="K163" i="45"/>
  <c r="L162" i="45"/>
  <c r="K162" i="45"/>
  <c r="L161" i="45"/>
  <c r="K161" i="45"/>
  <c r="L160" i="45"/>
  <c r="K160" i="45"/>
  <c r="L159" i="45"/>
  <c r="K159" i="45"/>
  <c r="L158" i="45"/>
  <c r="K158" i="45"/>
  <c r="L157" i="45"/>
  <c r="K157" i="45"/>
  <c r="L156" i="45"/>
  <c r="K156" i="45"/>
  <c r="L155" i="45"/>
  <c r="K155" i="45"/>
  <c r="L154" i="45"/>
  <c r="K154" i="45"/>
  <c r="L153" i="45"/>
  <c r="K153" i="45"/>
  <c r="L152" i="45"/>
  <c r="K152" i="45"/>
  <c r="L151" i="45"/>
  <c r="K151" i="45"/>
  <c r="L150" i="45"/>
  <c r="K150" i="45"/>
  <c r="L149" i="45"/>
  <c r="K149" i="45"/>
  <c r="L148" i="45"/>
  <c r="K148" i="45"/>
  <c r="L147" i="45"/>
  <c r="K147" i="45"/>
  <c r="L146" i="45"/>
  <c r="K146" i="45"/>
  <c r="L145" i="45"/>
  <c r="K145" i="45"/>
  <c r="L144" i="45"/>
  <c r="K144" i="45"/>
  <c r="L143" i="45"/>
  <c r="K143" i="45"/>
  <c r="L142" i="45"/>
  <c r="K142" i="45"/>
  <c r="L141" i="45"/>
  <c r="K141" i="45"/>
  <c r="L140" i="45"/>
  <c r="K140" i="45"/>
  <c r="L139" i="45"/>
  <c r="K139" i="45"/>
  <c r="L138" i="45"/>
  <c r="K138" i="45"/>
  <c r="L137" i="45"/>
  <c r="K137" i="45"/>
  <c r="L136" i="45"/>
  <c r="K136" i="45"/>
  <c r="L135" i="45"/>
  <c r="K135" i="45"/>
  <c r="L134" i="45"/>
  <c r="K134" i="45"/>
  <c r="L133" i="45"/>
  <c r="K133" i="45"/>
  <c r="L132" i="45"/>
  <c r="K132" i="45"/>
  <c r="L131" i="45"/>
  <c r="K131" i="45"/>
  <c r="L130" i="45"/>
  <c r="K130" i="45"/>
  <c r="L129" i="45"/>
  <c r="K129" i="45"/>
  <c r="L128" i="45"/>
  <c r="K128" i="45"/>
  <c r="L127" i="45"/>
  <c r="K127" i="45"/>
  <c r="L126" i="45"/>
  <c r="K126" i="45"/>
  <c r="L125" i="45"/>
  <c r="K125" i="45"/>
  <c r="L124" i="45"/>
  <c r="K124" i="45"/>
  <c r="L123" i="45"/>
  <c r="K123" i="45"/>
  <c r="L122" i="45"/>
  <c r="K122" i="45"/>
  <c r="L121" i="45"/>
  <c r="K121" i="45"/>
  <c r="L120" i="45"/>
  <c r="K120" i="45"/>
  <c r="L119" i="45"/>
  <c r="K119" i="45"/>
  <c r="L118" i="45"/>
  <c r="K118" i="45"/>
  <c r="L117" i="45"/>
  <c r="K117" i="45"/>
  <c r="L116" i="45"/>
  <c r="K116" i="45"/>
  <c r="L115" i="45"/>
  <c r="K115" i="45"/>
  <c r="L114" i="45"/>
  <c r="K114" i="45"/>
  <c r="L113" i="45"/>
  <c r="K113" i="45"/>
  <c r="L112" i="45"/>
  <c r="K112" i="45"/>
  <c r="L111" i="45"/>
  <c r="K111" i="45"/>
  <c r="L110" i="45"/>
  <c r="K110" i="45"/>
  <c r="L109" i="45"/>
  <c r="K109" i="45"/>
  <c r="L108" i="45"/>
  <c r="K108" i="45"/>
  <c r="L107" i="45"/>
  <c r="K107" i="45"/>
  <c r="L106" i="45"/>
  <c r="K106" i="45"/>
  <c r="L105" i="45"/>
  <c r="K105" i="45"/>
  <c r="L104" i="45"/>
  <c r="K104" i="45"/>
  <c r="L103" i="45"/>
  <c r="K103" i="45"/>
  <c r="L102" i="45"/>
  <c r="K102" i="45"/>
  <c r="L101" i="45"/>
  <c r="K101" i="45"/>
  <c r="L100" i="45"/>
  <c r="K100" i="45"/>
  <c r="L99" i="45"/>
  <c r="K99" i="45"/>
  <c r="L98" i="45"/>
  <c r="K98" i="45"/>
  <c r="L97" i="45"/>
  <c r="K97" i="45"/>
  <c r="L96" i="45"/>
  <c r="K96" i="45"/>
  <c r="L95" i="45"/>
  <c r="K95" i="45"/>
  <c r="L94" i="45"/>
  <c r="K94" i="45"/>
  <c r="L93" i="45"/>
  <c r="K93" i="45"/>
  <c r="L92" i="45"/>
  <c r="K92" i="45"/>
  <c r="L91" i="45"/>
  <c r="K91" i="45"/>
  <c r="L90" i="45"/>
  <c r="K90" i="45"/>
  <c r="L89" i="45"/>
  <c r="K89" i="45"/>
  <c r="L88" i="45"/>
  <c r="K88" i="45"/>
  <c r="L87" i="45"/>
  <c r="K87" i="45"/>
  <c r="L86" i="45"/>
  <c r="K86" i="45"/>
  <c r="L85" i="45"/>
  <c r="K85" i="45"/>
  <c r="L84" i="45"/>
  <c r="K84" i="45"/>
  <c r="L83" i="45"/>
  <c r="K83" i="45"/>
  <c r="L82" i="45"/>
  <c r="K82" i="45"/>
  <c r="L81" i="45"/>
  <c r="K81" i="45"/>
  <c r="L80" i="45"/>
  <c r="K80" i="45"/>
  <c r="L79" i="45"/>
  <c r="K79" i="45"/>
  <c r="L78" i="45"/>
  <c r="K78" i="45"/>
  <c r="L77" i="45"/>
  <c r="K77" i="45"/>
  <c r="L76" i="45"/>
  <c r="K76" i="45"/>
  <c r="L75" i="45"/>
  <c r="K75" i="45"/>
  <c r="L74" i="45"/>
  <c r="K74" i="45"/>
  <c r="L73" i="45"/>
  <c r="K73" i="45"/>
  <c r="L72" i="45"/>
  <c r="K72" i="45"/>
  <c r="L71" i="45"/>
  <c r="K71" i="45"/>
  <c r="L70" i="45"/>
  <c r="K70" i="45"/>
  <c r="L69" i="45"/>
  <c r="K69" i="45"/>
  <c r="L68" i="45"/>
  <c r="K68" i="45"/>
  <c r="L67" i="45"/>
  <c r="K67" i="45"/>
  <c r="L66" i="45"/>
  <c r="K66" i="45"/>
  <c r="L65" i="45"/>
  <c r="K65" i="45"/>
  <c r="L64" i="45"/>
  <c r="K64" i="45"/>
  <c r="L63" i="45"/>
  <c r="K63" i="45"/>
  <c r="L62" i="45"/>
  <c r="K62" i="45"/>
  <c r="L61" i="45"/>
  <c r="K61" i="45"/>
  <c r="L60" i="45"/>
  <c r="K60" i="45"/>
  <c r="L59" i="45"/>
  <c r="K59" i="45"/>
  <c r="L58" i="45"/>
  <c r="K58" i="45"/>
  <c r="L57" i="45"/>
  <c r="K57" i="45"/>
  <c r="L56" i="45"/>
  <c r="K56" i="45"/>
  <c r="L55" i="45"/>
  <c r="K55" i="45"/>
  <c r="L54" i="45"/>
  <c r="K54" i="45"/>
  <c r="L53" i="45"/>
  <c r="K53" i="45"/>
  <c r="L52" i="45"/>
  <c r="K52" i="45"/>
  <c r="L51" i="45"/>
  <c r="K51" i="45"/>
  <c r="L50" i="45"/>
  <c r="K50" i="45"/>
  <c r="L49" i="45"/>
  <c r="K49" i="45"/>
  <c r="L48" i="45"/>
  <c r="K48" i="45"/>
  <c r="L47" i="45"/>
  <c r="K47" i="45"/>
  <c r="L46" i="45"/>
  <c r="K46" i="45"/>
  <c r="L45" i="45"/>
  <c r="K45" i="45"/>
  <c r="L44" i="45"/>
  <c r="K44" i="45"/>
  <c r="L43" i="45"/>
  <c r="K43" i="45"/>
  <c r="L42" i="45"/>
  <c r="K42" i="45"/>
  <c r="L41" i="45"/>
  <c r="K41" i="45"/>
  <c r="L40" i="45"/>
  <c r="K40" i="45"/>
  <c r="L39" i="45"/>
  <c r="K39" i="45"/>
  <c r="L38" i="45"/>
  <c r="K38" i="45"/>
  <c r="L37" i="45"/>
  <c r="K37" i="45"/>
  <c r="L36" i="45"/>
  <c r="K36" i="45"/>
  <c r="L35" i="45"/>
  <c r="K35" i="45"/>
  <c r="L34" i="45"/>
  <c r="K34" i="45"/>
  <c r="L33" i="45"/>
  <c r="K33" i="45"/>
  <c r="L32" i="45"/>
  <c r="K32" i="45"/>
  <c r="L31" i="45"/>
  <c r="K31" i="45"/>
  <c r="L30" i="45"/>
  <c r="K30" i="45"/>
  <c r="L29" i="45"/>
  <c r="K29" i="45"/>
  <c r="L28" i="45"/>
  <c r="K28" i="45"/>
  <c r="L27" i="45"/>
  <c r="K27" i="45"/>
  <c r="L26" i="45"/>
  <c r="K26" i="45"/>
  <c r="L25" i="45"/>
  <c r="K25" i="45"/>
  <c r="L24" i="45"/>
  <c r="K24" i="45"/>
  <c r="L23" i="45"/>
  <c r="K23" i="45"/>
  <c r="L22" i="45"/>
  <c r="K22" i="45"/>
  <c r="L21" i="45"/>
  <c r="K21" i="45"/>
  <c r="L20" i="45"/>
  <c r="K20" i="45"/>
  <c r="L19" i="45"/>
  <c r="K19" i="45"/>
  <c r="L18" i="45"/>
  <c r="K18" i="45"/>
  <c r="L17" i="45"/>
  <c r="K17" i="45"/>
  <c r="L16" i="45"/>
  <c r="K16" i="45"/>
  <c r="L15" i="45"/>
  <c r="K15" i="45"/>
  <c r="L14" i="45"/>
  <c r="K14" i="45"/>
  <c r="L13" i="45"/>
  <c r="K13" i="45"/>
  <c r="L12" i="45"/>
  <c r="K12" i="45"/>
  <c r="L11" i="45"/>
  <c r="K11" i="45"/>
  <c r="L10" i="45"/>
  <c r="K10" i="45"/>
  <c r="L9" i="45"/>
  <c r="K9" i="45"/>
  <c r="L8" i="45"/>
  <c r="K8" i="45"/>
  <c r="L7" i="45"/>
  <c r="K7" i="45"/>
  <c r="L6" i="45"/>
  <c r="K6" i="45"/>
  <c r="L5" i="45"/>
  <c r="K5" i="45"/>
  <c r="N4" i="45"/>
  <c r="L4" i="45"/>
  <c r="K4" i="45"/>
  <c r="A1" i="45"/>
  <c r="L200" i="12"/>
  <c r="K200" i="12"/>
  <c r="L199" i="12"/>
  <c r="K199" i="12"/>
  <c r="L198" i="12"/>
  <c r="K198" i="12"/>
  <c r="L197" i="12"/>
  <c r="K197" i="12"/>
  <c r="L196" i="12"/>
  <c r="K196" i="12"/>
  <c r="L195" i="12"/>
  <c r="K195" i="12"/>
  <c r="L194" i="12"/>
  <c r="K194" i="12"/>
  <c r="L193" i="12"/>
  <c r="K193" i="12"/>
  <c r="L192" i="12"/>
  <c r="K192" i="12"/>
  <c r="L191" i="12"/>
  <c r="K191" i="12"/>
  <c r="L190" i="12"/>
  <c r="K190" i="12"/>
  <c r="L189" i="12"/>
  <c r="K189" i="12"/>
  <c r="L188" i="12"/>
  <c r="K188" i="12"/>
  <c r="L187" i="12"/>
  <c r="K187" i="12"/>
  <c r="L186" i="12"/>
  <c r="K186" i="12"/>
  <c r="L185" i="12"/>
  <c r="K185" i="12"/>
  <c r="L184" i="12"/>
  <c r="K184" i="12"/>
  <c r="L183" i="12"/>
  <c r="K183" i="12"/>
  <c r="L182" i="12"/>
  <c r="K182" i="12"/>
  <c r="L181" i="12"/>
  <c r="K181" i="12"/>
  <c r="L180" i="12"/>
  <c r="K180" i="12"/>
  <c r="L179" i="12"/>
  <c r="K179" i="12"/>
  <c r="L178" i="12"/>
  <c r="K178" i="12"/>
  <c r="L177" i="12"/>
  <c r="K177" i="12"/>
  <c r="L176" i="12"/>
  <c r="K176" i="12"/>
  <c r="L175" i="12"/>
  <c r="K175" i="12"/>
  <c r="L174" i="12"/>
  <c r="K174" i="12"/>
  <c r="L173" i="12"/>
  <c r="K173" i="12"/>
  <c r="L172" i="12"/>
  <c r="K172" i="12"/>
  <c r="L171" i="12"/>
  <c r="K171" i="12"/>
  <c r="L170" i="12"/>
  <c r="K170" i="12"/>
  <c r="L169" i="12"/>
  <c r="K169" i="12"/>
  <c r="L168" i="12"/>
  <c r="K168" i="12"/>
  <c r="L167" i="12"/>
  <c r="K167" i="12"/>
  <c r="L166" i="12"/>
  <c r="K166" i="12"/>
  <c r="L165" i="12"/>
  <c r="K165" i="12"/>
  <c r="L164" i="12"/>
  <c r="K164" i="12"/>
  <c r="L163" i="12"/>
  <c r="K163" i="12"/>
  <c r="L162" i="12"/>
  <c r="K162" i="12"/>
  <c r="L161" i="12"/>
  <c r="K161" i="12"/>
  <c r="L160" i="12"/>
  <c r="K160" i="12"/>
  <c r="L159" i="12"/>
  <c r="K159" i="12"/>
  <c r="L158" i="12"/>
  <c r="K158" i="12"/>
  <c r="L157" i="12"/>
  <c r="K157" i="12"/>
  <c r="L156" i="12"/>
  <c r="K156" i="12"/>
  <c r="L155" i="12"/>
  <c r="K155" i="12"/>
  <c r="L154" i="12"/>
  <c r="K154" i="12"/>
  <c r="L153" i="12"/>
  <c r="K153" i="12"/>
  <c r="L152" i="12"/>
  <c r="K152" i="12"/>
  <c r="L151" i="12"/>
  <c r="K151" i="12"/>
  <c r="L150" i="12"/>
  <c r="K150" i="12"/>
  <c r="L149" i="12"/>
  <c r="K149" i="12"/>
  <c r="L148" i="12"/>
  <c r="K148" i="12"/>
  <c r="L147" i="12"/>
  <c r="K147" i="12"/>
  <c r="L146" i="12"/>
  <c r="K146" i="12"/>
  <c r="L145" i="12"/>
  <c r="K145" i="12"/>
  <c r="L144" i="12"/>
  <c r="K144" i="12"/>
  <c r="L143" i="12"/>
  <c r="K143" i="12"/>
  <c r="L142" i="12"/>
  <c r="K142" i="12"/>
  <c r="L141" i="12"/>
  <c r="K141" i="12"/>
  <c r="L140" i="12"/>
  <c r="K140" i="12"/>
  <c r="L139" i="12"/>
  <c r="K139" i="12"/>
  <c r="L138" i="12"/>
  <c r="K138" i="12"/>
  <c r="L137" i="12"/>
  <c r="K137" i="12"/>
  <c r="L136" i="12"/>
  <c r="K136" i="12"/>
  <c r="L135" i="12"/>
  <c r="K135" i="12"/>
  <c r="L134" i="12"/>
  <c r="K134" i="12"/>
  <c r="L133" i="12"/>
  <c r="K133" i="12"/>
  <c r="L132" i="12"/>
  <c r="K132" i="12"/>
  <c r="L131" i="12"/>
  <c r="K131" i="12"/>
  <c r="L130" i="12"/>
  <c r="K130" i="12"/>
  <c r="L129" i="12"/>
  <c r="K129" i="12"/>
  <c r="L128" i="12"/>
  <c r="K128" i="12"/>
  <c r="L127" i="12"/>
  <c r="K127" i="12"/>
  <c r="L126" i="12"/>
  <c r="K126" i="12"/>
  <c r="L125" i="12"/>
  <c r="K125" i="12"/>
  <c r="L124" i="12"/>
  <c r="K124" i="12"/>
  <c r="L123" i="12"/>
  <c r="K123" i="12"/>
  <c r="L122" i="12"/>
  <c r="K122" i="12"/>
  <c r="L121" i="12"/>
  <c r="K121" i="12"/>
  <c r="L120" i="12"/>
  <c r="K120" i="12"/>
  <c r="L119" i="12"/>
  <c r="K119" i="12"/>
  <c r="L118" i="12"/>
  <c r="K118" i="12"/>
  <c r="L117" i="12"/>
  <c r="K117" i="12"/>
  <c r="L116" i="12"/>
  <c r="K116" i="12"/>
  <c r="L115" i="12"/>
  <c r="K115" i="12"/>
  <c r="L114" i="12"/>
  <c r="K114" i="12"/>
  <c r="L113" i="12"/>
  <c r="K113" i="12"/>
  <c r="L112" i="12"/>
  <c r="K112" i="12"/>
  <c r="L111" i="12"/>
  <c r="K111" i="12"/>
  <c r="L110" i="12"/>
  <c r="K110" i="12"/>
  <c r="L109" i="12"/>
  <c r="K109" i="12"/>
  <c r="L108" i="12"/>
  <c r="K108" i="12"/>
  <c r="L107" i="12"/>
  <c r="K107" i="12"/>
  <c r="L106" i="12"/>
  <c r="K106" i="12"/>
  <c r="L105" i="12"/>
  <c r="K105" i="12"/>
  <c r="L104" i="12"/>
  <c r="K104" i="12"/>
  <c r="L103" i="12"/>
  <c r="K103" i="12"/>
  <c r="L102" i="12"/>
  <c r="K102" i="12"/>
  <c r="L101" i="12"/>
  <c r="K101" i="12"/>
  <c r="L100" i="12"/>
  <c r="K100" i="12"/>
  <c r="L99" i="12"/>
  <c r="K99" i="12"/>
  <c r="L98" i="12"/>
  <c r="K98" i="12"/>
  <c r="L97" i="12"/>
  <c r="K97" i="12"/>
  <c r="L96" i="12"/>
  <c r="K96" i="12"/>
  <c r="L95" i="12"/>
  <c r="K95" i="12"/>
  <c r="L94" i="12"/>
  <c r="K94" i="12"/>
  <c r="L93" i="12"/>
  <c r="K93" i="12"/>
  <c r="L92" i="12"/>
  <c r="K92" i="12"/>
  <c r="L91" i="12"/>
  <c r="K91" i="12"/>
  <c r="L90" i="12"/>
  <c r="K90" i="12"/>
  <c r="L89" i="12"/>
  <c r="K89" i="12"/>
  <c r="L88" i="12"/>
  <c r="K88" i="12"/>
  <c r="L87" i="12"/>
  <c r="K87" i="12"/>
  <c r="L86" i="12"/>
  <c r="K86" i="12"/>
  <c r="L85" i="12"/>
  <c r="K85" i="12"/>
  <c r="L84" i="12"/>
  <c r="K84" i="12"/>
  <c r="L83" i="12"/>
  <c r="K83" i="12"/>
  <c r="L82" i="12"/>
  <c r="K82" i="12"/>
  <c r="L81" i="12"/>
  <c r="K81" i="12"/>
  <c r="L80" i="12"/>
  <c r="K80" i="12"/>
  <c r="L79" i="12"/>
  <c r="K79" i="12"/>
  <c r="L78" i="12"/>
  <c r="K78" i="12"/>
  <c r="L77" i="12"/>
  <c r="K77" i="12"/>
  <c r="L76" i="12"/>
  <c r="K76" i="12"/>
  <c r="L75" i="12"/>
  <c r="K75" i="12"/>
  <c r="L74" i="12"/>
  <c r="K74" i="12"/>
  <c r="L73" i="12"/>
  <c r="K73" i="12"/>
  <c r="L72" i="12"/>
  <c r="K72" i="12"/>
  <c r="L71" i="12"/>
  <c r="K71" i="12"/>
  <c r="L70" i="12"/>
  <c r="K70" i="12"/>
  <c r="L69" i="12"/>
  <c r="K69" i="12"/>
  <c r="L68" i="12"/>
  <c r="K68" i="12"/>
  <c r="L67" i="12"/>
  <c r="K67" i="12"/>
  <c r="L66" i="12"/>
  <c r="K66" i="12"/>
  <c r="L65" i="12"/>
  <c r="K65" i="12"/>
  <c r="L64" i="12"/>
  <c r="K64" i="12"/>
  <c r="L63" i="12"/>
  <c r="K63" i="12"/>
  <c r="L62" i="12"/>
  <c r="K62" i="12"/>
  <c r="L61" i="12"/>
  <c r="K61" i="12"/>
  <c r="L60" i="12"/>
  <c r="K60" i="12"/>
  <c r="L59" i="12"/>
  <c r="K59" i="12"/>
  <c r="L58" i="12"/>
  <c r="K58" i="12"/>
  <c r="L57" i="12"/>
  <c r="K57" i="12"/>
  <c r="L56" i="12"/>
  <c r="K56" i="12"/>
  <c r="L55" i="12"/>
  <c r="K55" i="12"/>
  <c r="L54" i="12"/>
  <c r="K54" i="12"/>
  <c r="L53" i="12"/>
  <c r="K53" i="12"/>
  <c r="L52" i="12"/>
  <c r="K52" i="12"/>
  <c r="L51" i="12"/>
  <c r="K51" i="12"/>
  <c r="L50" i="12"/>
  <c r="K50" i="12"/>
  <c r="L27" i="12"/>
  <c r="K27" i="12"/>
  <c r="L31" i="12"/>
  <c r="K31" i="12"/>
  <c r="L34" i="12"/>
  <c r="K34" i="12"/>
  <c r="L35" i="12"/>
  <c r="K35" i="12"/>
  <c r="L18" i="12"/>
  <c r="K18" i="12"/>
  <c r="L8" i="12"/>
  <c r="K8" i="12"/>
  <c r="L16" i="12"/>
  <c r="K16" i="12"/>
  <c r="L42" i="12"/>
  <c r="K42" i="12"/>
  <c r="L9" i="12"/>
  <c r="K9" i="12"/>
  <c r="L25" i="12"/>
  <c r="K25" i="12"/>
  <c r="L36" i="12"/>
  <c r="K36" i="12"/>
  <c r="L10" i="12"/>
  <c r="K10" i="12"/>
  <c r="L17" i="12"/>
  <c r="K17" i="12"/>
  <c r="L45" i="12"/>
  <c r="K45" i="12"/>
  <c r="L6" i="12"/>
  <c r="K6" i="12"/>
  <c r="L24" i="12"/>
  <c r="K24" i="12"/>
  <c r="L40" i="12"/>
  <c r="K40" i="12"/>
  <c r="L32" i="12"/>
  <c r="K32" i="12"/>
  <c r="L39" i="12"/>
  <c r="K39" i="12"/>
  <c r="L15" i="12"/>
  <c r="K15" i="12"/>
  <c r="L29" i="12"/>
  <c r="K29" i="12"/>
  <c r="L46" i="12"/>
  <c r="K46" i="12"/>
  <c r="L41" i="12"/>
  <c r="K41" i="12"/>
  <c r="L26" i="12"/>
  <c r="K26" i="12"/>
  <c r="L33" i="12"/>
  <c r="K33" i="12"/>
  <c r="L21" i="12"/>
  <c r="K21" i="12"/>
  <c r="L47" i="12"/>
  <c r="K47" i="12"/>
  <c r="L22" i="12"/>
  <c r="K22" i="12"/>
  <c r="L30" i="12"/>
  <c r="K30" i="12"/>
  <c r="L20" i="12"/>
  <c r="K20" i="12"/>
  <c r="L44" i="12"/>
  <c r="K44" i="12"/>
  <c r="L48" i="12"/>
  <c r="K48" i="12"/>
  <c r="L19" i="12"/>
  <c r="K19" i="12"/>
  <c r="L28" i="12"/>
  <c r="K28" i="12"/>
  <c r="L7" i="12"/>
  <c r="K7" i="12"/>
  <c r="L23" i="12"/>
  <c r="K23" i="12"/>
  <c r="L12" i="12"/>
  <c r="K12" i="12"/>
  <c r="L14" i="12"/>
  <c r="K14" i="12"/>
  <c r="L37" i="12"/>
  <c r="K37" i="12"/>
  <c r="L11" i="12"/>
  <c r="K11" i="12"/>
  <c r="L5" i="12"/>
  <c r="K5" i="12"/>
  <c r="L13" i="12"/>
  <c r="K13" i="12"/>
  <c r="L43" i="12"/>
  <c r="K43" i="12"/>
  <c r="L49" i="12"/>
  <c r="K49" i="12"/>
  <c r="L38" i="12"/>
  <c r="K38" i="12"/>
  <c r="N4" i="12"/>
  <c r="L4" i="12"/>
  <c r="N3" i="12"/>
  <c r="F3" i="12"/>
  <c r="A1" i="12"/>
  <c r="Z3" i="44" s="1"/>
  <c r="K4" i="12"/>
  <c r="A28" i="38"/>
  <c r="A26" i="38"/>
  <c r="A20" i="38"/>
  <c r="A16" i="38"/>
  <c r="A14" i="38"/>
  <c r="A12" i="38"/>
  <c r="A8" i="38"/>
  <c r="A6" i="38"/>
  <c r="A4" i="38"/>
  <c r="A29" i="37"/>
  <c r="A27" i="37"/>
  <c r="A25" i="37"/>
  <c r="A20" i="37"/>
  <c r="A16" i="37"/>
  <c r="A14" i="37"/>
  <c r="A12" i="37"/>
  <c r="A8" i="37"/>
  <c r="A6" i="37"/>
  <c r="A4" i="37"/>
  <c r="A47" i="6"/>
  <c r="A43" i="6"/>
  <c r="A42" i="6"/>
  <c r="A41" i="6"/>
  <c r="A40" i="6"/>
  <c r="A39" i="6"/>
  <c r="A38" i="6"/>
  <c r="A36" i="6"/>
  <c r="A31" i="6"/>
  <c r="A30" i="6"/>
  <c r="A29" i="6"/>
  <c r="A28" i="6"/>
  <c r="A27" i="6"/>
  <c r="A26" i="6"/>
  <c r="A25" i="6"/>
  <c r="A24" i="6"/>
  <c r="A23" i="6"/>
  <c r="A22" i="6"/>
  <c r="A20" i="6"/>
  <c r="A16" i="6"/>
  <c r="A14" i="6"/>
  <c r="A12" i="6"/>
  <c r="A8" i="6"/>
  <c r="A6" i="6"/>
  <c r="A4" i="6"/>
  <c r="A47" i="4"/>
  <c r="A43" i="4"/>
  <c r="A42" i="4"/>
  <c r="A41" i="4"/>
  <c r="A40" i="4"/>
  <c r="A39" i="4"/>
  <c r="A38" i="4"/>
  <c r="A36" i="4"/>
  <c r="A31" i="4"/>
  <c r="A30" i="4"/>
  <c r="A29" i="4"/>
  <c r="A27" i="4"/>
  <c r="A26" i="4"/>
  <c r="A25" i="4"/>
  <c r="A24" i="4"/>
  <c r="A23" i="4"/>
  <c r="A22" i="4"/>
  <c r="A20" i="4"/>
  <c r="A16" i="4"/>
  <c r="A14" i="4"/>
  <c r="A12" i="4"/>
  <c r="A8" i="4"/>
  <c r="A6" i="4"/>
  <c r="A4" i="4"/>
  <c r="H21" i="24"/>
  <c r="G21" i="24"/>
  <c r="F21" i="24"/>
  <c r="E21" i="24"/>
  <c r="H20" i="24"/>
  <c r="G20" i="24"/>
  <c r="F20" i="24"/>
  <c r="H19" i="24"/>
  <c r="G19" i="24"/>
  <c r="F19" i="24"/>
  <c r="E15" i="24"/>
  <c r="E14" i="24"/>
  <c r="E20" i="24"/>
  <c r="E13" i="24"/>
  <c r="E19" i="24"/>
  <c r="H18" i="24"/>
  <c r="G18" i="24"/>
  <c r="F18" i="24"/>
  <c r="H12" i="24"/>
  <c r="G12" i="24"/>
  <c r="F12" i="24"/>
  <c r="B18" i="39"/>
  <c r="B17" i="39"/>
  <c r="B16" i="39"/>
  <c r="B15" i="39"/>
  <c r="B14" i="39"/>
  <c r="B13" i="39"/>
  <c r="B12" i="39"/>
  <c r="B11" i="39"/>
  <c r="B10" i="39"/>
  <c r="B9" i="39"/>
  <c r="B8" i="39"/>
  <c r="B7" i="39"/>
  <c r="B6" i="39"/>
  <c r="B5" i="39"/>
  <c r="C18" i="39"/>
  <c r="C15" i="39"/>
  <c r="C16" i="39"/>
  <c r="C17" i="39"/>
  <c r="C14" i="39"/>
  <c r="B4" i="39"/>
  <c r="C4" i="39"/>
  <c r="C5" i="39"/>
  <c r="C6" i="39"/>
  <c r="C7" i="39"/>
  <c r="C8" i="39"/>
  <c r="C9" i="39"/>
  <c r="C10" i="39"/>
  <c r="C11" i="39"/>
  <c r="C12" i="39"/>
  <c r="C13" i="39"/>
  <c r="B18" i="1"/>
  <c r="C18" i="1"/>
  <c r="B17" i="1"/>
  <c r="C17" i="1"/>
  <c r="B16" i="1"/>
  <c r="C16" i="1"/>
  <c r="B15" i="1"/>
  <c r="B14" i="1"/>
  <c r="B13" i="1"/>
  <c r="B12" i="1"/>
  <c r="B11" i="1"/>
  <c r="B10" i="1"/>
  <c r="B9" i="1"/>
  <c r="B8" i="1"/>
  <c r="B7" i="1"/>
  <c r="B6" i="1"/>
  <c r="B5" i="1"/>
  <c r="B4" i="1"/>
  <c r="C4" i="1"/>
  <c r="F150" i="40"/>
  <c r="E150" i="40"/>
  <c r="D150" i="40"/>
  <c r="L150" i="40"/>
  <c r="F149" i="40"/>
  <c r="E149" i="40"/>
  <c r="D149" i="40"/>
  <c r="L149" i="40"/>
  <c r="F148" i="40"/>
  <c r="E148" i="40"/>
  <c r="D148" i="40"/>
  <c r="L148" i="40"/>
  <c r="F147" i="40"/>
  <c r="E147" i="40"/>
  <c r="D147" i="40"/>
  <c r="L147" i="40"/>
  <c r="F146" i="40"/>
  <c r="E146" i="40"/>
  <c r="D146" i="40"/>
  <c r="L146" i="40"/>
  <c r="F145" i="40"/>
  <c r="E145" i="40"/>
  <c r="D145" i="40"/>
  <c r="L145" i="40"/>
  <c r="F144" i="40"/>
  <c r="E144" i="40"/>
  <c r="D144" i="40"/>
  <c r="L144" i="40"/>
  <c r="F143" i="40"/>
  <c r="E143" i="40"/>
  <c r="D143" i="40"/>
  <c r="L143" i="40"/>
  <c r="F142" i="40"/>
  <c r="E142" i="40"/>
  <c r="D142" i="40"/>
  <c r="L142" i="40"/>
  <c r="F141" i="40"/>
  <c r="E141" i="40"/>
  <c r="D141" i="40"/>
  <c r="L141" i="40"/>
  <c r="F140" i="40"/>
  <c r="E140" i="40"/>
  <c r="D140" i="40"/>
  <c r="L140" i="40"/>
  <c r="F139" i="40"/>
  <c r="E139" i="40"/>
  <c r="D139" i="40"/>
  <c r="L139" i="40"/>
  <c r="F138" i="40"/>
  <c r="E138" i="40"/>
  <c r="D138" i="40"/>
  <c r="L138" i="40"/>
  <c r="F137" i="40"/>
  <c r="E137" i="40"/>
  <c r="D137" i="40"/>
  <c r="L137" i="40"/>
  <c r="F136" i="40"/>
  <c r="E136" i="40"/>
  <c r="D136" i="40"/>
  <c r="L136" i="40"/>
  <c r="F135" i="40"/>
  <c r="E135" i="40"/>
  <c r="D135" i="40"/>
  <c r="L135" i="40"/>
  <c r="F134" i="40"/>
  <c r="E134" i="40"/>
  <c r="D134" i="40"/>
  <c r="L134" i="40"/>
  <c r="F133" i="40"/>
  <c r="E133" i="40"/>
  <c r="D133" i="40"/>
  <c r="L133" i="40"/>
  <c r="F132" i="40"/>
  <c r="E132" i="40"/>
  <c r="D132" i="40"/>
  <c r="L132" i="40"/>
  <c r="F131" i="40"/>
  <c r="E131" i="40"/>
  <c r="D131" i="40"/>
  <c r="L131" i="40"/>
  <c r="F130" i="40"/>
  <c r="E130" i="40"/>
  <c r="D130" i="40"/>
  <c r="L130" i="40"/>
  <c r="F129" i="40"/>
  <c r="E129" i="40"/>
  <c r="D129" i="40"/>
  <c r="L129" i="40"/>
  <c r="F128" i="40"/>
  <c r="E128" i="40"/>
  <c r="D128" i="40"/>
  <c r="L128" i="40"/>
  <c r="F127" i="40"/>
  <c r="E127" i="40"/>
  <c r="D127" i="40"/>
  <c r="L127" i="40"/>
  <c r="F126" i="40"/>
  <c r="E126" i="40"/>
  <c r="D126" i="40"/>
  <c r="L126" i="40"/>
  <c r="F125" i="40"/>
  <c r="E125" i="40"/>
  <c r="D125" i="40"/>
  <c r="L125" i="40"/>
  <c r="F124" i="40"/>
  <c r="E124" i="40"/>
  <c r="D124" i="40"/>
  <c r="L124" i="40"/>
  <c r="F123" i="40"/>
  <c r="E123" i="40"/>
  <c r="D123" i="40"/>
  <c r="L123" i="40"/>
  <c r="F122" i="40"/>
  <c r="E122" i="40"/>
  <c r="D122" i="40"/>
  <c r="L122" i="40"/>
  <c r="F121" i="40"/>
  <c r="E121" i="40"/>
  <c r="D121" i="40"/>
  <c r="L121" i="40"/>
  <c r="F120" i="40"/>
  <c r="E120" i="40"/>
  <c r="D120" i="40"/>
  <c r="L120" i="40"/>
  <c r="F119" i="40"/>
  <c r="E119" i="40"/>
  <c r="D119" i="40"/>
  <c r="L119" i="40"/>
  <c r="F118" i="40"/>
  <c r="E118" i="40"/>
  <c r="D118" i="40"/>
  <c r="L118" i="40"/>
  <c r="F117" i="40"/>
  <c r="E117" i="40"/>
  <c r="D117" i="40"/>
  <c r="L117" i="40"/>
  <c r="F116" i="40"/>
  <c r="E116" i="40"/>
  <c r="D116" i="40"/>
  <c r="L116" i="40"/>
  <c r="F115" i="40"/>
  <c r="E115" i="40"/>
  <c r="D115" i="40"/>
  <c r="L115" i="40"/>
  <c r="F114" i="40"/>
  <c r="E114" i="40"/>
  <c r="D114" i="40"/>
  <c r="L114" i="40"/>
  <c r="F113" i="40"/>
  <c r="E113" i="40"/>
  <c r="D113" i="40"/>
  <c r="L113" i="40"/>
  <c r="F112" i="40"/>
  <c r="E112" i="40"/>
  <c r="D112" i="40"/>
  <c r="L112" i="40"/>
  <c r="F111" i="40"/>
  <c r="E111" i="40"/>
  <c r="D111" i="40"/>
  <c r="L111" i="40"/>
  <c r="C14" i="1"/>
  <c r="C9" i="1"/>
  <c r="C10" i="1"/>
  <c r="C11" i="1"/>
  <c r="C12" i="1"/>
  <c r="C13" i="1"/>
  <c r="C5" i="1"/>
  <c r="C6" i="1"/>
  <c r="C7" i="1"/>
  <c r="C8" i="1"/>
  <c r="C15" i="1"/>
  <c r="G119" i="40"/>
  <c r="G127" i="40"/>
  <c r="G135" i="40"/>
  <c r="G143" i="40"/>
  <c r="G150" i="40"/>
  <c r="G112" i="40"/>
  <c r="G120" i="40"/>
  <c r="G128" i="40"/>
  <c r="G136" i="40"/>
  <c r="G144" i="40"/>
  <c r="G111" i="40"/>
  <c r="G121" i="40"/>
  <c r="G129" i="40"/>
  <c r="G137" i="40"/>
  <c r="G145" i="40"/>
  <c r="G134" i="40"/>
  <c r="G122" i="40"/>
  <c r="G130" i="40"/>
  <c r="G138" i="40"/>
  <c r="G146" i="40"/>
  <c r="G126" i="40"/>
  <c r="G142" i="40"/>
  <c r="G123" i="40"/>
  <c r="G131" i="40"/>
  <c r="G139" i="40"/>
  <c r="G147" i="40"/>
  <c r="G118" i="40"/>
  <c r="G113" i="40"/>
  <c r="G114" i="40"/>
  <c r="G115" i="40"/>
  <c r="G116" i="40"/>
  <c r="G124" i="40"/>
  <c r="G132" i="40"/>
  <c r="G140" i="40"/>
  <c r="G148" i="40"/>
  <c r="G117" i="40"/>
  <c r="G125" i="40"/>
  <c r="G133" i="40"/>
  <c r="G141" i="40"/>
  <c r="G149" i="40"/>
  <c r="F110" i="40"/>
  <c r="E110" i="40"/>
  <c r="D110" i="40"/>
  <c r="L110" i="40"/>
  <c r="F109" i="40"/>
  <c r="E109" i="40"/>
  <c r="D109" i="40"/>
  <c r="L109" i="40"/>
  <c r="F108" i="40"/>
  <c r="E108" i="40"/>
  <c r="D108" i="40"/>
  <c r="L108" i="40"/>
  <c r="F107" i="40"/>
  <c r="E107" i="40"/>
  <c r="D107" i="40"/>
  <c r="L107" i="40"/>
  <c r="F106" i="40"/>
  <c r="E106" i="40"/>
  <c r="D106" i="40"/>
  <c r="L106" i="40"/>
  <c r="F105" i="40"/>
  <c r="E105" i="40"/>
  <c r="D105" i="40"/>
  <c r="L105" i="40"/>
  <c r="F104" i="40"/>
  <c r="E104" i="40"/>
  <c r="D104" i="40"/>
  <c r="L104" i="40"/>
  <c r="F103" i="40"/>
  <c r="E103" i="40"/>
  <c r="D103" i="40"/>
  <c r="L103" i="40"/>
  <c r="F102" i="40"/>
  <c r="E102" i="40"/>
  <c r="D102" i="40"/>
  <c r="L102" i="40"/>
  <c r="F101" i="40"/>
  <c r="E101" i="40"/>
  <c r="D101" i="40"/>
  <c r="L101" i="40"/>
  <c r="F100" i="40"/>
  <c r="E100" i="40"/>
  <c r="D100" i="40"/>
  <c r="L100" i="40"/>
  <c r="F99" i="40"/>
  <c r="E99" i="40"/>
  <c r="D99" i="40"/>
  <c r="L99" i="40"/>
  <c r="F98" i="40"/>
  <c r="E98" i="40"/>
  <c r="D98" i="40"/>
  <c r="L98" i="40"/>
  <c r="F97" i="40"/>
  <c r="E97" i="40"/>
  <c r="D97" i="40"/>
  <c r="L97" i="40"/>
  <c r="F96" i="40"/>
  <c r="E96" i="40"/>
  <c r="D96" i="40"/>
  <c r="L96" i="40"/>
  <c r="F95" i="40"/>
  <c r="E95" i="40"/>
  <c r="D95" i="40"/>
  <c r="L95" i="40"/>
  <c r="F94" i="40"/>
  <c r="E94" i="40"/>
  <c r="D94" i="40"/>
  <c r="L94" i="40"/>
  <c r="F93" i="40"/>
  <c r="E93" i="40"/>
  <c r="D93" i="40"/>
  <c r="L93" i="40"/>
  <c r="F92" i="40"/>
  <c r="E92" i="40"/>
  <c r="D92" i="40"/>
  <c r="L92" i="40"/>
  <c r="F91" i="40"/>
  <c r="E91" i="40"/>
  <c r="D91" i="40"/>
  <c r="L91" i="40"/>
  <c r="F90" i="40"/>
  <c r="E90" i="40"/>
  <c r="D90" i="40"/>
  <c r="L90" i="40"/>
  <c r="F89" i="40"/>
  <c r="E89" i="40"/>
  <c r="D89" i="40"/>
  <c r="L89" i="40"/>
  <c r="F88" i="40"/>
  <c r="E88" i="40"/>
  <c r="D88" i="40"/>
  <c r="L88" i="40"/>
  <c r="F87" i="40"/>
  <c r="E87" i="40"/>
  <c r="D87" i="40"/>
  <c r="L87" i="40"/>
  <c r="F86" i="40"/>
  <c r="E86" i="40"/>
  <c r="D86" i="40"/>
  <c r="L86" i="40"/>
  <c r="F85" i="40"/>
  <c r="E85" i="40"/>
  <c r="D85" i="40"/>
  <c r="L85" i="40"/>
  <c r="F84" i="40"/>
  <c r="E84" i="40"/>
  <c r="D84" i="40"/>
  <c r="L84" i="40"/>
  <c r="F83" i="40"/>
  <c r="E83" i="40"/>
  <c r="D83" i="40"/>
  <c r="L83" i="40"/>
  <c r="F82" i="40"/>
  <c r="E82" i="40"/>
  <c r="D82" i="40"/>
  <c r="L82" i="40"/>
  <c r="F81" i="40"/>
  <c r="E81" i="40"/>
  <c r="D81" i="40"/>
  <c r="L81" i="40"/>
  <c r="F80" i="40"/>
  <c r="E80" i="40"/>
  <c r="D80" i="40"/>
  <c r="L80" i="40"/>
  <c r="F79" i="40"/>
  <c r="E79" i="40"/>
  <c r="D79" i="40"/>
  <c r="L79" i="40"/>
  <c r="F78" i="40"/>
  <c r="E78" i="40"/>
  <c r="D78" i="40"/>
  <c r="L78" i="40"/>
  <c r="F77" i="40"/>
  <c r="E77" i="40"/>
  <c r="D77" i="40"/>
  <c r="L77" i="40"/>
  <c r="F76" i="40"/>
  <c r="E76" i="40"/>
  <c r="D76" i="40"/>
  <c r="L76" i="40"/>
  <c r="F75" i="40"/>
  <c r="E75" i="40"/>
  <c r="D75" i="40"/>
  <c r="L75" i="40"/>
  <c r="F74" i="40"/>
  <c r="E74" i="40"/>
  <c r="D74" i="40"/>
  <c r="L74" i="40"/>
  <c r="F73" i="40"/>
  <c r="E73" i="40"/>
  <c r="D73" i="40"/>
  <c r="L73" i="40"/>
  <c r="F72" i="40"/>
  <c r="E72" i="40"/>
  <c r="D72" i="40"/>
  <c r="L72" i="40"/>
  <c r="F71" i="40"/>
  <c r="E71" i="40"/>
  <c r="D71" i="40"/>
  <c r="L71" i="40"/>
  <c r="F70" i="40"/>
  <c r="E70" i="40"/>
  <c r="D70" i="40"/>
  <c r="L70" i="40"/>
  <c r="F69" i="40"/>
  <c r="E69" i="40"/>
  <c r="D69" i="40"/>
  <c r="L69" i="40"/>
  <c r="F68" i="40"/>
  <c r="E68" i="40"/>
  <c r="D68" i="40"/>
  <c r="L68" i="40"/>
  <c r="F67" i="40"/>
  <c r="E67" i="40"/>
  <c r="D67" i="40"/>
  <c r="L67" i="40"/>
  <c r="F66" i="40"/>
  <c r="E66" i="40"/>
  <c r="D66" i="40"/>
  <c r="L66" i="40"/>
  <c r="F65" i="40"/>
  <c r="E65" i="40"/>
  <c r="D65" i="40"/>
  <c r="L65" i="40"/>
  <c r="F64" i="40"/>
  <c r="E64" i="40"/>
  <c r="D64" i="40"/>
  <c r="L64" i="40"/>
  <c r="F63" i="40"/>
  <c r="E63" i="40"/>
  <c r="D63" i="40"/>
  <c r="L63" i="40"/>
  <c r="F62" i="40"/>
  <c r="E62" i="40"/>
  <c r="D62" i="40"/>
  <c r="L62" i="40"/>
  <c r="F61" i="40"/>
  <c r="E61" i="40"/>
  <c r="D61" i="40"/>
  <c r="L61" i="40"/>
  <c r="F60" i="40"/>
  <c r="E60" i="40"/>
  <c r="D60" i="40"/>
  <c r="L60" i="40"/>
  <c r="F59" i="40"/>
  <c r="E59" i="40"/>
  <c r="D59" i="40"/>
  <c r="L59" i="40"/>
  <c r="F58" i="40"/>
  <c r="E58" i="40"/>
  <c r="D58" i="40"/>
  <c r="L58" i="40"/>
  <c r="F57" i="40"/>
  <c r="E57" i="40"/>
  <c r="D57" i="40"/>
  <c r="L57" i="40"/>
  <c r="F56" i="40"/>
  <c r="E56" i="40"/>
  <c r="D56" i="40"/>
  <c r="L56" i="40"/>
  <c r="F55" i="40"/>
  <c r="E55" i="40"/>
  <c r="D55" i="40"/>
  <c r="L55" i="40"/>
  <c r="F54" i="40"/>
  <c r="E54" i="40"/>
  <c r="D54" i="40"/>
  <c r="L54" i="40"/>
  <c r="F53" i="40"/>
  <c r="E53" i="40"/>
  <c r="D53" i="40"/>
  <c r="L53" i="40"/>
  <c r="F52" i="40"/>
  <c r="E52" i="40"/>
  <c r="D52" i="40"/>
  <c r="L52" i="40"/>
  <c r="F51" i="40"/>
  <c r="E51" i="40"/>
  <c r="D51" i="40"/>
  <c r="L51" i="40"/>
  <c r="F50" i="40"/>
  <c r="E50" i="40"/>
  <c r="D50" i="40"/>
  <c r="L50" i="40"/>
  <c r="F49" i="40"/>
  <c r="E49" i="40"/>
  <c r="D49" i="40"/>
  <c r="L49" i="40"/>
  <c r="F48" i="40"/>
  <c r="E48" i="40"/>
  <c r="D48" i="40"/>
  <c r="L48" i="40"/>
  <c r="F47" i="40"/>
  <c r="E47" i="40"/>
  <c r="D47" i="40"/>
  <c r="L47" i="40"/>
  <c r="F46" i="40"/>
  <c r="E46" i="40"/>
  <c r="D46" i="40"/>
  <c r="L46" i="40"/>
  <c r="F45" i="40"/>
  <c r="E45" i="40"/>
  <c r="D45" i="40"/>
  <c r="L45" i="40"/>
  <c r="F44" i="40"/>
  <c r="E44" i="40"/>
  <c r="D44" i="40"/>
  <c r="L44" i="40"/>
  <c r="F43" i="40"/>
  <c r="E43" i="40"/>
  <c r="D43" i="40"/>
  <c r="L43" i="40"/>
  <c r="F42" i="40"/>
  <c r="E42" i="40"/>
  <c r="D42" i="40"/>
  <c r="L42" i="40"/>
  <c r="F41" i="40"/>
  <c r="E41" i="40"/>
  <c r="D41" i="40"/>
  <c r="L41" i="40"/>
  <c r="F40" i="40"/>
  <c r="E40" i="40"/>
  <c r="D40" i="40"/>
  <c r="L40" i="40"/>
  <c r="F39" i="40"/>
  <c r="E39" i="40"/>
  <c r="D39" i="40"/>
  <c r="L39" i="40"/>
  <c r="F38" i="40"/>
  <c r="E38" i="40"/>
  <c r="D38" i="40"/>
  <c r="L38" i="40"/>
  <c r="F37" i="40"/>
  <c r="E37" i="40"/>
  <c r="D37" i="40"/>
  <c r="L37" i="40"/>
  <c r="F36" i="40"/>
  <c r="E36" i="40"/>
  <c r="D36" i="40"/>
  <c r="L36" i="40"/>
  <c r="F35" i="40"/>
  <c r="E35" i="40"/>
  <c r="D35" i="40"/>
  <c r="L35" i="40"/>
  <c r="F34" i="40"/>
  <c r="E34" i="40"/>
  <c r="D34" i="40"/>
  <c r="L34" i="40"/>
  <c r="F33" i="40"/>
  <c r="E33" i="40"/>
  <c r="D33" i="40"/>
  <c r="L33" i="40"/>
  <c r="F32" i="40"/>
  <c r="E32" i="40"/>
  <c r="D32" i="40"/>
  <c r="L32" i="40"/>
  <c r="F31" i="40"/>
  <c r="E31" i="40"/>
  <c r="D31" i="40"/>
  <c r="L31" i="40"/>
  <c r="F30" i="40"/>
  <c r="E30" i="40"/>
  <c r="D30" i="40"/>
  <c r="L30" i="40"/>
  <c r="F29" i="40"/>
  <c r="E29" i="40"/>
  <c r="D29" i="40"/>
  <c r="L29" i="40"/>
  <c r="F28" i="40"/>
  <c r="E28" i="40"/>
  <c r="D28" i="40"/>
  <c r="L28" i="40"/>
  <c r="F27" i="40"/>
  <c r="E27" i="40"/>
  <c r="D27" i="40"/>
  <c r="L27" i="40"/>
  <c r="F26" i="40"/>
  <c r="E26" i="40"/>
  <c r="D26" i="40"/>
  <c r="L26" i="40"/>
  <c r="F25" i="40"/>
  <c r="E25" i="40"/>
  <c r="D25" i="40"/>
  <c r="L25" i="40"/>
  <c r="F24" i="40"/>
  <c r="E24" i="40"/>
  <c r="D24" i="40"/>
  <c r="L24" i="40"/>
  <c r="F23" i="40"/>
  <c r="E23" i="40"/>
  <c r="D23" i="40"/>
  <c r="L23" i="40"/>
  <c r="F22" i="40"/>
  <c r="E22" i="40"/>
  <c r="D22" i="40"/>
  <c r="L22" i="40"/>
  <c r="F21" i="40"/>
  <c r="E21" i="40"/>
  <c r="D21" i="40"/>
  <c r="L21" i="40"/>
  <c r="F20" i="40"/>
  <c r="E20" i="40"/>
  <c r="D20" i="40"/>
  <c r="L20" i="40"/>
  <c r="F19" i="40"/>
  <c r="E19" i="40"/>
  <c r="D19" i="40"/>
  <c r="L19" i="40"/>
  <c r="F18" i="40"/>
  <c r="E18" i="40"/>
  <c r="D18" i="40"/>
  <c r="L18" i="40"/>
  <c r="F17" i="40"/>
  <c r="E17" i="40"/>
  <c r="D17" i="40"/>
  <c r="L17" i="40"/>
  <c r="F16" i="40"/>
  <c r="E16" i="40"/>
  <c r="D16" i="40"/>
  <c r="L16" i="40"/>
  <c r="F15" i="40"/>
  <c r="E15" i="40"/>
  <c r="D15" i="40"/>
  <c r="L15" i="40"/>
  <c r="F14" i="40"/>
  <c r="E14" i="40"/>
  <c r="D14" i="40"/>
  <c r="L14" i="40"/>
  <c r="F13" i="40"/>
  <c r="E13" i="40"/>
  <c r="D13" i="40"/>
  <c r="L13" i="40"/>
  <c r="F12" i="40"/>
  <c r="E12" i="40"/>
  <c r="D12" i="40"/>
  <c r="L12" i="40"/>
  <c r="F11" i="40"/>
  <c r="E11" i="40"/>
  <c r="D11" i="40"/>
  <c r="L11" i="40"/>
  <c r="F10" i="40"/>
  <c r="E10" i="40"/>
  <c r="D10" i="40"/>
  <c r="L10" i="40"/>
  <c r="F9" i="40"/>
  <c r="E9" i="40"/>
  <c r="D9" i="40"/>
  <c r="L9" i="40"/>
  <c r="F8" i="40"/>
  <c r="E8" i="40"/>
  <c r="D8" i="40"/>
  <c r="L8" i="40"/>
  <c r="F7" i="40"/>
  <c r="E7" i="40"/>
  <c r="D7" i="40"/>
  <c r="F6" i="40"/>
  <c r="E6" i="40"/>
  <c r="D6" i="40"/>
  <c r="F5" i="40"/>
  <c r="E5" i="40"/>
  <c r="D5" i="40"/>
  <c r="U105" i="46"/>
  <c r="T105" i="46"/>
  <c r="P105" i="46"/>
  <c r="O105" i="46"/>
  <c r="M105" i="46"/>
  <c r="H105" i="46"/>
  <c r="U104" i="46"/>
  <c r="T104" i="46"/>
  <c r="P104" i="46"/>
  <c r="O104" i="46"/>
  <c r="M104" i="46"/>
  <c r="H104" i="46"/>
  <c r="U103" i="46"/>
  <c r="T103" i="46"/>
  <c r="P103" i="46"/>
  <c r="O103" i="46"/>
  <c r="M103" i="46"/>
  <c r="H103" i="46"/>
  <c r="U102" i="46"/>
  <c r="T102" i="46"/>
  <c r="P102" i="46"/>
  <c r="O102" i="46"/>
  <c r="M102" i="46"/>
  <c r="H102" i="46"/>
  <c r="U101" i="46"/>
  <c r="T101" i="46"/>
  <c r="P101" i="46"/>
  <c r="O101" i="46"/>
  <c r="M101" i="46"/>
  <c r="H101" i="46"/>
  <c r="U100" i="46"/>
  <c r="T100" i="46"/>
  <c r="P100" i="46"/>
  <c r="O100" i="46"/>
  <c r="M100" i="46"/>
  <c r="H100" i="46"/>
  <c r="P99" i="46"/>
  <c r="O99" i="46"/>
  <c r="R99" i="46"/>
  <c r="M99" i="46"/>
  <c r="H99" i="46"/>
  <c r="P98" i="46"/>
  <c r="O98" i="46"/>
  <c r="R98" i="46"/>
  <c r="M98" i="46"/>
  <c r="H98" i="46"/>
  <c r="P97" i="46"/>
  <c r="O97" i="46"/>
  <c r="R97" i="46"/>
  <c r="M97" i="46"/>
  <c r="H97" i="46"/>
  <c r="P96" i="46"/>
  <c r="O96" i="46"/>
  <c r="R96" i="46"/>
  <c r="M96" i="46"/>
  <c r="H96" i="46"/>
  <c r="P95" i="46"/>
  <c r="O95" i="46"/>
  <c r="R95" i="46"/>
  <c r="M95" i="46"/>
  <c r="H95" i="46"/>
  <c r="P94" i="46"/>
  <c r="O94" i="46"/>
  <c r="R94" i="46"/>
  <c r="M94" i="46"/>
  <c r="H94" i="46"/>
  <c r="P93" i="46"/>
  <c r="O93" i="46"/>
  <c r="R93" i="46"/>
  <c r="M93" i="46"/>
  <c r="H93" i="46"/>
  <c r="P92" i="46"/>
  <c r="O92" i="46"/>
  <c r="R92" i="46"/>
  <c r="M92" i="46"/>
  <c r="H92" i="46"/>
  <c r="P91" i="46"/>
  <c r="O91" i="46"/>
  <c r="R91" i="46"/>
  <c r="M91" i="46"/>
  <c r="H91" i="46"/>
  <c r="P90" i="46"/>
  <c r="O90" i="46"/>
  <c r="R90" i="46"/>
  <c r="M90" i="46"/>
  <c r="H90" i="46"/>
  <c r="P89" i="46"/>
  <c r="O89" i="46"/>
  <c r="R89" i="46"/>
  <c r="M89" i="46"/>
  <c r="H89" i="46"/>
  <c r="P88" i="46"/>
  <c r="O88" i="46"/>
  <c r="R88" i="46"/>
  <c r="M88" i="46"/>
  <c r="H88" i="46"/>
  <c r="P87" i="46"/>
  <c r="O87" i="46"/>
  <c r="R87" i="46"/>
  <c r="M87" i="46"/>
  <c r="H87" i="46"/>
  <c r="P86" i="46"/>
  <c r="O86" i="46"/>
  <c r="R86" i="46"/>
  <c r="M86" i="46"/>
  <c r="H86" i="46"/>
  <c r="P85" i="46"/>
  <c r="O85" i="46"/>
  <c r="R85" i="46"/>
  <c r="M85" i="46"/>
  <c r="H85" i="46"/>
  <c r="P84" i="46"/>
  <c r="O84" i="46"/>
  <c r="R84" i="46"/>
  <c r="M84" i="46"/>
  <c r="H84" i="46"/>
  <c r="P83" i="46"/>
  <c r="O83" i="46"/>
  <c r="R83" i="46"/>
  <c r="M83" i="46"/>
  <c r="H83" i="46"/>
  <c r="P82" i="46"/>
  <c r="O82" i="46"/>
  <c r="R82" i="46"/>
  <c r="M82" i="46"/>
  <c r="H82" i="46"/>
  <c r="P81" i="46"/>
  <c r="O81" i="46"/>
  <c r="R81" i="46"/>
  <c r="M81" i="46"/>
  <c r="H81" i="46"/>
  <c r="P80" i="46"/>
  <c r="O80" i="46"/>
  <c r="R80" i="46"/>
  <c r="M80" i="46"/>
  <c r="H80" i="46"/>
  <c r="P79" i="46"/>
  <c r="O79" i="46"/>
  <c r="R79" i="46"/>
  <c r="M79" i="46"/>
  <c r="H79" i="46"/>
  <c r="P78" i="46"/>
  <c r="O78" i="46"/>
  <c r="R78" i="46"/>
  <c r="M78" i="46"/>
  <c r="H78" i="46"/>
  <c r="P77" i="46"/>
  <c r="O77" i="46"/>
  <c r="R77" i="46"/>
  <c r="M77" i="46"/>
  <c r="H77" i="46"/>
  <c r="P76" i="46"/>
  <c r="O76" i="46"/>
  <c r="R76" i="46"/>
  <c r="M76" i="46"/>
  <c r="H76" i="46"/>
  <c r="P75" i="46"/>
  <c r="O75" i="46"/>
  <c r="R75" i="46"/>
  <c r="M75" i="46"/>
  <c r="H75" i="46"/>
  <c r="P74" i="46"/>
  <c r="O74" i="46"/>
  <c r="R74" i="46"/>
  <c r="M74" i="46"/>
  <c r="H74" i="46"/>
  <c r="P73" i="46"/>
  <c r="O73" i="46"/>
  <c r="R73" i="46"/>
  <c r="M73" i="46"/>
  <c r="H73" i="46"/>
  <c r="P72" i="46"/>
  <c r="O72" i="46"/>
  <c r="R72" i="46"/>
  <c r="M72" i="46"/>
  <c r="H72" i="46"/>
  <c r="P71" i="46"/>
  <c r="O71" i="46"/>
  <c r="R71" i="46"/>
  <c r="M71" i="46"/>
  <c r="H71" i="46"/>
  <c r="P70" i="46"/>
  <c r="O70" i="46"/>
  <c r="R70" i="46"/>
  <c r="M70" i="46"/>
  <c r="H70" i="46"/>
  <c r="P69" i="46"/>
  <c r="O69" i="46"/>
  <c r="R69" i="46"/>
  <c r="M69" i="46"/>
  <c r="H69" i="46"/>
  <c r="P68" i="46"/>
  <c r="O68" i="46"/>
  <c r="R68" i="46"/>
  <c r="M68" i="46"/>
  <c r="H68" i="46"/>
  <c r="P67" i="46"/>
  <c r="O67" i="46"/>
  <c r="R67" i="46"/>
  <c r="M67" i="46"/>
  <c r="H67" i="46"/>
  <c r="P66" i="46"/>
  <c r="O66" i="46"/>
  <c r="R66" i="46"/>
  <c r="M66" i="46"/>
  <c r="H66" i="46"/>
  <c r="P65" i="46"/>
  <c r="O65" i="46"/>
  <c r="R65" i="46"/>
  <c r="M65" i="46"/>
  <c r="H65" i="46"/>
  <c r="P64" i="46"/>
  <c r="O64" i="46"/>
  <c r="R64" i="46"/>
  <c r="M64" i="46"/>
  <c r="H64" i="46"/>
  <c r="P63" i="46"/>
  <c r="O63" i="46"/>
  <c r="R63" i="46"/>
  <c r="M63" i="46"/>
  <c r="H63" i="46"/>
  <c r="P62" i="46"/>
  <c r="O62" i="46"/>
  <c r="R62" i="46"/>
  <c r="M62" i="46"/>
  <c r="H62" i="46"/>
  <c r="P61" i="46"/>
  <c r="O61" i="46"/>
  <c r="R61" i="46"/>
  <c r="M61" i="46"/>
  <c r="H61" i="46"/>
  <c r="P60" i="46"/>
  <c r="O60" i="46"/>
  <c r="R60" i="46"/>
  <c r="M60" i="46"/>
  <c r="H60" i="46"/>
  <c r="P59" i="46"/>
  <c r="O59" i="46"/>
  <c r="R59" i="46"/>
  <c r="M59" i="46"/>
  <c r="H59" i="46"/>
  <c r="P58" i="46"/>
  <c r="O58" i="46"/>
  <c r="R58" i="46"/>
  <c r="M58" i="46"/>
  <c r="H58" i="46"/>
  <c r="P57" i="46"/>
  <c r="O57" i="46"/>
  <c r="R57" i="46"/>
  <c r="M57" i="46"/>
  <c r="H57" i="46"/>
  <c r="P56" i="46"/>
  <c r="O56" i="46"/>
  <c r="R56" i="46"/>
  <c r="M56" i="46"/>
  <c r="H56" i="46"/>
  <c r="P55" i="46"/>
  <c r="O55" i="46"/>
  <c r="R55" i="46"/>
  <c r="M55" i="46"/>
  <c r="H55" i="46"/>
  <c r="P54" i="46"/>
  <c r="O54" i="46"/>
  <c r="R54" i="46"/>
  <c r="M54" i="46"/>
  <c r="H54" i="46"/>
  <c r="P53" i="46"/>
  <c r="O53" i="46"/>
  <c r="R53" i="46"/>
  <c r="M53" i="46"/>
  <c r="H53" i="46"/>
  <c r="P52" i="46"/>
  <c r="O52" i="46"/>
  <c r="R52" i="46"/>
  <c r="M52" i="46"/>
  <c r="H52" i="46"/>
  <c r="P51" i="46"/>
  <c r="O51" i="46"/>
  <c r="R51" i="46"/>
  <c r="M51" i="46"/>
  <c r="H51" i="46"/>
  <c r="P50" i="46"/>
  <c r="O50" i="46"/>
  <c r="R50" i="46"/>
  <c r="M50" i="46"/>
  <c r="H50" i="46"/>
  <c r="P49" i="46"/>
  <c r="O49" i="46"/>
  <c r="R49" i="46"/>
  <c r="M49" i="46"/>
  <c r="H49" i="46"/>
  <c r="P48" i="46"/>
  <c r="O48" i="46"/>
  <c r="R48" i="46"/>
  <c r="M48" i="46"/>
  <c r="H48" i="46"/>
  <c r="P47" i="46"/>
  <c r="O47" i="46"/>
  <c r="R47" i="46"/>
  <c r="M47" i="46"/>
  <c r="H47" i="46"/>
  <c r="P46" i="46"/>
  <c r="O46" i="46"/>
  <c r="R46" i="46"/>
  <c r="M46" i="46"/>
  <c r="H46" i="46"/>
  <c r="P45" i="46"/>
  <c r="O45" i="46"/>
  <c r="R45" i="46"/>
  <c r="M45" i="46"/>
  <c r="H45" i="46"/>
  <c r="P44" i="46"/>
  <c r="O44" i="46"/>
  <c r="R44" i="46"/>
  <c r="M44" i="46"/>
  <c r="H44" i="46"/>
  <c r="P43" i="46"/>
  <c r="O43" i="46"/>
  <c r="R43" i="46"/>
  <c r="M43" i="46"/>
  <c r="H43" i="46"/>
  <c r="P42" i="46"/>
  <c r="O42" i="46"/>
  <c r="R42" i="46"/>
  <c r="M42" i="46"/>
  <c r="H42" i="46"/>
  <c r="P41" i="46"/>
  <c r="O41" i="46"/>
  <c r="R41" i="46"/>
  <c r="M41" i="46"/>
  <c r="H41" i="46"/>
  <c r="P40" i="46"/>
  <c r="O40" i="46"/>
  <c r="R40" i="46"/>
  <c r="M40" i="46"/>
  <c r="H40" i="46"/>
  <c r="P39" i="46"/>
  <c r="O39" i="46"/>
  <c r="R39" i="46"/>
  <c r="M39" i="46"/>
  <c r="H39" i="46"/>
  <c r="P38" i="46"/>
  <c r="O38" i="46"/>
  <c r="R38" i="46"/>
  <c r="M38" i="46"/>
  <c r="H38" i="46"/>
  <c r="P37" i="46"/>
  <c r="O37" i="46"/>
  <c r="R37" i="46"/>
  <c r="M37" i="46"/>
  <c r="H37" i="46"/>
  <c r="P36" i="46"/>
  <c r="O36" i="46"/>
  <c r="R36" i="46"/>
  <c r="M36" i="46"/>
  <c r="H36" i="46"/>
  <c r="P35" i="46"/>
  <c r="O35" i="46"/>
  <c r="R35" i="46"/>
  <c r="M35" i="46"/>
  <c r="H35" i="46"/>
  <c r="P34" i="46"/>
  <c r="O34" i="46"/>
  <c r="R34" i="46"/>
  <c r="M34" i="46"/>
  <c r="H34" i="46"/>
  <c r="P33" i="46"/>
  <c r="O33" i="46"/>
  <c r="R33" i="46"/>
  <c r="M33" i="46"/>
  <c r="H33" i="46"/>
  <c r="P32" i="46"/>
  <c r="O32" i="46"/>
  <c r="R32" i="46"/>
  <c r="M32" i="46"/>
  <c r="H32" i="46"/>
  <c r="P31" i="46"/>
  <c r="O31" i="46"/>
  <c r="R31" i="46"/>
  <c r="M31" i="46"/>
  <c r="H31" i="46"/>
  <c r="P30" i="46"/>
  <c r="O30" i="46"/>
  <c r="R30" i="46"/>
  <c r="M30" i="46"/>
  <c r="H30" i="46"/>
  <c r="P29" i="46"/>
  <c r="O29" i="46"/>
  <c r="R29" i="46"/>
  <c r="M29" i="46"/>
  <c r="H29" i="46"/>
  <c r="P28" i="46"/>
  <c r="O28" i="46"/>
  <c r="R28" i="46"/>
  <c r="M28" i="46"/>
  <c r="H28" i="46"/>
  <c r="P27" i="46"/>
  <c r="O27" i="46"/>
  <c r="R27" i="46"/>
  <c r="M27" i="46"/>
  <c r="H27" i="46"/>
  <c r="P26" i="46"/>
  <c r="O26" i="46"/>
  <c r="R26" i="46"/>
  <c r="M26" i="46"/>
  <c r="H26" i="46"/>
  <c r="P25" i="46"/>
  <c r="O25" i="46"/>
  <c r="R25" i="46"/>
  <c r="M25" i="46"/>
  <c r="H25" i="46"/>
  <c r="P24" i="46"/>
  <c r="O24" i="46"/>
  <c r="R24" i="46"/>
  <c r="M24" i="46"/>
  <c r="H24" i="46"/>
  <c r="P23" i="46"/>
  <c r="O23" i="46"/>
  <c r="R23" i="46"/>
  <c r="M23" i="46"/>
  <c r="H23" i="46"/>
  <c r="P22" i="46"/>
  <c r="O22" i="46"/>
  <c r="R22" i="46"/>
  <c r="M22" i="46"/>
  <c r="H22" i="46"/>
  <c r="P21" i="46"/>
  <c r="O21" i="46"/>
  <c r="R21" i="46"/>
  <c r="M21" i="46"/>
  <c r="H21" i="46"/>
  <c r="P20" i="46"/>
  <c r="O20" i="46"/>
  <c r="R20" i="46"/>
  <c r="M20" i="46"/>
  <c r="H20" i="46"/>
  <c r="P19" i="46"/>
  <c r="O19" i="46"/>
  <c r="R19" i="46"/>
  <c r="M19" i="46"/>
  <c r="H19" i="46"/>
  <c r="P18" i="46"/>
  <c r="O18" i="46"/>
  <c r="R18" i="46"/>
  <c r="M18" i="46"/>
  <c r="H18" i="46"/>
  <c r="P17" i="46"/>
  <c r="O17" i="46"/>
  <c r="R17" i="46"/>
  <c r="M17" i="46"/>
  <c r="H17" i="46"/>
  <c r="P16" i="46"/>
  <c r="O16" i="46"/>
  <c r="R16" i="46"/>
  <c r="M16" i="46"/>
  <c r="H16" i="46"/>
  <c r="P15" i="46"/>
  <c r="O15" i="46"/>
  <c r="R15" i="46"/>
  <c r="M15" i="46"/>
  <c r="H15" i="46"/>
  <c r="P14" i="46"/>
  <c r="O14" i="46"/>
  <c r="R14" i="46"/>
  <c r="M14" i="46"/>
  <c r="H14" i="46"/>
  <c r="P13" i="46"/>
  <c r="O13" i="46"/>
  <c r="R13" i="46"/>
  <c r="M13" i="46"/>
  <c r="H13" i="46"/>
  <c r="P12" i="46"/>
  <c r="O12" i="46"/>
  <c r="R12" i="46"/>
  <c r="M12" i="46"/>
  <c r="H12" i="46"/>
  <c r="P11" i="46"/>
  <c r="O11" i="46"/>
  <c r="R11" i="46"/>
  <c r="M11" i="46"/>
  <c r="H11" i="46"/>
  <c r="P10" i="46"/>
  <c r="O10" i="46"/>
  <c r="R10" i="46"/>
  <c r="M10" i="46"/>
  <c r="H10" i="46"/>
  <c r="P9" i="46"/>
  <c r="O9" i="46"/>
  <c r="R9" i="46"/>
  <c r="M9" i="46"/>
  <c r="H9" i="46"/>
  <c r="P8" i="46"/>
  <c r="O8" i="46"/>
  <c r="R8" i="46"/>
  <c r="M8" i="46"/>
  <c r="H8" i="46"/>
  <c r="Z7" i="46"/>
  <c r="P7" i="46"/>
  <c r="O7" i="46"/>
  <c r="R7" i="46"/>
  <c r="M7" i="46"/>
  <c r="H7" i="46"/>
  <c r="Z6" i="46"/>
  <c r="P6" i="46"/>
  <c r="O6" i="46"/>
  <c r="R6" i="46"/>
  <c r="M6" i="46"/>
  <c r="H6" i="46"/>
  <c r="Z5" i="46"/>
  <c r="Y2" i="44"/>
  <c r="Q83" i="46"/>
  <c r="S83" i="46"/>
  <c r="T83" i="46"/>
  <c r="U83" i="46"/>
  <c r="Q85" i="46"/>
  <c r="S85" i="46"/>
  <c r="T85" i="46"/>
  <c r="U85" i="46"/>
  <c r="Q92" i="46"/>
  <c r="S92" i="46"/>
  <c r="T92" i="46"/>
  <c r="U92" i="46"/>
  <c r="Q80" i="46"/>
  <c r="S80" i="46"/>
  <c r="T80" i="46"/>
  <c r="U80" i="46"/>
  <c r="Q88" i="46"/>
  <c r="S88" i="46"/>
  <c r="T88" i="46"/>
  <c r="U88" i="46"/>
  <c r="Q95" i="46"/>
  <c r="S95" i="46"/>
  <c r="T95" i="46"/>
  <c r="U95" i="46"/>
  <c r="Q97" i="46"/>
  <c r="S97" i="46"/>
  <c r="T97" i="46"/>
  <c r="U97" i="46"/>
  <c r="Q31" i="46"/>
  <c r="Q27" i="46"/>
  <c r="Q15" i="46"/>
  <c r="Q19" i="46"/>
  <c r="Q11" i="46"/>
  <c r="Q23" i="46"/>
  <c r="Q32" i="46"/>
  <c r="S32" i="46"/>
  <c r="T32" i="46"/>
  <c r="U32" i="46"/>
  <c r="Q33" i="46"/>
  <c r="S33" i="46"/>
  <c r="T33" i="46"/>
  <c r="U33" i="46"/>
  <c r="Q34" i="46"/>
  <c r="S34" i="46"/>
  <c r="T34" i="46"/>
  <c r="U34" i="46"/>
  <c r="Q35" i="46"/>
  <c r="S35" i="46"/>
  <c r="T35" i="46"/>
  <c r="U35" i="46"/>
  <c r="Q36" i="46"/>
  <c r="S36" i="46"/>
  <c r="T36" i="46"/>
  <c r="U36" i="46"/>
  <c r="Q37" i="46"/>
  <c r="S37" i="46"/>
  <c r="T37" i="46"/>
  <c r="U37" i="46"/>
  <c r="Q38" i="46"/>
  <c r="S38" i="46"/>
  <c r="T38" i="46"/>
  <c r="U38" i="46"/>
  <c r="Q39" i="46"/>
  <c r="S39" i="46"/>
  <c r="T39" i="46"/>
  <c r="U39" i="46"/>
  <c r="Q40" i="46"/>
  <c r="S40" i="46"/>
  <c r="T40" i="46"/>
  <c r="U40" i="46"/>
  <c r="Q41" i="46"/>
  <c r="S41" i="46"/>
  <c r="T41" i="46"/>
  <c r="U41" i="46"/>
  <c r="Q42" i="46"/>
  <c r="S42" i="46"/>
  <c r="T42" i="46"/>
  <c r="U42" i="46"/>
  <c r="Q43" i="46"/>
  <c r="S43" i="46"/>
  <c r="T43" i="46"/>
  <c r="U43" i="46"/>
  <c r="Q44" i="46"/>
  <c r="S44" i="46"/>
  <c r="T44" i="46"/>
  <c r="U44" i="46"/>
  <c r="Q45" i="46"/>
  <c r="S45" i="46"/>
  <c r="T45" i="46"/>
  <c r="U45" i="46"/>
  <c r="Q46" i="46"/>
  <c r="S46" i="46"/>
  <c r="T46" i="46"/>
  <c r="U46" i="46"/>
  <c r="Q47" i="46"/>
  <c r="S47" i="46"/>
  <c r="T47" i="46"/>
  <c r="U47" i="46"/>
  <c r="Q48" i="46"/>
  <c r="S48" i="46"/>
  <c r="T48" i="46"/>
  <c r="U48" i="46"/>
  <c r="Q49" i="46"/>
  <c r="S49" i="46"/>
  <c r="T49" i="46"/>
  <c r="U49" i="46"/>
  <c r="Q50" i="46"/>
  <c r="S50" i="46"/>
  <c r="T50" i="46"/>
  <c r="U50" i="46"/>
  <c r="Q51" i="46"/>
  <c r="S51" i="46"/>
  <c r="T51" i="46"/>
  <c r="U51" i="46"/>
  <c r="Q52" i="46"/>
  <c r="S52" i="46"/>
  <c r="T52" i="46"/>
  <c r="U52" i="46"/>
  <c r="Q53" i="46"/>
  <c r="S53" i="46"/>
  <c r="T53" i="46"/>
  <c r="U53" i="46"/>
  <c r="Q54" i="46"/>
  <c r="S54" i="46"/>
  <c r="T54" i="46"/>
  <c r="U54" i="46"/>
  <c r="Q55" i="46"/>
  <c r="S55" i="46"/>
  <c r="T55" i="46"/>
  <c r="U55" i="46"/>
  <c r="Q56" i="46"/>
  <c r="S56" i="46"/>
  <c r="T56" i="46"/>
  <c r="U56" i="46"/>
  <c r="Q57" i="46"/>
  <c r="S57" i="46"/>
  <c r="T57" i="46"/>
  <c r="U57" i="46"/>
  <c r="Q58" i="46"/>
  <c r="S58" i="46"/>
  <c r="T58" i="46"/>
  <c r="U58" i="46"/>
  <c r="Q59" i="46"/>
  <c r="S59" i="46"/>
  <c r="T59" i="46"/>
  <c r="U59" i="46"/>
  <c r="Q60" i="46"/>
  <c r="S60" i="46"/>
  <c r="T60" i="46"/>
  <c r="U60" i="46"/>
  <c r="Q61" i="46"/>
  <c r="S61" i="46"/>
  <c r="T61" i="46"/>
  <c r="U61" i="46"/>
  <c r="Q62" i="46"/>
  <c r="S62" i="46"/>
  <c r="T62" i="46"/>
  <c r="U62" i="46"/>
  <c r="Q63" i="46"/>
  <c r="S63" i="46"/>
  <c r="T63" i="46"/>
  <c r="U63" i="46"/>
  <c r="Q64" i="46"/>
  <c r="S64" i="46"/>
  <c r="T64" i="46"/>
  <c r="U64" i="46"/>
  <c r="Q65" i="46"/>
  <c r="S65" i="46"/>
  <c r="T65" i="46"/>
  <c r="U65" i="46"/>
  <c r="Q66" i="46"/>
  <c r="S66" i="46"/>
  <c r="T66" i="46"/>
  <c r="U66" i="46"/>
  <c r="Q67" i="46"/>
  <c r="S67" i="46"/>
  <c r="T67" i="46"/>
  <c r="U67" i="46"/>
  <c r="Q68" i="46"/>
  <c r="S68" i="46"/>
  <c r="T68" i="46"/>
  <c r="U68" i="46"/>
  <c r="Q69" i="46"/>
  <c r="S69" i="46"/>
  <c r="T69" i="46"/>
  <c r="U69" i="46"/>
  <c r="Q70" i="46"/>
  <c r="S70" i="46"/>
  <c r="T70" i="46"/>
  <c r="U70" i="46"/>
  <c r="Q71" i="46"/>
  <c r="S71" i="46"/>
  <c r="T71" i="46"/>
  <c r="U71" i="46"/>
  <c r="Q72" i="46"/>
  <c r="S72" i="46"/>
  <c r="T72" i="46"/>
  <c r="U72" i="46"/>
  <c r="Q73" i="46"/>
  <c r="S73" i="46"/>
  <c r="T73" i="46"/>
  <c r="U73" i="46"/>
  <c r="Q74" i="46"/>
  <c r="S74" i="46"/>
  <c r="T74" i="46"/>
  <c r="U74" i="46"/>
  <c r="Q75" i="46"/>
  <c r="S75" i="46"/>
  <c r="T75" i="46"/>
  <c r="U75" i="46"/>
  <c r="Q76" i="46"/>
  <c r="S76" i="46"/>
  <c r="T76" i="46"/>
  <c r="U76" i="46"/>
  <c r="Q77" i="46"/>
  <c r="S77" i="46"/>
  <c r="T77" i="46"/>
  <c r="U77" i="46"/>
  <c r="Q78" i="46"/>
  <c r="S78" i="46"/>
  <c r="T78" i="46"/>
  <c r="U78" i="46"/>
  <c r="Q79" i="46"/>
  <c r="S79" i="46"/>
  <c r="T79" i="46"/>
  <c r="U79" i="46"/>
  <c r="Q81" i="46"/>
  <c r="S81" i="46"/>
  <c r="T81" i="46"/>
  <c r="U81" i="46"/>
  <c r="Q82" i="46"/>
  <c r="S82" i="46"/>
  <c r="T82" i="46"/>
  <c r="U82" i="46"/>
  <c r="Q84" i="46"/>
  <c r="S84" i="46"/>
  <c r="T84" i="46"/>
  <c r="U84" i="46"/>
  <c r="Q86" i="46"/>
  <c r="S86" i="46"/>
  <c r="T86" i="46"/>
  <c r="U86" i="46"/>
  <c r="Q87" i="46"/>
  <c r="S87" i="46"/>
  <c r="T87" i="46"/>
  <c r="U87" i="46"/>
  <c r="Q89" i="46"/>
  <c r="S89" i="46"/>
  <c r="T89" i="46"/>
  <c r="U89" i="46"/>
  <c r="Q90" i="46"/>
  <c r="S90" i="46"/>
  <c r="T90" i="46"/>
  <c r="U90" i="46"/>
  <c r="Q91" i="46"/>
  <c r="S91" i="46"/>
  <c r="T91" i="46"/>
  <c r="U91" i="46"/>
  <c r="Q93" i="46"/>
  <c r="S93" i="46"/>
  <c r="T93" i="46"/>
  <c r="U93" i="46"/>
  <c r="Q94" i="46"/>
  <c r="S94" i="46"/>
  <c r="T94" i="46"/>
  <c r="U94" i="46"/>
  <c r="Q96" i="46"/>
  <c r="S96" i="46"/>
  <c r="T96" i="46"/>
  <c r="U96" i="46"/>
  <c r="Q98" i="46"/>
  <c r="S98" i="46"/>
  <c r="T98" i="46"/>
  <c r="U98" i="46"/>
  <c r="Q99" i="46"/>
  <c r="S99" i="46"/>
  <c r="T99" i="46"/>
  <c r="U99" i="46"/>
  <c r="Q100" i="46"/>
  <c r="S100" i="46"/>
  <c r="Q101" i="46"/>
  <c r="S101" i="46"/>
  <c r="Q102" i="46"/>
  <c r="S102" i="46"/>
  <c r="Q103" i="46"/>
  <c r="S103" i="46"/>
  <c r="Q104" i="46"/>
  <c r="S104" i="46"/>
  <c r="Q105" i="46"/>
  <c r="S105" i="46"/>
  <c r="L6" i="40"/>
  <c r="V32" i="46"/>
  <c r="V33" i="46"/>
  <c r="V34" i="46"/>
  <c r="V35" i="46"/>
  <c r="V36" i="46"/>
  <c r="V37" i="46"/>
  <c r="V38" i="46"/>
  <c r="V39" i="46"/>
  <c r="V40" i="46"/>
  <c r="V41" i="46"/>
  <c r="V42" i="46"/>
  <c r="V43" i="46"/>
  <c r="V44" i="46"/>
  <c r="V45" i="46"/>
  <c r="V46" i="46"/>
  <c r="V47" i="46"/>
  <c r="V48" i="46"/>
  <c r="V49" i="46"/>
  <c r="V50" i="46"/>
  <c r="V51" i="46"/>
  <c r="V52" i="46"/>
  <c r="V53" i="46"/>
  <c r="V54" i="46"/>
  <c r="V55" i="46"/>
  <c r="V56" i="46"/>
  <c r="V57" i="46"/>
  <c r="V58" i="46"/>
  <c r="V59" i="46"/>
  <c r="V60" i="46"/>
  <c r="V61" i="46"/>
  <c r="V62" i="46"/>
  <c r="V63" i="46"/>
  <c r="V64" i="46"/>
  <c r="V65" i="46"/>
  <c r="V66" i="46"/>
  <c r="V67" i="46"/>
  <c r="V68" i="46"/>
  <c r="V69" i="46"/>
  <c r="V70" i="46"/>
  <c r="V71" i="46"/>
  <c r="V72" i="46"/>
  <c r="V73" i="46"/>
  <c r="V74" i="46"/>
  <c r="V75" i="46"/>
  <c r="V76" i="46"/>
  <c r="V77" i="46"/>
  <c r="V78" i="46"/>
  <c r="V79" i="46"/>
  <c r="V80" i="46"/>
  <c r="V81" i="46"/>
  <c r="V82" i="46"/>
  <c r="V83" i="46"/>
  <c r="V84" i="46"/>
  <c r="V85" i="46"/>
  <c r="V86" i="46"/>
  <c r="V87" i="46"/>
  <c r="V88" i="46"/>
  <c r="V89" i="46"/>
  <c r="V90" i="46"/>
  <c r="V91" i="46"/>
  <c r="V92" i="46"/>
  <c r="V93" i="46"/>
  <c r="V94" i="46"/>
  <c r="V95" i="46"/>
  <c r="V96" i="46"/>
  <c r="V97" i="46"/>
  <c r="V98" i="46"/>
  <c r="V99" i="46"/>
  <c r="V100" i="46"/>
  <c r="V101" i="46"/>
  <c r="V102" i="46"/>
  <c r="V103" i="46"/>
  <c r="V104" i="46"/>
  <c r="V105" i="46"/>
  <c r="L5" i="40"/>
  <c r="G5" i="40"/>
  <c r="L7" i="40"/>
  <c r="G6" i="40"/>
  <c r="G19" i="40"/>
  <c r="G35" i="40"/>
  <c r="G43" i="40"/>
  <c r="G51" i="40"/>
  <c r="G59" i="40"/>
  <c r="G67" i="40"/>
  <c r="G75" i="40"/>
  <c r="G83" i="40"/>
  <c r="G91" i="40"/>
  <c r="G99" i="40"/>
  <c r="G107" i="40"/>
  <c r="G27" i="40"/>
  <c r="G60" i="40"/>
  <c r="G100" i="40"/>
  <c r="G108" i="40"/>
  <c r="G13" i="40"/>
  <c r="G21" i="40"/>
  <c r="G29" i="40"/>
  <c r="G37" i="40"/>
  <c r="G45" i="40"/>
  <c r="G53" i="40"/>
  <c r="G61" i="40"/>
  <c r="G69" i="40"/>
  <c r="G77" i="40"/>
  <c r="G85" i="40"/>
  <c r="G93" i="40"/>
  <c r="G101" i="40"/>
  <c r="G109" i="40"/>
  <c r="G20" i="40"/>
  <c r="G68" i="40"/>
  <c r="G14" i="40"/>
  <c r="G22" i="40"/>
  <c r="G30" i="40"/>
  <c r="G38" i="40"/>
  <c r="G46" i="40"/>
  <c r="G54" i="40"/>
  <c r="G62" i="40"/>
  <c r="G70" i="40"/>
  <c r="G78" i="40"/>
  <c r="G86" i="40"/>
  <c r="G94" i="40"/>
  <c r="G102" i="40"/>
  <c r="G110" i="40"/>
  <c r="G52" i="40"/>
  <c r="G76" i="40"/>
  <c r="G7" i="40"/>
  <c r="G15" i="40"/>
  <c r="G23" i="40"/>
  <c r="G31" i="40"/>
  <c r="G39" i="40"/>
  <c r="G47" i="40"/>
  <c r="G55" i="40"/>
  <c r="G63" i="40"/>
  <c r="G71" i="40"/>
  <c r="G79" i="40"/>
  <c r="G87" i="40"/>
  <c r="G95" i="40"/>
  <c r="G103" i="40"/>
  <c r="G44" i="40"/>
  <c r="G8" i="40"/>
  <c r="G16" i="40"/>
  <c r="G24" i="40"/>
  <c r="G32" i="40"/>
  <c r="G40" i="40"/>
  <c r="G48" i="40"/>
  <c r="G56" i="40"/>
  <c r="G64" i="40"/>
  <c r="G72" i="40"/>
  <c r="G80" i="40"/>
  <c r="G88" i="40"/>
  <c r="G96" i="40"/>
  <c r="G104" i="40"/>
  <c r="G84" i="40"/>
  <c r="G9" i="40"/>
  <c r="G17" i="40"/>
  <c r="G25" i="40"/>
  <c r="G33" i="40"/>
  <c r="G41" i="40"/>
  <c r="G49" i="40"/>
  <c r="G57" i="40"/>
  <c r="G65" i="40"/>
  <c r="G73" i="40"/>
  <c r="G81" i="40"/>
  <c r="G89" i="40"/>
  <c r="G97" i="40"/>
  <c r="G105" i="40"/>
  <c r="G11" i="40"/>
  <c r="G12" i="40"/>
  <c r="G28" i="40"/>
  <c r="G36" i="40"/>
  <c r="G92" i="40"/>
  <c r="G10" i="40"/>
  <c r="G18" i="40"/>
  <c r="G26" i="40"/>
  <c r="G34" i="40"/>
  <c r="G42" i="40"/>
  <c r="G50" i="40"/>
  <c r="G58" i="40"/>
  <c r="G66" i="40"/>
  <c r="G74" i="40"/>
  <c r="G82" i="40"/>
  <c r="G90" i="40"/>
  <c r="G98" i="40"/>
  <c r="G106" i="40"/>
  <c r="S23" i="46"/>
  <c r="T23" i="46"/>
  <c r="S31" i="46"/>
  <c r="T31" i="46"/>
  <c r="U31" i="46"/>
  <c r="S27" i="46"/>
  <c r="T27" i="46"/>
  <c r="U27" i="46"/>
  <c r="S15" i="46"/>
  <c r="T15" i="46"/>
  <c r="U15" i="46"/>
  <c r="S19" i="46"/>
  <c r="T19" i="46"/>
  <c r="S11" i="46"/>
  <c r="T11" i="46"/>
  <c r="V11" i="46"/>
  <c r="V15" i="46"/>
  <c r="U11" i="46"/>
  <c r="V19" i="46"/>
  <c r="U19" i="46"/>
  <c r="V23" i="46"/>
  <c r="U23" i="46"/>
  <c r="V31" i="46"/>
  <c r="V27" i="46"/>
  <c r="B25" i="22"/>
  <c r="C59" i="23"/>
  <c r="N59" i="23"/>
  <c r="M59" i="23"/>
  <c r="C58" i="23"/>
  <c r="N58" i="23"/>
  <c r="C57" i="23"/>
  <c r="O57" i="23"/>
  <c r="C56" i="23"/>
  <c r="P56" i="23"/>
  <c r="C55" i="23"/>
  <c r="R55" i="23"/>
  <c r="C54" i="23"/>
  <c r="S54" i="23"/>
  <c r="D54" i="23"/>
  <c r="J56" i="23"/>
  <c r="I56" i="23"/>
  <c r="F56" i="23"/>
  <c r="D56" i="23"/>
  <c r="L58" i="23"/>
  <c r="F55" i="23"/>
  <c r="I57" i="23"/>
  <c r="D57" i="23"/>
  <c r="D58" i="23"/>
  <c r="F54" i="23"/>
  <c r="R56" i="23"/>
  <c r="Q56" i="23"/>
  <c r="P55" i="23"/>
  <c r="N56" i="23"/>
  <c r="R57" i="23"/>
  <c r="Q57" i="23"/>
  <c r="O55" i="23"/>
  <c r="M56" i="23"/>
  <c r="M57" i="23"/>
  <c r="G55" i="23"/>
  <c r="L56" i="23"/>
  <c r="L57" i="23"/>
  <c r="P54" i="23"/>
  <c r="O54" i="23"/>
  <c r="N54" i="23"/>
  <c r="Q54" i="23"/>
  <c r="L54" i="23"/>
  <c r="H54" i="23"/>
  <c r="G54" i="23"/>
  <c r="K59" i="23"/>
  <c r="K58" i="23"/>
  <c r="J59" i="23"/>
  <c r="I54" i="23"/>
  <c r="R54" i="23"/>
  <c r="H55" i="23"/>
  <c r="Q55" i="23"/>
  <c r="G56" i="23"/>
  <c r="O56" i="23"/>
  <c r="F57" i="23"/>
  <c r="N57" i="23"/>
  <c r="M58" i="23"/>
  <c r="D59" i="23"/>
  <c r="L59" i="23"/>
  <c r="T59" i="23"/>
  <c r="T58" i="23"/>
  <c r="N55" i="23"/>
  <c r="M55" i="23"/>
  <c r="K57" i="23"/>
  <c r="T57" i="23"/>
  <c r="J58" i="23"/>
  <c r="S58" i="23"/>
  <c r="I59" i="23"/>
  <c r="R59" i="23"/>
  <c r="M54" i="23"/>
  <c r="D55" i="23"/>
  <c r="L55" i="23"/>
  <c r="K56" i="23"/>
  <c r="T56" i="23"/>
  <c r="S56" i="23"/>
  <c r="J57" i="23"/>
  <c r="S57" i="23"/>
  <c r="I58" i="23"/>
  <c r="R58" i="23"/>
  <c r="H59" i="23"/>
  <c r="Q59" i="23"/>
  <c r="S59" i="23"/>
  <c r="K54" i="23"/>
  <c r="T54" i="23"/>
  <c r="J55" i="23"/>
  <c r="S55" i="23"/>
  <c r="K55" i="23"/>
  <c r="T55" i="23"/>
  <c r="H58" i="23"/>
  <c r="Q58" i="23"/>
  <c r="G59" i="23"/>
  <c r="P59" i="23"/>
  <c r="H57" i="23"/>
  <c r="P57" i="23"/>
  <c r="G58" i="23"/>
  <c r="P58" i="23"/>
  <c r="O58" i="23"/>
  <c r="F59" i="23"/>
  <c r="O59" i="23"/>
  <c r="J54" i="23"/>
  <c r="I55" i="23"/>
  <c r="H56" i="23"/>
  <c r="G57" i="23"/>
  <c r="F58" i="23"/>
  <c r="E55" i="23"/>
  <c r="E56" i="23"/>
  <c r="E54" i="23"/>
  <c r="E57" i="23"/>
  <c r="E59" i="23"/>
  <c r="E58" i="23"/>
  <c r="AG57" i="2"/>
  <c r="AE57" i="2"/>
  <c r="AC57" i="2"/>
  <c r="AA57" i="2"/>
  <c r="Y57" i="2"/>
  <c r="W57" i="2"/>
  <c r="U57" i="2"/>
  <c r="S57" i="2"/>
  <c r="Q57" i="2"/>
  <c r="O57" i="2"/>
  <c r="M57" i="2"/>
  <c r="K57" i="2"/>
  <c r="I57" i="2"/>
  <c r="G57" i="2"/>
  <c r="E57" i="2"/>
  <c r="D57" i="2"/>
  <c r="E9" i="48"/>
  <c r="C57" i="2"/>
  <c r="G4" i="2"/>
  <c r="I4" i="2"/>
  <c r="E5" i="23"/>
  <c r="C4" i="2"/>
  <c r="E12" i="48"/>
  <c r="C3" i="2"/>
  <c r="E7" i="48"/>
  <c r="E11" i="48"/>
  <c r="C2" i="2"/>
  <c r="J24" i="48"/>
  <c r="J28" i="48"/>
  <c r="I30" i="48"/>
  <c r="I36" i="48"/>
  <c r="E17" i="48"/>
  <c r="E15" i="48"/>
  <c r="I38" i="48"/>
  <c r="I25" i="48"/>
  <c r="J29" i="48"/>
  <c r="I35" i="48"/>
  <c r="J31" i="48"/>
  <c r="I27" i="48"/>
  <c r="J27" i="48"/>
  <c r="J34" i="48"/>
  <c r="J32" i="48"/>
  <c r="I34" i="48"/>
  <c r="J30" i="48"/>
  <c r="J38" i="48"/>
  <c r="I32" i="48"/>
  <c r="J33" i="48"/>
  <c r="J26" i="48"/>
  <c r="I26" i="48"/>
  <c r="I24" i="48"/>
  <c r="J35" i="48"/>
  <c r="I28" i="48"/>
  <c r="I31" i="48"/>
  <c r="I29" i="48"/>
  <c r="J25" i="48"/>
  <c r="J37" i="48"/>
  <c r="I33" i="48"/>
  <c r="I37" i="48"/>
  <c r="J36" i="48"/>
  <c r="E8" i="48"/>
  <c r="E16" i="48"/>
  <c r="A31" i="38"/>
  <c r="B39" i="22"/>
  <c r="B38" i="22"/>
  <c r="B37" i="22"/>
  <c r="B36" i="22"/>
  <c r="B35" i="22"/>
  <c r="B34" i="22"/>
  <c r="B33" i="22"/>
  <c r="B32" i="22"/>
  <c r="B31" i="22"/>
  <c r="B30" i="22"/>
  <c r="B29" i="22"/>
  <c r="B28" i="22"/>
  <c r="B27" i="22"/>
  <c r="B26" i="22"/>
  <c r="Q20" i="46"/>
  <c r="Q22" i="46"/>
  <c r="Q16" i="46"/>
  <c r="Q7" i="46"/>
  <c r="Q29" i="46"/>
  <c r="Q17" i="46"/>
  <c r="Q24" i="46"/>
  <c r="Q6" i="46"/>
  <c r="Q8" i="46"/>
  <c r="Q25" i="46"/>
  <c r="Q14" i="46"/>
  <c r="Q28" i="46"/>
  <c r="Q10" i="46"/>
  <c r="Q26" i="46"/>
  <c r="Q30" i="46"/>
  <c r="Q9" i="46"/>
  <c r="Q13" i="46"/>
  <c r="Q18" i="46"/>
  <c r="Q21" i="46"/>
  <c r="Q12" i="46"/>
  <c r="S21" i="46"/>
  <c r="T21" i="46"/>
  <c r="V21" i="46"/>
  <c r="S29" i="46"/>
  <c r="T29" i="46"/>
  <c r="U29" i="46"/>
  <c r="S9" i="46"/>
  <c r="T9" i="46"/>
  <c r="V9" i="46"/>
  <c r="S8" i="46"/>
  <c r="T8" i="46"/>
  <c r="S13" i="46"/>
  <c r="T13" i="46"/>
  <c r="V13" i="46"/>
  <c r="S25" i="46"/>
  <c r="T25" i="46"/>
  <c r="V25" i="46"/>
  <c r="S16" i="46"/>
  <c r="T16" i="46"/>
  <c r="S18" i="46"/>
  <c r="T18" i="46"/>
  <c r="S7" i="46"/>
  <c r="T7" i="46"/>
  <c r="V7" i="46"/>
  <c r="S28" i="46"/>
  <c r="T28" i="46"/>
  <c r="U28" i="46"/>
  <c r="S17" i="46"/>
  <c r="T17" i="46"/>
  <c r="V17" i="46"/>
  <c r="S14" i="46"/>
  <c r="T14" i="46"/>
  <c r="S12" i="46"/>
  <c r="T12" i="46"/>
  <c r="V12" i="46"/>
  <c r="S10" i="46"/>
  <c r="T10" i="46"/>
  <c r="U10" i="46"/>
  <c r="S24" i="46"/>
  <c r="T24" i="46"/>
  <c r="U24" i="46"/>
  <c r="S26" i="46"/>
  <c r="T26" i="46"/>
  <c r="S20" i="46"/>
  <c r="T20" i="46"/>
  <c r="V20" i="46"/>
  <c r="S30" i="46"/>
  <c r="T30" i="46"/>
  <c r="V30" i="46"/>
  <c r="S6" i="46"/>
  <c r="T6" i="46"/>
  <c r="S22" i="46"/>
  <c r="T22" i="46"/>
  <c r="V29" i="46"/>
  <c r="V28" i="46"/>
  <c r="V24" i="46"/>
  <c r="V10" i="46"/>
  <c r="V6" i="46"/>
  <c r="U6" i="46"/>
  <c r="V16" i="46"/>
  <c r="U16" i="46"/>
  <c r="U20" i="46"/>
  <c r="U17" i="46"/>
  <c r="U9" i="46"/>
  <c r="V22" i="46"/>
  <c r="U22" i="46"/>
  <c r="V26" i="46"/>
  <c r="U26" i="46"/>
  <c r="V14" i="46"/>
  <c r="U14" i="46"/>
  <c r="U18" i="46"/>
  <c r="V18" i="46"/>
  <c r="V8" i="46"/>
  <c r="U8" i="46"/>
  <c r="U7" i="46"/>
  <c r="U30" i="46"/>
  <c r="U13" i="46"/>
  <c r="U25" i="46"/>
  <c r="U12" i="46"/>
  <c r="U21" i="46"/>
  <c r="K4" i="2"/>
  <c r="M4" i="2"/>
  <c r="O4" i="2"/>
  <c r="Q4" i="2"/>
  <c r="S4" i="2"/>
  <c r="U4" i="2"/>
  <c r="W4" i="2"/>
  <c r="Y4" i="2"/>
  <c r="AA4" i="2"/>
  <c r="AC4" i="2"/>
  <c r="AE4" i="2"/>
  <c r="AG4" i="2"/>
  <c r="J134" i="40"/>
  <c r="J147" i="40"/>
  <c r="J120" i="40"/>
  <c r="J144" i="40"/>
  <c r="J121" i="40"/>
  <c r="K128" i="40"/>
  <c r="K116" i="40"/>
  <c r="I115" i="40"/>
  <c r="J116" i="40"/>
  <c r="I144" i="40"/>
  <c r="I131" i="40"/>
  <c r="J132" i="40"/>
  <c r="J112" i="40"/>
  <c r="J125" i="40"/>
  <c r="J150" i="40"/>
  <c r="J111" i="40"/>
  <c r="J114" i="40"/>
  <c r="K127" i="40"/>
  <c r="K135" i="40"/>
  <c r="I114" i="40"/>
  <c r="J115" i="40"/>
  <c r="J149" i="40"/>
  <c r="J139" i="40"/>
  <c r="I122" i="40"/>
  <c r="J130" i="40"/>
  <c r="I149" i="40"/>
  <c r="I127" i="40"/>
  <c r="K145" i="40"/>
  <c r="J148" i="40"/>
  <c r="I128" i="40"/>
  <c r="K18" i="40"/>
  <c r="J64" i="40"/>
  <c r="J9" i="40"/>
  <c r="K89" i="40"/>
  <c r="J47" i="40"/>
  <c r="J109" i="40"/>
  <c r="I49" i="40"/>
  <c r="I73" i="40"/>
  <c r="I27" i="40"/>
  <c r="J36" i="40"/>
  <c r="I20" i="40"/>
  <c r="J22" i="40"/>
  <c r="K91" i="40"/>
  <c r="I53" i="40"/>
  <c r="I92" i="40"/>
  <c r="K56" i="40"/>
  <c r="I57" i="40"/>
  <c r="K14" i="40"/>
  <c r="J107" i="40"/>
  <c r="K60" i="40"/>
  <c r="J73" i="40"/>
  <c r="K24" i="40"/>
  <c r="I66" i="40"/>
  <c r="I35" i="40"/>
  <c r="J87" i="40"/>
  <c r="I90" i="40"/>
  <c r="J14" i="40"/>
  <c r="I29" i="40"/>
  <c r="I68" i="40"/>
  <c r="J49" i="40"/>
  <c r="J29" i="40"/>
  <c r="K45" i="40"/>
  <c r="K48" i="40"/>
  <c r="K99" i="40"/>
  <c r="J68" i="40"/>
  <c r="J100" i="40"/>
  <c r="I18" i="40"/>
  <c r="K87" i="40"/>
  <c r="K52" i="40"/>
  <c r="K83" i="40"/>
  <c r="J102" i="40"/>
  <c r="J80" i="40"/>
  <c r="I51" i="40"/>
  <c r="K76" i="40"/>
  <c r="J63" i="40"/>
  <c r="K69" i="40"/>
  <c r="K29" i="40"/>
  <c r="J85" i="40"/>
  <c r="J93" i="40"/>
  <c r="K44" i="40"/>
  <c r="K8" i="40"/>
  <c r="J78" i="40"/>
  <c r="K32" i="40"/>
  <c r="J34" i="40"/>
  <c r="I14" i="40"/>
  <c r="K33" i="40"/>
  <c r="J74" i="40"/>
  <c r="I48" i="40"/>
  <c r="K78" i="40"/>
  <c r="J10" i="40"/>
  <c r="K109" i="40"/>
  <c r="K64" i="40"/>
  <c r="I16" i="40"/>
  <c r="K53" i="40"/>
  <c r="I59" i="40"/>
  <c r="K105" i="40"/>
  <c r="K66" i="40"/>
  <c r="J7" i="40"/>
  <c r="J18" i="40"/>
  <c r="K36" i="40"/>
  <c r="J50" i="40"/>
  <c r="I101" i="40"/>
  <c r="J40" i="40"/>
  <c r="K107" i="40"/>
  <c r="I44" i="40"/>
  <c r="J101" i="40"/>
  <c r="I41" i="40"/>
  <c r="K104" i="40"/>
  <c r="K23" i="40"/>
  <c r="I46" i="40"/>
  <c r="K149" i="40"/>
  <c r="J118" i="40"/>
  <c r="K119" i="40"/>
  <c r="I118" i="40"/>
  <c r="K121" i="40"/>
  <c r="J126" i="40"/>
  <c r="K113" i="40"/>
  <c r="J138" i="40"/>
  <c r="I135" i="40"/>
  <c r="J113" i="40"/>
  <c r="K125" i="40"/>
  <c r="K131" i="40"/>
  <c r="J135" i="40"/>
  <c r="I148" i="40"/>
  <c r="J137" i="40"/>
  <c r="J128" i="40"/>
  <c r="K141" i="40"/>
  <c r="K134" i="40"/>
  <c r="I130" i="40"/>
  <c r="I150" i="40"/>
  <c r="J145" i="40"/>
  <c r="K137" i="40"/>
  <c r="J124" i="40"/>
  <c r="J119" i="40"/>
  <c r="K129" i="40"/>
  <c r="I129" i="40"/>
  <c r="K143" i="40"/>
  <c r="K142" i="40"/>
  <c r="I111" i="40"/>
  <c r="K150" i="40"/>
  <c r="J66" i="40"/>
  <c r="I33" i="40"/>
  <c r="K6" i="40"/>
  <c r="J25" i="40"/>
  <c r="K110" i="40"/>
  <c r="I96" i="40"/>
  <c r="J99" i="40"/>
  <c r="I91" i="40"/>
  <c r="K49" i="40"/>
  <c r="K84" i="40"/>
  <c r="J16" i="40"/>
  <c r="J13" i="40"/>
  <c r="I71" i="40"/>
  <c r="I43" i="40"/>
  <c r="J6" i="40"/>
  <c r="K12" i="40"/>
  <c r="I78" i="40"/>
  <c r="J32" i="40"/>
  <c r="J71" i="40"/>
  <c r="J54" i="40"/>
  <c r="K30" i="40"/>
  <c r="K40" i="40"/>
  <c r="I110" i="40"/>
  <c r="K39" i="40"/>
  <c r="I61" i="40"/>
  <c r="K100" i="40"/>
  <c r="J95" i="40"/>
  <c r="I5" i="40"/>
  <c r="J65" i="40"/>
  <c r="J58" i="40"/>
  <c r="I11" i="40"/>
  <c r="I74" i="40"/>
  <c r="J20" i="40"/>
  <c r="I7" i="40"/>
  <c r="J42" i="40"/>
  <c r="K7" i="40"/>
  <c r="K25" i="40"/>
  <c r="K19" i="40"/>
  <c r="I9" i="40"/>
  <c r="J46" i="40"/>
  <c r="J76" i="40"/>
  <c r="J5" i="40"/>
  <c r="I85" i="40"/>
  <c r="J75" i="40"/>
  <c r="J89" i="40"/>
  <c r="J62" i="40"/>
  <c r="K47" i="40"/>
  <c r="J108" i="40"/>
  <c r="I10" i="40"/>
  <c r="J45" i="40"/>
  <c r="J70" i="40"/>
  <c r="J17" i="40"/>
  <c r="I109" i="40"/>
  <c r="J57" i="40"/>
  <c r="K68" i="40"/>
  <c r="J53" i="40"/>
  <c r="J98" i="40"/>
  <c r="I6" i="40"/>
  <c r="I12" i="40"/>
  <c r="K26" i="40"/>
  <c r="K38" i="40"/>
  <c r="J48" i="40"/>
  <c r="K46" i="40"/>
  <c r="I95" i="40"/>
  <c r="I72" i="40"/>
  <c r="J43" i="40"/>
  <c r="I45" i="40"/>
  <c r="K43" i="40"/>
  <c r="I22" i="40"/>
  <c r="I108" i="40"/>
  <c r="I17" i="40"/>
  <c r="I82" i="40"/>
  <c r="K98" i="40"/>
  <c r="J81" i="40"/>
  <c r="J94" i="40"/>
  <c r="I19" i="40"/>
  <c r="J35" i="40"/>
  <c r="I26" i="40"/>
  <c r="K97" i="40"/>
  <c r="J31" i="40"/>
  <c r="I125" i="40"/>
  <c r="K122" i="40"/>
  <c r="I143" i="40"/>
  <c r="J142" i="40"/>
  <c r="K140" i="40"/>
  <c r="K124" i="40"/>
  <c r="J133" i="40"/>
  <c r="I126" i="40"/>
  <c r="I139" i="40"/>
  <c r="I132" i="40"/>
  <c r="K114" i="40"/>
  <c r="I136" i="40"/>
  <c r="K126" i="40"/>
  <c r="J136" i="40"/>
  <c r="K111" i="40"/>
  <c r="K132" i="40"/>
  <c r="K118" i="40"/>
  <c r="K138" i="40"/>
  <c r="J143" i="40"/>
  <c r="I119" i="40"/>
  <c r="I142" i="40"/>
  <c r="J122" i="40"/>
  <c r="J131" i="40"/>
  <c r="K117" i="40"/>
  <c r="J117" i="40"/>
  <c r="J140" i="40"/>
  <c r="I146" i="40"/>
  <c r="I113" i="40"/>
  <c r="K146" i="40"/>
  <c r="I141" i="40"/>
  <c r="K34" i="40"/>
  <c r="I37" i="40"/>
  <c r="I32" i="40"/>
  <c r="K16" i="40"/>
  <c r="I97" i="40"/>
  <c r="J56" i="40"/>
  <c r="I25" i="40"/>
  <c r="I58" i="40"/>
  <c r="K94" i="40"/>
  <c r="I88" i="40"/>
  <c r="K103" i="40"/>
  <c r="K101" i="40"/>
  <c r="I8" i="40"/>
  <c r="K74" i="40"/>
  <c r="J38" i="40"/>
  <c r="J82" i="40"/>
  <c r="J96" i="40"/>
  <c r="K54" i="40"/>
  <c r="K72" i="40"/>
  <c r="I76" i="40"/>
  <c r="K62" i="40"/>
  <c r="J37" i="40"/>
  <c r="I15" i="40"/>
  <c r="I75" i="40"/>
  <c r="J11" i="40"/>
  <c r="K67" i="40"/>
  <c r="K81" i="40"/>
  <c r="J33" i="40"/>
  <c r="K51" i="40"/>
  <c r="J67" i="40"/>
  <c r="K96" i="40"/>
  <c r="K92" i="40"/>
  <c r="I103" i="40"/>
  <c r="J79" i="40"/>
  <c r="J44" i="40"/>
  <c r="K75" i="40"/>
  <c r="I107" i="40"/>
  <c r="K61" i="40"/>
  <c r="I24" i="40"/>
  <c r="J86" i="40"/>
  <c r="I62" i="40"/>
  <c r="I40" i="40"/>
  <c r="K63" i="40"/>
  <c r="I63" i="40"/>
  <c r="J77" i="40"/>
  <c r="K28" i="40"/>
  <c r="J8" i="40"/>
  <c r="I69" i="40"/>
  <c r="K13" i="40"/>
  <c r="K41" i="40"/>
  <c r="K73" i="40"/>
  <c r="I106" i="40"/>
  <c r="I39" i="40"/>
  <c r="K59" i="40"/>
  <c r="I60" i="40"/>
  <c r="J84" i="40"/>
  <c r="I81" i="40"/>
  <c r="I80" i="40"/>
  <c r="J83" i="40"/>
  <c r="J55" i="40"/>
  <c r="I98" i="40"/>
  <c r="I34" i="40"/>
  <c r="J72" i="40"/>
  <c r="J19" i="40"/>
  <c r="K5" i="40"/>
  <c r="I28" i="40"/>
  <c r="K10" i="40"/>
  <c r="J91" i="40"/>
  <c r="I79" i="40"/>
  <c r="J92" i="40"/>
  <c r="K11" i="40"/>
  <c r="K65" i="40"/>
  <c r="J59" i="40"/>
  <c r="I86" i="40"/>
  <c r="K42" i="40"/>
  <c r="K79" i="40"/>
  <c r="I99" i="40"/>
  <c r="J90" i="40"/>
  <c r="K71" i="40"/>
  <c r="J127" i="40"/>
  <c r="I124" i="40"/>
  <c r="K123" i="40"/>
  <c r="I133" i="40"/>
  <c r="K147" i="40"/>
  <c r="I121" i="40"/>
  <c r="I116" i="40"/>
  <c r="K133" i="40"/>
  <c r="I147" i="40"/>
  <c r="I138" i="40"/>
  <c r="I140" i="40"/>
  <c r="I123" i="40"/>
  <c r="J129" i="40"/>
  <c r="K148" i="40"/>
  <c r="J123" i="40"/>
  <c r="I145" i="40"/>
  <c r="I137" i="40"/>
  <c r="K139" i="40"/>
  <c r="I117" i="40"/>
  <c r="J146" i="40"/>
  <c r="K120" i="40"/>
  <c r="I134" i="40"/>
  <c r="I120" i="40"/>
  <c r="I112" i="40"/>
  <c r="K144" i="40"/>
  <c r="K112" i="40"/>
  <c r="K115" i="40"/>
  <c r="J141" i="40"/>
  <c r="K130" i="40"/>
  <c r="K136" i="40"/>
  <c r="J110" i="40"/>
  <c r="I52" i="40"/>
  <c r="I70" i="40"/>
  <c r="J60" i="40"/>
  <c r="I36" i="40"/>
  <c r="I67" i="40"/>
  <c r="K31" i="40"/>
  <c r="I102" i="40"/>
  <c r="J27" i="40"/>
  <c r="J88" i="40"/>
  <c r="K22" i="40"/>
  <c r="J51" i="40"/>
  <c r="J23" i="40"/>
  <c r="K21" i="40"/>
  <c r="K58" i="40"/>
  <c r="K37" i="40"/>
  <c r="I21" i="40"/>
  <c r="K108" i="40"/>
  <c r="K77" i="40"/>
  <c r="J12" i="40"/>
  <c r="I83" i="40"/>
  <c r="K95" i="40"/>
  <c r="I23" i="40"/>
  <c r="K80" i="40"/>
  <c r="J28" i="40"/>
  <c r="J97" i="40"/>
  <c r="K35" i="40"/>
  <c r="I87" i="40"/>
  <c r="I64" i="40"/>
  <c r="J26" i="40"/>
  <c r="I77" i="40"/>
  <c r="J41" i="40"/>
  <c r="K102" i="40"/>
  <c r="I94" i="40"/>
  <c r="I93" i="40"/>
  <c r="J24" i="40"/>
  <c r="I105" i="40"/>
  <c r="K106" i="40"/>
  <c r="I56" i="40"/>
  <c r="K90" i="40"/>
  <c r="I89" i="40"/>
  <c r="K86" i="40"/>
  <c r="K20" i="40"/>
  <c r="J104" i="40"/>
  <c r="K88" i="40"/>
  <c r="I38" i="40"/>
  <c r="K50" i="40"/>
  <c r="K85" i="40"/>
  <c r="K70" i="40"/>
  <c r="J105" i="40"/>
  <c r="J15" i="40"/>
  <c r="J30" i="40"/>
  <c r="I30" i="40"/>
  <c r="J21" i="40"/>
  <c r="I47" i="40"/>
  <c r="K27" i="40"/>
  <c r="I84" i="40"/>
  <c r="K57" i="40"/>
  <c r="J52" i="40"/>
  <c r="I42" i="40"/>
  <c r="K82" i="40"/>
  <c r="I55" i="40"/>
  <c r="I65" i="40"/>
  <c r="J69" i="40"/>
  <c r="J106" i="40"/>
  <c r="K15" i="40"/>
  <c r="I100" i="40"/>
  <c r="K17" i="40"/>
  <c r="K93" i="40"/>
  <c r="I104" i="40"/>
  <c r="K55" i="40"/>
  <c r="I54" i="40"/>
  <c r="K9" i="40"/>
  <c r="J103" i="40"/>
  <c r="I50" i="40"/>
  <c r="I31" i="40"/>
  <c r="J61" i="40"/>
  <c r="J39" i="40"/>
  <c r="I13" i="40"/>
  <c r="A46" i="4" l="1"/>
  <c r="A30" i="38"/>
  <c r="A31" i="37"/>
  <c r="Z4" i="41"/>
  <c r="A45" i="6"/>
  <c r="A46" i="6"/>
  <c r="Z3" i="41"/>
  <c r="A45" i="4"/>
  <c r="Z5" i="41"/>
</calcChain>
</file>

<file path=xl/sharedStrings.xml><?xml version="1.0" encoding="utf-8"?>
<sst xmlns="http://schemas.openxmlformats.org/spreadsheetml/2006/main" count="3706" uniqueCount="922">
  <si>
    <t>r[,1]</t>
  </si>
  <si>
    <t>n[,1]</t>
  </si>
  <si>
    <t>r[,2]</t>
  </si>
  <si>
    <t>n[,2]</t>
  </si>
  <si>
    <t>t[,1]</t>
  </si>
  <si>
    <t>t[,2]</t>
  </si>
  <si>
    <t>na[]</t>
  </si>
  <si>
    <t>Treatment ID</t>
  </si>
  <si>
    <t>Drug</t>
  </si>
  <si>
    <t>Study #</t>
  </si>
  <si>
    <t>Study Name</t>
  </si>
  <si>
    <t># of Events</t>
  </si>
  <si>
    <t># of Patients</t>
  </si>
  <si>
    <t>Legend</t>
  </si>
  <si>
    <t>Number of Studies</t>
  </si>
  <si>
    <t>Number of Treatments</t>
  </si>
  <si>
    <t>#open log file</t>
  </si>
  <si>
    <t>display('log')</t>
  </si>
  <si>
    <t># check model</t>
  </si>
  <si>
    <t>#load datalist</t>
  </si>
  <si>
    <t>#compile with 3 chains</t>
  </si>
  <si>
    <t>compile(3)</t>
  </si>
  <si>
    <t>#generate inits</t>
  </si>
  <si>
    <t>gen.inits()</t>
  </si>
  <si>
    <t>#run burn in</t>
  </si>
  <si>
    <t xml:space="preserve">#monitor </t>
  </si>
  <si>
    <t>#run model</t>
  </si>
  <si>
    <t>model{</t>
  </si>
  <si>
    <t xml:space="preserve">     mu[i] ~ dnorm(0,.0001)                                                   # vague priors for baselines</t>
  </si>
  <si>
    <t xml:space="preserve">}                                                                </t>
  </si>
  <si>
    <t>}</t>
  </si>
  <si>
    <t>d[1]&lt;-0</t>
  </si>
  <si>
    <t xml:space="preserve"># Treatment 1 baseline, based on average of NP trials including it. </t>
  </si>
  <si>
    <t xml:space="preserve"># ranking </t>
  </si>
  <si>
    <t>Winbugs Directory</t>
  </si>
  <si>
    <t>Burn In Runs</t>
  </si>
  <si>
    <t>Model Runs</t>
  </si>
  <si>
    <t>Fixed Effects</t>
  </si>
  <si>
    <t>Monitor Rank</t>
  </si>
  <si>
    <t>Monitor Best</t>
  </si>
  <si>
    <t>Include DIC</t>
  </si>
  <si>
    <t>date/time</t>
  </si>
  <si>
    <t>r[,3]</t>
  </si>
  <si>
    <t>n[,3]</t>
  </si>
  <si>
    <t>r[,4]</t>
  </si>
  <si>
    <t>n[,4]</t>
  </si>
  <si>
    <t>t[,3]</t>
  </si>
  <si>
    <t>t[,4]</t>
  </si>
  <si>
    <t>Data directory</t>
  </si>
  <si>
    <t>Results Directoty</t>
  </si>
  <si>
    <t>Data Table File Name</t>
  </si>
  <si>
    <t>Fixed Effects Model File Name</t>
  </si>
  <si>
    <t>Random Effects Model File Name</t>
  </si>
  <si>
    <t>Data table List File Name</t>
  </si>
  <si>
    <t>Random Effects Inits File name</t>
  </si>
  <si>
    <t>Fixed Effects Inits File name</t>
  </si>
  <si>
    <t>Fixed Effects Results File Name</t>
  </si>
  <si>
    <t>Random Effects Results File Name</t>
  </si>
  <si>
    <t>Fixed Effect Results</t>
  </si>
  <si>
    <t>Random Effect Results</t>
  </si>
  <si>
    <t>Fixed Effect Model</t>
  </si>
  <si>
    <t>Random Effect Model</t>
  </si>
  <si>
    <t>Data Table</t>
  </si>
  <si>
    <t>Data List</t>
  </si>
  <si>
    <t>Fixed Effect Inits</t>
  </si>
  <si>
    <t>Random Effect Inits</t>
  </si>
  <si>
    <t>Monitor Risk Ratio</t>
  </si>
  <si>
    <t>Include Gelman Rubin for OR</t>
  </si>
  <si>
    <t>Include Trace for OR</t>
  </si>
  <si>
    <t>Include Trace for RR</t>
  </si>
  <si>
    <t>Include Gelman Rubin for RR</t>
  </si>
  <si>
    <t>Inits Ranges</t>
  </si>
  <si>
    <t>Include Resdev</t>
  </si>
  <si>
    <t># View Results</t>
  </si>
  <si>
    <t># save results</t>
  </si>
  <si>
    <t>#load data table</t>
  </si>
  <si>
    <t># ranking best and probability</t>
  </si>
  <si>
    <t>for(i in 1:NS)</t>
  </si>
  <si>
    <t xml:space="preserve"> { </t>
  </si>
  <si>
    <t xml:space="preserve">     for (k in 1:na[i])  </t>
  </si>
  <si>
    <t xml:space="preserve">            </t>
  </si>
  <si>
    <t>{</t>
  </si>
  <si>
    <t xml:space="preserve"> </t>
  </si>
  <si>
    <t xml:space="preserve"> }   </t>
  </si>
  <si>
    <t>for (k in 2:NT)</t>
  </si>
  <si>
    <t>d[k] ~ dnorm(0,.0001) #  vague priors for basic parameters</t>
  </si>
  <si>
    <t xml:space="preserve">}                       </t>
  </si>
  <si>
    <t xml:space="preserve">{ </t>
  </si>
  <si>
    <t xml:space="preserve">for (k in 1:NT) </t>
  </si>
  <si>
    <t xml:space="preserve">   </t>
  </si>
  <si>
    <t>for (h in 1:NT)</t>
  </si>
  <si>
    <t xml:space="preserve">for (c in 1:(NT-1)) </t>
  </si>
  <si>
    <t xml:space="preserve">{  </t>
  </si>
  <si>
    <t xml:space="preserve">for (k in (c+1):NT)  </t>
  </si>
  <si>
    <t xml:space="preserve">}  </t>
  </si>
  <si>
    <t>#END Program</t>
  </si>
  <si>
    <t>model</t>
  </si>
  <si>
    <t xml:space="preserve">        </t>
  </si>
  <si>
    <t xml:space="preserve"> w[i,1] &lt;-0</t>
  </si>
  <si>
    <t xml:space="preserve">         delta[i,1]&lt;-0</t>
  </si>
  <si>
    <t xml:space="preserve">         for (k in 1:na[i])  </t>
  </si>
  <si>
    <t xml:space="preserve">         </t>
  </si>
  <si>
    <t xml:space="preserve">             </t>
  </si>
  <si>
    <t xml:space="preserve">          </t>
  </si>
  <si>
    <t xml:space="preserve">for (k in 2:na[i]) </t>
  </si>
  <si>
    <t xml:space="preserve">              </t>
  </si>
  <si>
    <t xml:space="preserve">}   </t>
  </si>
  <si>
    <t>Automatically run</t>
  </si>
  <si>
    <t>OR[c,k] &lt;- exp(d[k] - d[c] )</t>
  </si>
  <si>
    <t>Treatment Comparisons</t>
  </si>
  <si>
    <t>2.5% CI</t>
  </si>
  <si>
    <t>Median</t>
  </si>
  <si>
    <t>97.5% CI</t>
  </si>
  <si>
    <t>lOR[c,k]&lt;-d[k]-d[c]</t>
  </si>
  <si>
    <t>Number of Treatment 1 Studies</t>
  </si>
  <si>
    <t>Program Settings</t>
  </si>
  <si>
    <t>WinBUGS Settings</t>
  </si>
  <si>
    <t>Select "True" to monitor; Convergence traces for OR and RR and/or Gelman Rubin traces for OR and RR</t>
  </si>
  <si>
    <t>Enter the number of "Burn In" runs and Model Runs</t>
  </si>
  <si>
    <t>Inits and SD are randomly selected between a low and high value.  These low and high values can be entered here</t>
  </si>
  <si>
    <t>Enter the name of the results files</t>
  </si>
  <si>
    <t>Run WinBUGS</t>
  </si>
  <si>
    <t># this code for this model was adapted from WinBUGS code from the multi-parameter Evidence Synthesis Research Group at the University of Bristol:  Website: www.bris.ac.uk/cobm/research/mpes</t>
  </si>
  <si>
    <t>OR</t>
  </si>
  <si>
    <t>Monitor Rank Probability (Rankogram)</t>
  </si>
  <si>
    <t xml:space="preserve">Monitor Odds Ratio </t>
  </si>
  <si>
    <t xml:space="preserve">Inits Fixed Effects </t>
  </si>
  <si>
    <t xml:space="preserve">Inits Random Effects </t>
  </si>
  <si>
    <t xml:space="preserve">WinBUGs Data Table and List Statement </t>
  </si>
  <si>
    <t>DISCLAIMER:</t>
  </si>
  <si>
    <t>Events are "BAD"</t>
  </si>
  <si>
    <t>Monitor Number Needed to Treat</t>
  </si>
  <si>
    <t>best[k]&lt;-equals(rk[k],1)</t>
  </si>
  <si>
    <t>Enter the path for the WinBUGS program or click folder to open Explorer window</t>
  </si>
  <si>
    <t>Low range for SD (Random Effects)</t>
  </si>
  <si>
    <t>High range for SD (Random Effects)</t>
  </si>
  <si>
    <t>Low Range for Inits  (Random and Fixed Effects)</t>
  </si>
  <si>
    <t>High range for Inits (Random and Fixed Effects)</t>
  </si>
  <si>
    <t>Enter the path for the results and data files that excel generates  click folder to open Explorer window</t>
  </si>
  <si>
    <t>Treatment Arms</t>
  </si>
  <si>
    <t>Comparisons</t>
  </si>
  <si>
    <t>r[i,k] ~ dbin(p[i,k],n[i,k])                                                     # binomial likelihood</t>
  </si>
  <si>
    <t xml:space="preserve">          SUCRA[i]&lt;-sum(cumeffectiveness[i,1:(NT-1)])/(NT-1) # The surface under the cumulative rankings for treatment i.</t>
  </si>
  <si>
    <t>for(i in 1:NT)</t>
  </si>
  <si>
    <t>All Cause Mortality</t>
  </si>
  <si>
    <t>Subjective</t>
  </si>
  <si>
    <t>Pharmacological vs Pharmacological</t>
  </si>
  <si>
    <t>Non-Pharmacological (Any)</t>
  </si>
  <si>
    <t>Semi-Objective</t>
  </si>
  <si>
    <t>Mean</t>
  </si>
  <si>
    <t>Sigma^2</t>
  </si>
  <si>
    <t>Sigma</t>
  </si>
  <si>
    <t>Intervention Type</t>
  </si>
  <si>
    <t>Outcome Type</t>
  </si>
  <si>
    <t>Intervention Type /Outcomes</t>
  </si>
  <si>
    <t>#events bad</t>
  </si>
  <si>
    <t>#events good</t>
  </si>
  <si>
    <t># events good</t>
  </si>
  <si>
    <t># events bad</t>
  </si>
  <si>
    <t># Informative log-normal prior  for heterogeneity variance parameter tau - Turner 2012</t>
  </si>
  <si>
    <t xml:space="preserve"> #  vague prior for random effects standard deviation</t>
  </si>
  <si>
    <t>Monitor Risk Difference</t>
  </si>
  <si>
    <t>Vague Prior</t>
  </si>
  <si>
    <t xml:space="preserve">r[i,k] ~ dbin(p[i,k],n[i,k])        # binomial likelihood </t>
  </si>
  <si>
    <t xml:space="preserve">} </t>
  </si>
  <si>
    <t xml:space="preserve">totresdev &lt;- sum(resdev[])       # Total Residual Deviance </t>
  </si>
  <si>
    <t>#Fixed effects model for multi-arm trials (any number of arms) - developed based on WinBUGS code from  Multi-parameter Evidence Synthesis Research Group at the University of Bristol  Website: www.bris.ac.uk/cobm/research/mpes</t>
  </si>
  <si>
    <t xml:space="preserve">model        </t>
  </si>
  <si>
    <t xml:space="preserve">for (k in 1:na[i])      # LOOP THROUGH ARMS </t>
  </si>
  <si>
    <t xml:space="preserve">dev[i,k] &lt;- 2* (r[i,k] * (log(r[i,k])-log(rhat[i,k])) + (n[i,k]-r[i,k]) *(log(n[i,k]-r[i,k]) - log(n[i,k]-rhat[i,k]))) #Deviance contribution </t>
  </si>
  <si>
    <t xml:space="preserve">d[k,k]&lt;- 0 </t>
  </si>
  <si>
    <t xml:space="preserve"> d[c,k] ~ dnorm(0,.0001)</t>
  </si>
  <si>
    <t xml:space="preserve">}  #PROGRAM ENDS </t>
  </si>
  <si>
    <t xml:space="preserve">rhat[i,k]&lt;- p[i,k] * n[i,k]     # expected value of the numerators </t>
  </si>
  <si>
    <t xml:space="preserve">mu[i]~ dnorm(0,.0001)      # vague priors for trial baselines </t>
  </si>
  <si>
    <t xml:space="preserve">logit(p[i,k]) &lt;- mu[i] + d[t[i,1],t[i,k]]    #model for linear predictor </t>
  </si>
  <si>
    <t xml:space="preserve">resdev[i] &lt;- sum(dev[i,1:na[i]])   # summed residual deviance contribution for this trial </t>
  </si>
  <si>
    <t xml:space="preserve">  }   </t>
  </si>
  <si>
    <t>totresdev &lt;- sum(resdev[])   # Total Residual Deviance</t>
  </si>
  <si>
    <t xml:space="preserve">  }  </t>
  </si>
  <si>
    <t>sd ~ dunif(0,5)  # vague prior for between-trial standard deviation</t>
  </si>
  <si>
    <t>var &lt;- pow(sd,2) # between-trial variance</t>
  </si>
  <si>
    <t>tau &lt;- 1/var     # between-trial precision</t>
  </si>
  <si>
    <t># Random effects model for multi-arm trials (any number of arms) - developed based on WinBUGS code from  Multi-parameter Evidence Synthesis Research Group at the University of Bristol  Website: www.bris.ac.uk/cobm/research/mpes</t>
  </si>
  <si>
    <t>model                      # *** PROGRAM STARTS</t>
  </si>
  <si>
    <t>r[i,k] ~ dbin(p[i,k],n[i,k]) # binomial likelihood</t>
  </si>
  <si>
    <t xml:space="preserve"> logit(p[i,k]) &lt;- mu[i] + delta[i,k]  # model for linear predictor</t>
  </si>
  <si>
    <t xml:space="preserve">rhat[i,k] &lt;- p[i,k] * n[i,k] # expected value of the numerators </t>
  </si>
  <si>
    <t>delta[i,1]&lt;-0           # treatment effect is zero in control arm</t>
  </si>
  <si>
    <t>mu[i] ~ dnorm(0,.0001)  # vague priors for trial baselines</t>
  </si>
  <si>
    <t>for (k in 1:na[i])     # LOOP THROUGH ARMS</t>
  </si>
  <si>
    <t>resdev[i] &lt;- sum(dev[i,1:na[i]]) # summed residual deviance contribution for this trial</t>
  </si>
  <si>
    <t>dev[i,k] &lt;- 2 * (r[i,k] * (log(r[i,k])-log(rhat[i,k]))  +  (n[i,k]-r[i,k]) * (log(n[i,k]-r[i,k]) - log(n[i,k]-rhat[i,k])))   #Deviance contribution</t>
  </si>
  <si>
    <t>for (k in 2:na[i])   # LOOP THROUGH ARMS</t>
  </si>
  <si>
    <t>delta[i,k] ~ dnorm(d[t[i,1],t[i,k]] ,tau) # trial-specific LOR distributions</t>
  </si>
  <si>
    <t xml:space="preserve">d[c,k] ~ dnorm(0,.0001)  </t>
  </si>
  <si>
    <t>} # PROGRAM ENDS</t>
  </si>
  <si>
    <t>set(dev)</t>
  </si>
  <si>
    <t>set(d)</t>
  </si>
  <si>
    <t>set(totresdev)</t>
  </si>
  <si>
    <t>for(i in 1:NS)            # LOOP THROUGH STUDIES</t>
  </si>
  <si>
    <t>for (c in 1:(NT-1))  # priors for all mean treatment effects</t>
  </si>
  <si>
    <t xml:space="preserve">for(i in 1:NS)            # LOOP THROUGH STUDIES </t>
  </si>
  <si>
    <t xml:space="preserve">for (k in 1:NT)      # set effects of k vs k to zero </t>
  </si>
  <si>
    <t xml:space="preserve">for (c in 1:(NT-1))       # priors for all mean treatment effects </t>
  </si>
  <si>
    <t>for (k in (c+1):NT)</t>
  </si>
  <si>
    <t>quit()</t>
  </si>
  <si>
    <t>Study</t>
  </si>
  <si>
    <t>Treatment</t>
  </si>
  <si>
    <t>Inconsistency Model</t>
  </si>
  <si>
    <t>Consistency Model</t>
  </si>
  <si>
    <t>Difference</t>
  </si>
  <si>
    <t>Data Labels</t>
  </si>
  <si>
    <t>Treament Name</t>
  </si>
  <si>
    <t>Study Name, Treatment Name</t>
  </si>
  <si>
    <t>Source:  Turner 2012</t>
  </si>
  <si>
    <t>Correct for Zero Values</t>
  </si>
  <si>
    <t>Top</t>
  </si>
  <si>
    <t>Bottom</t>
  </si>
  <si>
    <t>sheet11</t>
  </si>
  <si>
    <t>sheet15</t>
  </si>
  <si>
    <t>sheet20</t>
  </si>
  <si>
    <t>None</t>
  </si>
  <si>
    <t>Random Effects  (Informative)</t>
  </si>
  <si>
    <t>Monitor SUCRA</t>
  </si>
  <si>
    <t>Analysis</t>
  </si>
  <si>
    <t>Random Effects (Vague)</t>
  </si>
  <si>
    <t>Pharmacological vs Control/Placebo</t>
  </si>
  <si>
    <t>Outcome</t>
  </si>
  <si>
    <t>Informative</t>
  </si>
  <si>
    <t>Vague</t>
  </si>
  <si>
    <t>Treatments</t>
  </si>
  <si>
    <t>Comparison Spacing</t>
  </si>
  <si>
    <t>Analyses</t>
  </si>
  <si>
    <t>Abbreviation</t>
  </si>
  <si>
    <t>Rank</t>
  </si>
  <si>
    <t>Treatmen 1</t>
  </si>
  <si>
    <t>Treatment 2</t>
  </si>
  <si>
    <t>2.5% Cr.I.</t>
  </si>
  <si>
    <t>97.5% Cr.I.</t>
  </si>
  <si>
    <t>Treatment 1</t>
  </si>
  <si>
    <t>Treatment Name</t>
  </si>
  <si>
    <t>Treatment #</t>
  </si>
  <si>
    <t>Marker Size</t>
  </si>
  <si>
    <t>SUCRA</t>
  </si>
  <si>
    <t>InConsistency Model</t>
  </si>
  <si>
    <t>Fixed Effects Odds Ratios</t>
  </si>
  <si>
    <t>Random Effects Odds Ratios</t>
  </si>
  <si>
    <t>Plot Size</t>
  </si>
  <si>
    <t>Base Node Size</t>
  </si>
  <si>
    <t xml:space="preserve">1. NO WARRANTIES
NetMetaXL (HEREINAFTER CALLED "THIS PROGRAM") IS PROVIDED FREE OF CHARGE AND “AS IS” WITHOUT ANY WARRANTY WHATSOEVER. YOU ASSUME ALL RISKS AND RESPONSIBILITIES FOR SELECTION OF THIS PROGRAM TO ACHIEVE YOUR INTENDED RESULTS, AND FOR THE INSTALLATION OF, USE OF AND RESULTS OBTAINED FROM THIS PROGRAM. THE CREATORS OF THIS PROGRAM MAKE NO WARRANTY THAT THIS PROGRAM WILL BE ERROR FREE OR FREE FROM INTERRUPTION OR FAILURE. TO THE MAXIMUM EXTENT PERMITTED BY APPLICABLE LAW, THE CREATORS OF THIS PROGRAM DISCLAIMS ALL WARRANTIES, EITHER EXPRESS OR IMPLIED, INCLUDING BUT NOT LIMITED TO, WARRANTIES OR REPRESENTATIONS OF WORKMANSHIP, SUITABILITY OR FITNESS FOR A PARTICULAR PURPOSE, DURABILITY, AND NON INFRINGEMENT WITH RESPECT TO THIS PROGRAM. WITHOUT LIMITING THE GENERALITY OF THE FOREGOING, THE CREATORS OF THIS PROGRAM DO NOT WARRANT THAT THIS PROGRAM WILL MEET ALL OF YOUR NEEDS OR THAT OPERATION OF THIS PROGRAM WILL BE ERROR-FREE.  THE CREATORS OF THIS PROGRAM EXPRESSLY DISCLAIMS ANY EXPRESS OR IMPLIED WARRANTY REGARDING SYSTEM AND/OR SOFTWARE AVAILABILITY, ACCESSIBILITY, OR PERFORMANCE. THE CREATORS OF THIS PROGRAM RESERVES THE RIGHT TO REVISE THIS PROGRAM AND TO MAKE CHANGES THEREIN FROM TIME TO TIME WITHOUT OBLIGATION TO NOTIFY ANY PERSON OR ORGANISATION OF SUCH REVISION OR CHANGES.
2. LIMITATIONS ON LIABILITY
TO THE MAXIMUM EXTENT PERMITTED BY APPLICABLE LAW, IN NO EVENT WILL THE CREATORS OF THIS PROGRAM OR ITS SUPPLIERS OR LICENSORS BE LIABLE FOR ANY DAMAGES WHATSOEVER (INCLUDING, WITHOUT LIMITATION, DAMAGES FOR LOSS OF BUSINESS PROFITS, BUSINESS INTERRUPTION, LOSS OF BUSINESS INFORMATION, LOSS OF GOODWILL; WORK STOPPAGE; HARDWARE OR SOFTWARE FAILURE, OR OTHER PECUNIARY LOSS) ARISING OUT OF THE USE OR INABILITY TO USE THIS PROGRAM. YOU ASSUME THE ENTIRE COST OF ANY DAMAGE RESULTING FROM YOUR USE OF THIS PROGRAM AND THE INFORMATION CONTAINED IN OR COMPILED BY THIS PROGRAM.
3. GENERAL
THE TERM OF THIS AGREEMENT SHALL CONTINUE FROM THE DATE OF ACCEPTANCE TO THE DATE AT WHICH YOU REMOVE THIS PROGRAM FROM YOUR COMPUTER. SECTION 2 HEREIN SHALL SURVIVE TERMINATION OF THIS AGREEMENT.  
</t>
  </si>
  <si>
    <t>r[,5]</t>
  </si>
  <si>
    <t>n[,5]</t>
  </si>
  <si>
    <t>t[,5]</t>
  </si>
  <si>
    <t>cumeffectiveness[k,h]&lt;-sum(prob[k,1:h])   # The cumulative ranking probability of treatment i to be among the j best treatments.</t>
  </si>
  <si>
    <t>prob[k,h]&lt;-equals(rk[k],h)</t>
  </si>
  <si>
    <t>Bar Chart (Individual Treatments)</t>
  </si>
  <si>
    <t>Line Graph (Individual Treatments)</t>
  </si>
  <si>
    <t>Line Graph (All Treatments)</t>
  </si>
  <si>
    <t>Stacked Bar Chart (All Treatments)</t>
  </si>
  <si>
    <t>Chart Type</t>
  </si>
  <si>
    <t>set(sd)</t>
  </si>
  <si>
    <t>Draw Rankogram</t>
  </si>
  <si>
    <t>Inits Random Effects (Vague)</t>
  </si>
  <si>
    <t>Inits Random Effects (Informative)</t>
  </si>
  <si>
    <t>Inits Fixed Effects</t>
  </si>
  <si>
    <t>Study ID</t>
  </si>
  <si>
    <t>Random Effects (Informative) Inits File name</t>
  </si>
  <si>
    <t>Hide</t>
  </si>
  <si>
    <t>Low range for SD/VAR (Random Effects)</t>
  </si>
  <si>
    <t>High range for SD/VAR (Random Effects)</t>
  </si>
  <si>
    <t>Max LogORs</t>
  </si>
  <si>
    <t>Include date/time Stamp</t>
  </si>
  <si>
    <t>Uniquely labels each set of results with date/time of analysis</t>
  </si>
  <si>
    <t>Characteristic</t>
  </si>
  <si>
    <t>Number</t>
  </si>
  <si>
    <t>Comparison</t>
  </si>
  <si>
    <t xml:space="preserve">Treatment  </t>
  </si>
  <si>
    <t># Events</t>
  </si>
  <si>
    <t># Patients</t>
  </si>
  <si>
    <r>
      <t>Network Characteristics</t>
    </r>
    <r>
      <rPr>
        <sz val="12"/>
        <color theme="1"/>
        <rFont val="Calibri"/>
        <family val="2"/>
        <scheme val="minor"/>
      </rPr>
      <t> </t>
    </r>
  </si>
  <si>
    <t>Min. Rate</t>
  </si>
  <si>
    <t>Max. Rate</t>
  </si>
  <si>
    <r>
      <t># Studies</t>
    </r>
    <r>
      <rPr>
        <b/>
        <sz val="8"/>
        <rFont val="Calibri"/>
        <family val="2"/>
        <scheme val="minor"/>
      </rPr>
      <t> </t>
    </r>
  </si>
  <si>
    <t>Aggregate Rate</t>
  </si>
  <si>
    <t>Direct Comparison Characteristics</t>
  </si>
  <si>
    <r>
      <t>Intervention Characteristics</t>
    </r>
    <r>
      <rPr>
        <sz val="12"/>
        <color theme="1"/>
        <rFont val="Calibri"/>
        <family val="2"/>
        <scheme val="minor"/>
      </rPr>
      <t> </t>
    </r>
  </si>
  <si>
    <t>Number of Interventions</t>
  </si>
  <si>
    <t>Total Number of Patients in Network</t>
  </si>
  <si>
    <t>Total Number of Events in Network</t>
  </si>
  <si>
    <t>Total Possible Pairwise Comparisons</t>
  </si>
  <si>
    <t>Total Number Pairwise Comparisons With Direct Data</t>
  </si>
  <si>
    <t>Number of Two-arm Studies</t>
  </si>
  <si>
    <t>Number of Multi-Arms Studies</t>
  </si>
  <si>
    <t>Number of Studies With At Least One Zero Event</t>
  </si>
  <si>
    <t>Number of Studies with All Zero Events</t>
  </si>
  <si>
    <t>Number of Studies With  No Zero Events</t>
  </si>
  <si>
    <t>C:\Program Files\WinBUGS14\</t>
  </si>
  <si>
    <t>A</t>
  </si>
  <si>
    <t>B</t>
  </si>
  <si>
    <t>C</t>
  </si>
  <si>
    <t>D</t>
  </si>
  <si>
    <t>E</t>
  </si>
  <si>
    <t>F</t>
  </si>
  <si>
    <t>G</t>
  </si>
  <si>
    <t>H</t>
  </si>
  <si>
    <t>I</t>
  </si>
  <si>
    <t>J</t>
  </si>
  <si>
    <t>K</t>
  </si>
  <si>
    <t>L</t>
  </si>
  <si>
    <t>M</t>
  </si>
  <si>
    <t>N</t>
  </si>
  <si>
    <t>O</t>
  </si>
  <si>
    <t>C:\WinBUGS data\</t>
  </si>
  <si>
    <t>C:\WinBUGS Results\</t>
  </si>
  <si>
    <t>logit(p[i,k]) &lt;- mu[i] + d[t[i,k]] - d[t[i,1]]</t>
  </si>
  <si>
    <t>rhat[i,k] &lt;- p[i,k] * n[i,k]</t>
  </si>
  <si>
    <t>totresdev &lt;- sum(resdev[])</t>
  </si>
  <si>
    <t># Total Residual Deviance</t>
  </si>
  <si>
    <t># summed residual deviance contribution for this trial</t>
  </si>
  <si>
    <t>resdev[i] &lt;- sum(dev[i,1:na[i]])</t>
  </si>
  <si>
    <t xml:space="preserve">  </t>
  </si>
  <si>
    <t xml:space="preserve"># expected value of the numerators </t>
  </si>
  <si>
    <t># model for linear predictor</t>
  </si>
  <si>
    <t># vague priors for all trial baselines</t>
  </si>
  <si>
    <t># LOOP THROUGH ARMS</t>
  </si>
  <si>
    <t>dev[i,k] &lt;- 2 * (r[i,k] * (log(r[i,k])-log(rhat[i,k])) +  (n[i,k]-r[i,k]) * (log(n[i,k]-r[i,k]) - log(n[i,k]-rhat[i,k])))</t>
  </si>
  <si>
    <t>#Deviance contribution</t>
  </si>
  <si>
    <t>totresdev &lt;- sum(resdev[])      # Total Residual Deviance</t>
  </si>
  <si>
    <t># adjustment for multi-arm trials is zero for control arm</t>
  </si>
  <si>
    <t># treatment effect is zero for control arm</t>
  </si>
  <si>
    <t xml:space="preserve">         mu[i] ~ dnorm(0,.0001)                                                </t>
  </si>
  <si>
    <t xml:space="preserve">logit(p[i,k]) &lt;- mu[i] + delta[i,k]  </t>
  </si>
  <si>
    <t xml:space="preserve">r[i,k] ~ dbin(p[i,k],n[i,k]) </t>
  </si>
  <si>
    <t># binomial likelihood</t>
  </si>
  <si>
    <t xml:space="preserve">rhat[i,k] &lt;- p[i,k] * n[i,k]  </t>
  </si>
  <si>
    <t xml:space="preserve"> dev[i,k] &lt;- 2 * (r[i,k] * (log(r[i,k])-log(rhat[i,k]))   +  (n[i,k]-r[i,k]) * (log(n[i,k]-r[i,k]) - log(n[i,k]-rhat[i,k]))) </t>
  </si>
  <si>
    <t>#  summed residual deviance contribution for this trial</t>
  </si>
  <si>
    <t>delta[i,k] ~ dnorm(md[i,k],taud[i,k])</t>
  </si>
  <si>
    <t>md[i,k] &lt;-  d[t[i,k]] - d[t[i,1]] + sw[i,k]</t>
  </si>
  <si>
    <t>taud[i,k] &lt;- tau *2*(k-1)/k</t>
  </si>
  <si>
    <t>w[i,k] &lt;- (delta[i,k] - d[t[i,k]] + d[t[i,1]])</t>
  </si>
  <si>
    <t>sw[i,k] &lt;- sum(w[i,1:k-1])/(k-1)</t>
  </si>
  <si>
    <t># cumulative adjustment for multi-arm trials</t>
  </si>
  <si>
    <t># adjustment for multi-arm RCTs</t>
  </si>
  <si>
    <t># precision of LOR distributions (with multi-arm trial correction)</t>
  </si>
  <si>
    <t># mean of LOR distributions (with multi-arm trial correction)</t>
  </si>
  <si>
    <t># trial-specific LOR distributions</t>
  </si>
  <si>
    <t xml:space="preserve"> # LOOP THROUGH ARMS</t>
  </si>
  <si>
    <t xml:space="preserve"># pairwise ORs </t>
  </si>
  <si>
    <t># pairwise ORs</t>
  </si>
  <si>
    <t>INDOIV</t>
  </si>
  <si>
    <t>IBUIV</t>
  </si>
  <si>
    <t>IBUPO</t>
  </si>
  <si>
    <t>PARAPO</t>
  </si>
  <si>
    <t>IBUIVHIGHDOSE</t>
  </si>
  <si>
    <t>IBUPOHIGHDOSE</t>
  </si>
  <si>
    <t>IBUIVCONT</t>
  </si>
  <si>
    <t>INDOIVCONT</t>
  </si>
  <si>
    <t>INDOTHERS</t>
  </si>
  <si>
    <t>PLAC_NORX</t>
  </si>
  <si>
    <t>r[,6]</t>
  </si>
  <si>
    <t>n[,6]</t>
  </si>
  <si>
    <t>r[,7]</t>
  </si>
  <si>
    <t>n[,7]</t>
  </si>
  <si>
    <t>r[,8]</t>
  </si>
  <si>
    <t>n[,8]</t>
  </si>
  <si>
    <t>r[,9]</t>
  </si>
  <si>
    <t>n[,9]</t>
  </si>
  <si>
    <t>r[,10]</t>
  </si>
  <si>
    <t>n[,10]</t>
  </si>
  <si>
    <t>t[,6]</t>
  </si>
  <si>
    <t>t[,7]</t>
  </si>
  <si>
    <t>t[,8]</t>
  </si>
  <si>
    <t>t[,9]</t>
  </si>
  <si>
    <t>t[,10]</t>
  </si>
  <si>
    <t>NA</t>
  </si>
  <si>
    <t>END</t>
  </si>
  <si>
    <t>INDOIV vs. IBUPO</t>
  </si>
  <si>
    <t>IBUIV vs. PLAC_NORX</t>
  </si>
  <si>
    <t>INDOIV vs. INDOTHERS</t>
  </si>
  <si>
    <t>INDOIV vs. PARAPO</t>
  </si>
  <si>
    <t>IBUPO vs. PLAC_NORX</t>
  </si>
  <si>
    <t>IBUPO vs. PARAPO</t>
  </si>
  <si>
    <t>IBUIV vs. IBUPO</t>
  </si>
  <si>
    <t>INDOIV vs. INDOIVCONT</t>
  </si>
  <si>
    <t>INDOIV vs. PLAC_NORX</t>
  </si>
  <si>
    <t>IBUIV vs. INDOIVCONT</t>
  </si>
  <si>
    <t>IBUIV vs. IBUIVHIGHDOSE</t>
  </si>
  <si>
    <t>IBUPO vs. INDOTHERS</t>
  </si>
  <si>
    <t>INDOIV vs. IBUIV</t>
  </si>
  <si>
    <t>IBUIV vs. IBUIVCONT</t>
  </si>
  <si>
    <t>IBUPO vs. IBUPOHIGHDOSE</t>
  </si>
  <si>
    <t>INDOTHERS vs. PLAC_NORX</t>
  </si>
  <si>
    <t>display(log)</t>
  </si>
  <si>
    <t>data(C:/WinBUGS data/Inconsistency Data List.txt)</t>
  </si>
  <si>
    <t>data(C:/WinBUGS data/Inconsistency Data Table.txt)</t>
  </si>
  <si>
    <t>stats(*)</t>
  </si>
  <si>
    <t>model is syntactically correct</t>
  </si>
  <si>
    <t>data(C:/WinBUGS data/Data List.txt)</t>
  </si>
  <si>
    <t>data loaded</t>
  </si>
  <si>
    <t>data(C:/WinBUGS data/Data Table.txt)</t>
  </si>
  <si>
    <t>model compiled</t>
  </si>
  <si>
    <t>dic.set()</t>
  </si>
  <si>
    <t>set(rk)</t>
  </si>
  <si>
    <t>set(best)</t>
  </si>
  <si>
    <t>set(OR)</t>
  </si>
  <si>
    <t>set(prob)</t>
  </si>
  <si>
    <t>set(resdev)</t>
  </si>
  <si>
    <t>set(SUCRA)</t>
  </si>
  <si>
    <t>Node statistics</t>
  </si>
  <si>
    <t xml:space="preserve"> node</t>
  </si>
  <si>
    <t xml:space="preserve"> mean</t>
  </si>
  <si>
    <t xml:space="preserve"> sd</t>
  </si>
  <si>
    <t xml:space="preserve"> MC error</t>
  </si>
  <si>
    <t>median</t>
  </si>
  <si>
    <t>start</t>
  </si>
  <si>
    <t>sample</t>
  </si>
  <si>
    <t>OR[1,2]</t>
  </si>
  <si>
    <t>OR[1,3]</t>
  </si>
  <si>
    <t>OR[1,4]</t>
  </si>
  <si>
    <t>OR[1,5]</t>
  </si>
  <si>
    <t>OR[1,6]</t>
  </si>
  <si>
    <t>OR[1,7]</t>
  </si>
  <si>
    <t>OR[1,8]</t>
  </si>
  <si>
    <t>OR[1,9]</t>
  </si>
  <si>
    <t>OR[1,10]</t>
  </si>
  <si>
    <t>OR[2,3]</t>
  </si>
  <si>
    <t>OR[2,4]</t>
  </si>
  <si>
    <t>OR[2,5]</t>
  </si>
  <si>
    <t>OR[2,6]</t>
  </si>
  <si>
    <t>OR[2,7]</t>
  </si>
  <si>
    <t>OR[2,8]</t>
  </si>
  <si>
    <t>OR[2,9]</t>
  </si>
  <si>
    <t>OR[2,10]</t>
  </si>
  <si>
    <t>OR[3,4]</t>
  </si>
  <si>
    <t>OR[3,5]</t>
  </si>
  <si>
    <t>OR[3,6]</t>
  </si>
  <si>
    <t>OR[3,7]</t>
  </si>
  <si>
    <t>OR[3,8]</t>
  </si>
  <si>
    <t>OR[3,9]</t>
  </si>
  <si>
    <t>OR[3,10]</t>
  </si>
  <si>
    <t>OR[4,5]</t>
  </si>
  <si>
    <t>OR[4,6]</t>
  </si>
  <si>
    <t>OR[4,7]</t>
  </si>
  <si>
    <t>OR[4,8]</t>
  </si>
  <si>
    <t>OR[4,9]</t>
  </si>
  <si>
    <t>OR[4,10]</t>
  </si>
  <si>
    <t>OR[5,6]</t>
  </si>
  <si>
    <t>OR[5,7]</t>
  </si>
  <si>
    <t>OR[5,8]</t>
  </si>
  <si>
    <t>OR[5,9]</t>
  </si>
  <si>
    <t>OR[5,10]</t>
  </si>
  <si>
    <t>OR[6,7]</t>
  </si>
  <si>
    <t>OR[6,8]</t>
  </si>
  <si>
    <t>OR[6,9]</t>
  </si>
  <si>
    <t>OR[6,10]</t>
  </si>
  <si>
    <t>OR[7,8]</t>
  </si>
  <si>
    <t>OR[7,9]</t>
  </si>
  <si>
    <t>OR[7,10]</t>
  </si>
  <si>
    <t>OR[8,9]</t>
  </si>
  <si>
    <t>OR[8,10]</t>
  </si>
  <si>
    <t>OR[9,10]</t>
  </si>
  <si>
    <t>SUCRA[1]</t>
  </si>
  <si>
    <t>SUCRA[2]</t>
  </si>
  <si>
    <t>SUCRA[3]</t>
  </si>
  <si>
    <t>SUCRA[4]</t>
  </si>
  <si>
    <t>SUCRA[5]</t>
  </si>
  <si>
    <t>SUCRA[6]</t>
  </si>
  <si>
    <t>SUCRA[7]</t>
  </si>
  <si>
    <t>SUCRA[8]</t>
  </si>
  <si>
    <t>SUCRA[9]</t>
  </si>
  <si>
    <t>SUCRA[10]</t>
  </si>
  <si>
    <t>best[1]</t>
  </si>
  <si>
    <t>best[2]</t>
  </si>
  <si>
    <t>best[3]</t>
  </si>
  <si>
    <t>best[4]</t>
  </si>
  <si>
    <t>best[5]</t>
  </si>
  <si>
    <t>best[6]</t>
  </si>
  <si>
    <t>best[7]</t>
  </si>
  <si>
    <t>best[8]</t>
  </si>
  <si>
    <t>best[9]</t>
  </si>
  <si>
    <t>best[10]</t>
  </si>
  <si>
    <t>dev[1,1]</t>
  </si>
  <si>
    <t>dev[1,2]</t>
  </si>
  <si>
    <t>dev[2,1]</t>
  </si>
  <si>
    <t>dev[2,2]</t>
  </si>
  <si>
    <t>dev[3,1]</t>
  </si>
  <si>
    <t>dev[3,2]</t>
  </si>
  <si>
    <t>dev[4,1]</t>
  </si>
  <si>
    <t>dev[4,2]</t>
  </si>
  <si>
    <t>dev[5,1]</t>
  </si>
  <si>
    <t>dev[5,2]</t>
  </si>
  <si>
    <t>dev[6,1]</t>
  </si>
  <si>
    <t>dev[6,2]</t>
  </si>
  <si>
    <t>dev[7,1]</t>
  </si>
  <si>
    <t>dev[7,2]</t>
  </si>
  <si>
    <t>dev[8,1]</t>
  </si>
  <si>
    <t>dev[8,2]</t>
  </si>
  <si>
    <t>dev[9,1]</t>
  </si>
  <si>
    <t>dev[9,2]</t>
  </si>
  <si>
    <t>dev[10,1]</t>
  </si>
  <si>
    <t>dev[10,2]</t>
  </si>
  <si>
    <t>dev[11,1]</t>
  </si>
  <si>
    <t>dev[11,2]</t>
  </si>
  <si>
    <t>dev[12,1]</t>
  </si>
  <si>
    <t>dev[12,2]</t>
  </si>
  <si>
    <t>dev[13,1]</t>
  </si>
  <si>
    <t>dev[13,2]</t>
  </si>
  <si>
    <t>dev[14,1]</t>
  </si>
  <si>
    <t>dev[14,2]</t>
  </si>
  <si>
    <t>dev[15,1]</t>
  </si>
  <si>
    <t>dev[15,2]</t>
  </si>
  <si>
    <t>dev[16,1]</t>
  </si>
  <si>
    <t>dev[16,2]</t>
  </si>
  <si>
    <t>dev[17,1]</t>
  </si>
  <si>
    <t>dev[17,2]</t>
  </si>
  <si>
    <t>dev[18,1]</t>
  </si>
  <si>
    <t>dev[18,2]</t>
  </si>
  <si>
    <t>dev[19,1]</t>
  </si>
  <si>
    <t>dev[19,2]</t>
  </si>
  <si>
    <t>dev[20,1]</t>
  </si>
  <si>
    <t>dev[20,2]</t>
  </si>
  <si>
    <t>dev[21,1]</t>
  </si>
  <si>
    <t>dev[21,2]</t>
  </si>
  <si>
    <t>dev[22,1]</t>
  </si>
  <si>
    <t>dev[22,2]</t>
  </si>
  <si>
    <t>dev[23,1]</t>
  </si>
  <si>
    <t>dev[23,2]</t>
  </si>
  <si>
    <t>dev[24,1]</t>
  </si>
  <si>
    <t>dev[24,2]</t>
  </si>
  <si>
    <t>dev[25,1]</t>
  </si>
  <si>
    <t>dev[25,2]</t>
  </si>
  <si>
    <t>dev[26,1]</t>
  </si>
  <si>
    <t>dev[26,2]</t>
  </si>
  <si>
    <t>dev[27,1]</t>
  </si>
  <si>
    <t>dev[27,2]</t>
  </si>
  <si>
    <t>dev[28,1]</t>
  </si>
  <si>
    <t>dev[28,2]</t>
  </si>
  <si>
    <t>dev[29,1]</t>
  </si>
  <si>
    <t>dev[29,2]</t>
  </si>
  <si>
    <t>dev[30,1]</t>
  </si>
  <si>
    <t>dev[30,2]</t>
  </si>
  <si>
    <t>dev[31,1]</t>
  </si>
  <si>
    <t>dev[31,2]</t>
  </si>
  <si>
    <t>dev[32,1]</t>
  </si>
  <si>
    <t>dev[32,2]</t>
  </si>
  <si>
    <t>dev[33,1]</t>
  </si>
  <si>
    <t>dev[33,2]</t>
  </si>
  <si>
    <t>dev[34,1]</t>
  </si>
  <si>
    <t>dev[34,2]</t>
  </si>
  <si>
    <t>dev[35,1]</t>
  </si>
  <si>
    <t>dev[35,2]</t>
  </si>
  <si>
    <t>dev[36,1]</t>
  </si>
  <si>
    <t>dev[36,2]</t>
  </si>
  <si>
    <t>dev[37,1]</t>
  </si>
  <si>
    <t>dev[37,2]</t>
  </si>
  <si>
    <t>dev[38,1]</t>
  </si>
  <si>
    <t>dev[38,2]</t>
  </si>
  <si>
    <t>dev[39,1]</t>
  </si>
  <si>
    <t>dev[39,2]</t>
  </si>
  <si>
    <t>prob[1,1]</t>
  </si>
  <si>
    <t>prob[1,2]</t>
  </si>
  <si>
    <t>prob[1,3]</t>
  </si>
  <si>
    <t>prob[1,4]</t>
  </si>
  <si>
    <t>prob[1,5]</t>
  </si>
  <si>
    <t>prob[1,6]</t>
  </si>
  <si>
    <t>prob[1,7]</t>
  </si>
  <si>
    <t>prob[1,8]</t>
  </si>
  <si>
    <t>prob[1,9]</t>
  </si>
  <si>
    <t>prob[1,10]</t>
  </si>
  <si>
    <t>prob[2,1]</t>
  </si>
  <si>
    <t>prob[2,2]</t>
  </si>
  <si>
    <t>prob[2,3]</t>
  </si>
  <si>
    <t>prob[2,4]</t>
  </si>
  <si>
    <t>prob[2,5]</t>
  </si>
  <si>
    <t>prob[2,6]</t>
  </si>
  <si>
    <t>prob[2,7]</t>
  </si>
  <si>
    <t>prob[2,8]</t>
  </si>
  <si>
    <t>prob[2,9]</t>
  </si>
  <si>
    <t>prob[2,10]</t>
  </si>
  <si>
    <t>prob[3,1]</t>
  </si>
  <si>
    <t>prob[3,2]</t>
  </si>
  <si>
    <t>prob[3,3]</t>
  </si>
  <si>
    <t>prob[3,4]</t>
  </si>
  <si>
    <t>prob[3,5]</t>
  </si>
  <si>
    <t>prob[3,6]</t>
  </si>
  <si>
    <t>prob[3,7]</t>
  </si>
  <si>
    <t>prob[3,8]</t>
  </si>
  <si>
    <t>prob[3,9]</t>
  </si>
  <si>
    <t>prob[3,10]</t>
  </si>
  <si>
    <t>prob[4,1]</t>
  </si>
  <si>
    <t>prob[4,2]</t>
  </si>
  <si>
    <t>prob[4,3]</t>
  </si>
  <si>
    <t>prob[4,4]</t>
  </si>
  <si>
    <t>prob[4,5]</t>
  </si>
  <si>
    <t>prob[4,6]</t>
  </si>
  <si>
    <t>prob[4,7]</t>
  </si>
  <si>
    <t>prob[4,8]</t>
  </si>
  <si>
    <t>prob[4,9]</t>
  </si>
  <si>
    <t>prob[4,10]</t>
  </si>
  <si>
    <t>prob[5,1]</t>
  </si>
  <si>
    <t>prob[5,2]</t>
  </si>
  <si>
    <t>prob[5,3]</t>
  </si>
  <si>
    <t>prob[5,4]</t>
  </si>
  <si>
    <t>prob[5,5]</t>
  </si>
  <si>
    <t>prob[5,6]</t>
  </si>
  <si>
    <t>prob[5,7]</t>
  </si>
  <si>
    <t>prob[5,8]</t>
  </si>
  <si>
    <t>prob[5,9]</t>
  </si>
  <si>
    <t>prob[5,10]</t>
  </si>
  <si>
    <t>prob[6,1]</t>
  </si>
  <si>
    <t>prob[6,2]</t>
  </si>
  <si>
    <t>prob[6,3]</t>
  </si>
  <si>
    <t>prob[6,4]</t>
  </si>
  <si>
    <t>prob[6,5]</t>
  </si>
  <si>
    <t>prob[6,6]</t>
  </si>
  <si>
    <t>prob[6,7]</t>
  </si>
  <si>
    <t>prob[6,8]</t>
  </si>
  <si>
    <t>prob[6,9]</t>
  </si>
  <si>
    <t>prob[6,10]</t>
  </si>
  <si>
    <t>prob[7,1]</t>
  </si>
  <si>
    <t>prob[7,2]</t>
  </si>
  <si>
    <t>prob[7,3]</t>
  </si>
  <si>
    <t>prob[7,4]</t>
  </si>
  <si>
    <t>prob[7,5]</t>
  </si>
  <si>
    <t>prob[7,6]</t>
  </si>
  <si>
    <t>prob[7,7]</t>
  </si>
  <si>
    <t>prob[7,8]</t>
  </si>
  <si>
    <t>prob[7,9]</t>
  </si>
  <si>
    <t>prob[7,10]</t>
  </si>
  <si>
    <t>prob[8,1]</t>
  </si>
  <si>
    <t>prob[8,2]</t>
  </si>
  <si>
    <t>prob[8,3]</t>
  </si>
  <si>
    <t>prob[8,4]</t>
  </si>
  <si>
    <t>prob[8,5]</t>
  </si>
  <si>
    <t>prob[8,6]</t>
  </si>
  <si>
    <t>prob[8,7]</t>
  </si>
  <si>
    <t>prob[8,8]</t>
  </si>
  <si>
    <t>prob[8,9]</t>
  </si>
  <si>
    <t>prob[8,10]</t>
  </si>
  <si>
    <t>prob[9,1]</t>
  </si>
  <si>
    <t>prob[9,2]</t>
  </si>
  <si>
    <t>prob[9,3]</t>
  </si>
  <si>
    <t>prob[9,4]</t>
  </si>
  <si>
    <t>prob[9,5]</t>
  </si>
  <si>
    <t>prob[9,6]</t>
  </si>
  <si>
    <t>prob[9,7]</t>
  </si>
  <si>
    <t>prob[9,8]</t>
  </si>
  <si>
    <t>prob[9,9]</t>
  </si>
  <si>
    <t>prob[9,10]</t>
  </si>
  <si>
    <t>prob[10,1]</t>
  </si>
  <si>
    <t>prob[10,2]</t>
  </si>
  <si>
    <t>prob[10,3]</t>
  </si>
  <si>
    <t>prob[10,4]</t>
  </si>
  <si>
    <t>prob[10,5]</t>
  </si>
  <si>
    <t>prob[10,6]</t>
  </si>
  <si>
    <t>prob[10,7]</t>
  </si>
  <si>
    <t>prob[10,8]</t>
  </si>
  <si>
    <t>prob[10,9]</t>
  </si>
  <si>
    <t>prob[10,10]</t>
  </si>
  <si>
    <t>resdev[1]</t>
  </si>
  <si>
    <t>resdev[2]</t>
  </si>
  <si>
    <t>resdev[3]</t>
  </si>
  <si>
    <t>resdev[4]</t>
  </si>
  <si>
    <t>resdev[5]</t>
  </si>
  <si>
    <t>resdev[6]</t>
  </si>
  <si>
    <t>resdev[7]</t>
  </si>
  <si>
    <t>resdev[8]</t>
  </si>
  <si>
    <t>resdev[9]</t>
  </si>
  <si>
    <t>resdev[10]</t>
  </si>
  <si>
    <t>resdev[11]</t>
  </si>
  <si>
    <t>resdev[12]</t>
  </si>
  <si>
    <t>resdev[13]</t>
  </si>
  <si>
    <t>resdev[14]</t>
  </si>
  <si>
    <t>resdev[15]</t>
  </si>
  <si>
    <t>resdev[16]</t>
  </si>
  <si>
    <t>resdev[17]</t>
  </si>
  <si>
    <t>resdev[18]</t>
  </si>
  <si>
    <t>resdev[19]</t>
  </si>
  <si>
    <t>resdev[20]</t>
  </si>
  <si>
    <t>resdev[21]</t>
  </si>
  <si>
    <t>resdev[22]</t>
  </si>
  <si>
    <t>resdev[23]</t>
  </si>
  <si>
    <t>resdev[24]</t>
  </si>
  <si>
    <t>resdev[25]</t>
  </si>
  <si>
    <t>resdev[26]</t>
  </si>
  <si>
    <t>resdev[27]</t>
  </si>
  <si>
    <t>resdev[28]</t>
  </si>
  <si>
    <t>resdev[29]</t>
  </si>
  <si>
    <t>resdev[30]</t>
  </si>
  <si>
    <t>resdev[31]</t>
  </si>
  <si>
    <t>resdev[32]</t>
  </si>
  <si>
    <t>resdev[33]</t>
  </si>
  <si>
    <t>resdev[34]</t>
  </si>
  <si>
    <t>resdev[35]</t>
  </si>
  <si>
    <t>resdev[36]</t>
  </si>
  <si>
    <t>resdev[37]</t>
  </si>
  <si>
    <t>resdev[38]</t>
  </si>
  <si>
    <t>resdev[39]</t>
  </si>
  <si>
    <t>rk[1]</t>
  </si>
  <si>
    <t>rk[2]</t>
  </si>
  <si>
    <t>rk[3]</t>
  </si>
  <si>
    <t>rk[4]</t>
  </si>
  <si>
    <t>rk[5]</t>
  </si>
  <si>
    <t>rk[6]</t>
  </si>
  <si>
    <t>rk[7]</t>
  </si>
  <si>
    <t>rk[8]</t>
  </si>
  <si>
    <t>rk[9]</t>
  </si>
  <si>
    <t>rk[10]</t>
  </si>
  <si>
    <t>totresdev</t>
  </si>
  <si>
    <t>dic.stats()</t>
  </si>
  <si>
    <t>DIC</t>
  </si>
  <si>
    <t>Dbar = post.mean of -2logL; Dhat = -2LogL at post.mean of stochastic nodes</t>
  </si>
  <si>
    <t>Dbar</t>
  </si>
  <si>
    <t>Dhat</t>
  </si>
  <si>
    <t>pD</t>
  </si>
  <si>
    <t>r</t>
  </si>
  <si>
    <t>total</t>
  </si>
  <si>
    <t>gr(OR)</t>
  </si>
  <si>
    <t>Gelman Rubin statistic</t>
  </si>
  <si>
    <t>trace(OR)</t>
  </si>
  <si>
    <t>Dynamic trace</t>
  </si>
  <si>
    <t>IBUIV versus INDOIV</t>
  </si>
  <si>
    <t>IBUPO versus INDOIV</t>
  </si>
  <si>
    <t>PARAPO versus INDOIV</t>
  </si>
  <si>
    <t>IBUIVHIGHDOSE versus INDOIV</t>
  </si>
  <si>
    <t>IBUPOHIGHDOSE versus INDOIV</t>
  </si>
  <si>
    <t>IBUIVCONT versus INDOIV</t>
  </si>
  <si>
    <t>INDOIVCONT versus INDOIV</t>
  </si>
  <si>
    <t>INDOTHERS versus INDOIV</t>
  </si>
  <si>
    <t>PLAC_NORX versus INDOIV</t>
  </si>
  <si>
    <t>IBUPO versus IBUIV</t>
  </si>
  <si>
    <t>PARAPO versus IBUIV</t>
  </si>
  <si>
    <t>IBUIVHIGHDOSE versus IBUIV</t>
  </si>
  <si>
    <t>IBUPOHIGHDOSE versus IBUIV</t>
  </si>
  <si>
    <t>IBUIVCONT versus IBUIV</t>
  </si>
  <si>
    <t>INDOIVCONT versus IBUIV</t>
  </si>
  <si>
    <t>INDOTHERS versus IBUIV</t>
  </si>
  <si>
    <t>PLAC_NORX versus IBUIV</t>
  </si>
  <si>
    <t>PARAPO versus IBUPO</t>
  </si>
  <si>
    <t>IBUIVHIGHDOSE versus IBUPO</t>
  </si>
  <si>
    <t>IBUPOHIGHDOSE versus IBUPO</t>
  </si>
  <si>
    <t>IBUIVCONT versus IBUPO</t>
  </si>
  <si>
    <t>INDOIVCONT versus IBUPO</t>
  </si>
  <si>
    <t>INDOTHERS versus IBUPO</t>
  </si>
  <si>
    <t>PLAC_NORX versus IBUPO</t>
  </si>
  <si>
    <t>IBUIVHIGHDOSE versus PARAPO</t>
  </si>
  <si>
    <t>IBUPOHIGHDOSE versus PARAPO</t>
  </si>
  <si>
    <t>IBUIVCONT versus PARAPO</t>
  </si>
  <si>
    <t>INDOIVCONT versus PARAPO</t>
  </si>
  <si>
    <t>INDOTHERS versus PARAPO</t>
  </si>
  <si>
    <t>PLAC_NORX versus PARAPO</t>
  </si>
  <si>
    <t>IBUPOHIGHDOSE versus IBUIVHIGHDOSE</t>
  </si>
  <si>
    <t>IBUIVCONT versus IBUIVHIGHDOSE</t>
  </si>
  <si>
    <t>INDOIVCONT versus IBUIVHIGHDOSE</t>
  </si>
  <si>
    <t>INDOTHERS versus IBUIVHIGHDOSE</t>
  </si>
  <si>
    <t>PLAC_NORX versus IBUIVHIGHDOSE</t>
  </si>
  <si>
    <t>IBUIVCONT versus IBUPOHIGHDOSE</t>
  </si>
  <si>
    <t>INDOIVCONT versus IBUPOHIGHDOSE</t>
  </si>
  <si>
    <t>INDOTHERS versus IBUPOHIGHDOSE</t>
  </si>
  <si>
    <t>PLAC_NORX versus IBUPOHIGHDOSE</t>
  </si>
  <si>
    <t>INDOIVCONT versus IBUIVCONT</t>
  </si>
  <si>
    <t>INDOTHERS versus IBUIVCONT</t>
  </si>
  <si>
    <t>PLAC_NORX versus IBUIVCONT</t>
  </si>
  <si>
    <t>INDOTHERS versus INDOIVCONT</t>
  </si>
  <si>
    <t>PLAC_NORX versus INDOIVCONT</t>
  </si>
  <si>
    <t>PLAC_NORX versus INDOTHERS</t>
  </si>
  <si>
    <t>IBUPOHIGHDOSE versus INDOTHERS</t>
  </si>
  <si>
    <t>IBUPOHIGHDOSE versus INDOIVCONT</t>
  </si>
  <si>
    <t>IBUPOHIGHDOSE versus IBUIVCONT</t>
  </si>
  <si>
    <t>IBUPOHIGHDOSE versus PLAC_NORX</t>
  </si>
  <si>
    <t>IBUIVHIGHDOSE versus INDOTHERS</t>
  </si>
  <si>
    <t>IBUIVHIGHDOSE versus INDOIVCONT</t>
  </si>
  <si>
    <t>IBUIVHIGHDOSE versus IBUIVCONT</t>
  </si>
  <si>
    <t>IBUIVHIGHDOSE versus PLAC_NORX</t>
  </si>
  <si>
    <t>PARAPO versus INDOTHERS</t>
  </si>
  <si>
    <t>PARAPO versus INDOIVCONT</t>
  </si>
  <si>
    <t>PARAPO versus IBUIVCONT</t>
  </si>
  <si>
    <t>PARAPO versus PLAC_NORX</t>
  </si>
  <si>
    <t>IBUPO versus INDOTHERS</t>
  </si>
  <si>
    <t>IBUPO versus INDOIVCONT</t>
  </si>
  <si>
    <t>IBUPO versus IBUIVCONT</t>
  </si>
  <si>
    <t>IBUPO versus PLAC_NORX</t>
  </si>
  <si>
    <t>INDOIV versus INDOIVCONT</t>
  </si>
  <si>
    <t>INDOIV versus IBUIV</t>
  </si>
  <si>
    <t>INDOIV versus IBUIVCONT</t>
  </si>
  <si>
    <t>INDOIV versus PLAC_NORX</t>
  </si>
  <si>
    <t>INDOTHERS versus PLAC_NORX</t>
  </si>
  <si>
    <t>INDOIVCONT versus PLAC_NORX</t>
  </si>
  <si>
    <t>IBUIV versus IBUIVCONT</t>
  </si>
  <si>
    <t>IBUIV versus PLAC_NORX</t>
  </si>
  <si>
    <t>IBUIVCONT versus PLAC_NORX</t>
  </si>
  <si>
    <t>OR &gt;1 Means the Treatment in Top Left is Better</t>
  </si>
  <si>
    <t>check(C:/WinBUGS data/Random Effect Model (Informative).txt)</t>
  </si>
  <si>
    <t>inits(1,C:/WinBUGS data/Random Effect Inits (Informative)1.txt)</t>
  </si>
  <si>
    <t>this chain contains uninitialized variables</t>
  </si>
  <si>
    <t>inits(2,C:/WinBUGS data/Random Effect Inits (Informative)2.txt)</t>
  </si>
  <si>
    <t>inits(3,C:/WinBUGS data/Random Effect Inits (Informative)3.txt)</t>
  </si>
  <si>
    <t>initial values generated, model initialized</t>
  </si>
  <si>
    <t>sd</t>
  </si>
  <si>
    <t>list(mu=c(2,1,0.5,0.5,1,1,1,0.5,1,0.5,1.5,1.5,1.5,1,1.5,2,0,1.5,1,1,0.5,1,1.5,1.5,1.5,0,1.5,0.5,0.5,1.5,1.5,0.5,0.5,1.5,1.5,1,2,1,0,0.5,1.5,1.5,1,0,1,0.5,0.5), d= structure(.Data = c(NA,1,0.5,1.5,1.5,0.5,1,1.5,0.5,1, NA,NA,0.5,1,1,0.5,0,1,1.5,2, NA,NA,NA,1.5,0.5,1.5,0.5,1,0,0, NA,NA,NA,NA,0.5,0.5,0.5,0.5,1,0.5, NA,NA,NA,NA,NA,1,2,0,1.5,0.5, NA,NA,NA,NA,NA,NA,1,1.5,1,1.5, NA,NA,NA,NA,NA,NA,NA,1,1.5,2, NA,NA,NA,NA,NA,NA,NA,NA,1,0.5, NA,NA,NA,NA,NA,NA,NA,NA,NA,1.5, NA,NA,NA,NA,NA,NA,NA,NA,NA,NA), .Dim =c(10, 10)))</t>
  </si>
  <si>
    <t>list(mu=c(2,1,0.5,1,1.5,0,1,2,1,0,2,1.5,1,2,0,0,0.5,0,0.5,1.5,0,1.5,1.5,1.5,0.5,0.5,0.5,2,1.5,1.5,1.5,0.5,0.5,0.5,1.5,0.5,1.5,1,1.5,0,0.5,1,0.5,2,0.5,1.5,0), d= structure(.Data = c(NA,1,0.5,1.5,1,2,1,1.5,1,0.5, NA,NA,2,1,0.5,0.5,1,1,0.5,0, NA,NA,NA,1.5,1,1,0.5,1,1.5,0.5, NA,NA,NA,NA,1.5,0.5,1,1.5,0,0.5, NA,NA,NA,NA,NA,0.5,1,0.5,2,2, NA,NA,NA,NA,NA,NA,1,1.5,1.5,1, NA,NA,NA,NA,NA,NA,NA,1.5,2,2, NA,NA,NA,NA,NA,NA,NA,NA,1.5,1.5, NA,NA,NA,NA,NA,NA,NA,NA,NA,0.5, NA,NA,NA,NA,NA,NA,NA,NA,NA,NA), .Dim =c(10, 10)))</t>
  </si>
  <si>
    <t>list(mu=c(1,0,0,1,0,0.5,1,1.5,1.5,0.5,0.5,0,0.5,2,1.5,2,1,0,1,1,1,1,1,1.5,1.5,2,0.5,0.5,1.5,0.5,2,1,1,0,1.5,1,1,1.5,2,1,1,1.5,0.5,0.5,1.5,0.5,1), d= structure(.Data = c(NA,0,0.5,2,1,0.5,1.5,1.5,1,1, NA,NA,1,0,1.5,1,1.5,0.5,0,1, NA,NA,NA,1.5,1.5,1,1.5,1.5,0.5,2, NA,NA,NA,NA,0.5,0.5,1,1,0,1, NA,NA,NA,NA,NA,1.5,1,0.5,0.5,0.5, NA,NA,NA,NA,NA,NA,1,0,0.5,1.5, NA,NA,NA,NA,NA,NA,NA,0.5,0.5,1.5, NA,NA,NA,NA,NA,NA,NA,NA,1,1, NA,NA,NA,NA,NA,NA,NA,NA,NA,0, NA,NA,NA,NA,NA,NA,NA,NA,NA,NA), .Dim =c(10, 10)))</t>
  </si>
  <si>
    <t>d[1,2]</t>
  </si>
  <si>
    <t>d[1,3]</t>
  </si>
  <si>
    <t>d[1,4]</t>
  </si>
  <si>
    <t>d[1,5]</t>
  </si>
  <si>
    <t>d[1,6]</t>
  </si>
  <si>
    <t>d[1,7]</t>
  </si>
  <si>
    <t>d[1,8]</t>
  </si>
  <si>
    <t>d[1,9]</t>
  </si>
  <si>
    <t>d[1,10]</t>
  </si>
  <si>
    <t>d[2,3]</t>
  </si>
  <si>
    <t>d[2,4]</t>
  </si>
  <si>
    <t>d[2,5]</t>
  </si>
  <si>
    <t>d[2,6]</t>
  </si>
  <si>
    <t>d[2,7]</t>
  </si>
  <si>
    <t>d[2,8]</t>
  </si>
  <si>
    <t>d[2,9]</t>
  </si>
  <si>
    <t>d[2,10]</t>
  </si>
  <si>
    <t>d[3,4]</t>
  </si>
  <si>
    <t>d[3,5]</t>
  </si>
  <si>
    <t>d[3,6]</t>
  </si>
  <si>
    <t>d[3,7]</t>
  </si>
  <si>
    <t>d[3,8]</t>
  </si>
  <si>
    <t>d[3,9]</t>
  </si>
  <si>
    <t>d[3,10]</t>
  </si>
  <si>
    <t>d[4,5]</t>
  </si>
  <si>
    <t>d[4,6]</t>
  </si>
  <si>
    <t>d[4,7]</t>
  </si>
  <si>
    <t>d[4,8]</t>
  </si>
  <si>
    <t>d[4,9]</t>
  </si>
  <si>
    <t>d[4,10]</t>
  </si>
  <si>
    <t>d[5,6]</t>
  </si>
  <si>
    <t>d[5,7]</t>
  </si>
  <si>
    <t>d[5,8]</t>
  </si>
  <si>
    <t>d[5,9]</t>
  </si>
  <si>
    <t>d[5,10]</t>
  </si>
  <si>
    <t>d[6,7]</t>
  </si>
  <si>
    <t>d[6,8]</t>
  </si>
  <si>
    <t>d[6,9]</t>
  </si>
  <si>
    <t>d[6,10]</t>
  </si>
  <si>
    <t>d[7,8]</t>
  </si>
  <si>
    <t>d[7,9]</t>
  </si>
  <si>
    <t>d[7,10]</t>
  </si>
  <si>
    <t>d[8,9]</t>
  </si>
  <si>
    <t>d[8,10]</t>
  </si>
  <si>
    <t>d[9,10]</t>
  </si>
  <si>
    <t>check(C:/WinBUGS data/Inconsistency Random Effect Model (Vague).txt)</t>
  </si>
  <si>
    <t>inits(1,C:/WinBUGS data/Inconsistency Random Effect Inits (Vague)1.txt)</t>
  </si>
  <si>
    <t>inits(2,C:/WinBUGS data/Inconsistency Random Effect Inits (Vague)2.txt)</t>
  </si>
  <si>
    <t>inits(3,C:/WinBUGS data/Inconsistency Random Effect Inits (Vague)3.txt)</t>
  </si>
  <si>
    <t>list(NS=39, NT=10)</t>
  </si>
  <si>
    <t>list(d=c(NA,1.5,0.5,0,1.5,1.5,2,2,1.5,1.5), sd=1.5, mu=c(1.5,2,1.5,1,1.5,0,0.5,1,2,0.5,1,0.5,0.5,1,1.5,2,1,1.5,0,1,1,1,0.5,1,0.5,1.5,2,1,1,1.5,0,0.5,1.5,0,1,1.5,0,1,0.5))</t>
  </si>
  <si>
    <t>list(d=c(NA,1,0.5,1.5,0,1.5,1.5,0.5,0,1.5), sd=1.5, mu=c(1.5,2,2,0,0,0,0,0.5,1,0.5,1,1.5,1,2,1,1.5,0,2,1,1.5,1,0.5,2,0.5,1,1,1.5,0,1.5,0,0,0,1,0.5,0.5,2,1.5,1,0))</t>
  </si>
  <si>
    <t>list(d=c(NA,1,1.5,1.5,1,0.5,0,1,1,1.5), sd=1.5, mu=c(1,0.5,0.5,2,1,1.5,0.5,2,0.5,1.5,1.5,0.5,0,0.5,0.5,1.5,1,1.5,2,1,0.5,0,0,1,0.5,0.5,1,1.5,1,0.5,0.5,1,1.5,1.5,0.5,1,1,0.5,1))</t>
  </si>
  <si>
    <t>list(d=c(NA,0.5,1,1.5,0.5,0.5,0.5,0.5,0.5,2), var=2, mu=c(1,2,0.5,2,0.5,1,1.5,2,1,1,1,0.5,1.5,0.5,1,0.5,0.5,1,1.5,0,1,0,1.5,0.5,1.5,1.5,1.5,1,1.5,1.5,1,1.5,0.5,2,2,1,0.5,1,1))</t>
  </si>
  <si>
    <t>list(d=c(NA,2,0.5,0.5,0,1.5,1,0,1.5,1.5), var=1.5, mu=c(2,1,1,0.5,1,1,1.5,0.5,1.5,1,1,1,2,0.5,0.5,2,1.5,1.5,0.5,0,1,0.5,1,1,1,0,0,0.5,1.5,0.5,2,0.5,0,1,0.5,0.5,1,2,1.5))</t>
  </si>
  <si>
    <t>list(d=c(NA,0,1.5,1.5,0,0.5,0.5,1,1,1), var=1.5, mu=c(0,0.5,0.5,0,2,1.5,1.5,1,0.5,1.5,1,1,0.5,0.5,1,1,1.5,0.5,2,1.5,0,0,1,1.5,2,1.5,1,2,1,0.5,0,0,1,1,1,1,2,1.5,0))</t>
  </si>
  <si>
    <t>list(d=c(NA,1.5,0.5,1.5,1.5,2,2,0,1.5,0.5), mu=c(1,1.5,0.5,0.5,1,1,1.5,1,0.5,0.5,1.5,1,1,0.5,1.5,2,0,1,0.5,1,1,0.5,0,1.5,2,1,1,1,0,1,1,0.5,1.5,0,0.5,1,0.5,1.5,1))</t>
  </si>
  <si>
    <t>list(d=c(NA,1.5,0.5,0,1.5,1.5,2,2,1,0.5), mu=c(0,1.5,2,1.5,0.5,0.5,1,0.5,0.5,0,0.5,1.5,0,1.5,0.5,0.5,2,2,1.5,1.5,1,1,2,2,1.5,1.5,0.5,0.5,0.5,0.5,0,1.5,0.5,0.5,2,1.5,0,1.5,1))</t>
  </si>
  <si>
    <t>list(d=c(NA,1,0.5,1,0.5,1.5,1,1.5,0,1), mu=c(0.5,1,0.5,0.5,2,1,2,1.5,0.5,1.5,1.5,1.5,1,0.5,1,2,1.5,1,0,0.5,1,0.5,0,0.5,1,1.5,0.5,1,1.5,2,1,2,0,1,1.5,0.5,1.5,0.5,1.5))</t>
  </si>
  <si>
    <t>check(C:/WinBUGS data/Random Effect Model (Vague).txt)</t>
  </si>
  <si>
    <t>inits(1,C:/WinBUGS data/Random Effect Inits (Vague)1.txt)</t>
  </si>
  <si>
    <t>inits(2,C:/WinBUGS data/Random Effect Inits (Vague)2.txt)</t>
  </si>
  <si>
    <t>inits(3,C:/WinBUGS data/Random Effect Inits (Vague)3.txt)</t>
  </si>
  <si>
    <t>update(10000)</t>
  </si>
  <si>
    <t>list(mu=c(1,0.5,1,0,2,1.5,2,1.5,1.5,0.5,0.5,0.5,1.5,1.5,1.5,1,2,2,0,1.5,0.5,1.5,1,1.5,2,1,0.5,0.5,1,1,1,0.5,1,0.5,1.5,1.5,1.5,1,1.5), sd=1, d= structure(.Data = c(NA,0,1.5,1,1,0.5,1,1.5,1.5,1.5, NA,NA,0,1.5,0.5,0.5,1.5,1.5,0.5,0.5, NA,NA,NA,1.5,1.5,1,2,1,0,0.5, NA,NA,NA,NA,1.5,1.5,1,0,1,0.5, NA,NA,NA,NA,NA,0.5,1,0.5,1.5,1.5, NA,NA,NA,NA,NA,NA,0.5,1,1.5,0.5, NA,NA,NA,NA,NA,NA,NA,1,0.5,1, NA,NA,NA,NA,NA,NA,NA,NA,1,0.5, NA,NA,NA,NA,NA,NA,NA,NA,NA,0), .Dim =c(9, 10)))</t>
  </si>
  <si>
    <t>list(mu=c(0.5,1,1,1,2,1,0.5,0,0,1,0.5,1,1,1,1,1.5,0.5,0.5,0.5,1,1,0,0,1,2,1,0.5,1,1.5,0,1,2,1,0,2,1.5,1,2,1.5), sd=2, d= structure(.Data = c(NA,0.5,0,0.5,1.5,0,1.5,1.5,1.5,0.5, NA,NA,0.5,0.5,2,1.5,1.5,1.5,0.5,0.5, NA,NA,NA,0.5,1.5,0.5,1.5,1,1.5,0, NA,NA,NA,NA,0.5,1,0.5,2,0.5,1.5, NA,NA,NA,NA,NA,0,1,0.5,1.5,1, NA,NA,NA,NA,NA,NA,2,1,1.5,1, NA,NA,NA,NA,NA,NA,NA,0.5,2,1, NA,NA,NA,NA,NA,NA,NA,NA,0.5,0.5, NA,NA,NA,NA,NA,NA,NA,NA,NA,1), .Dim =c(9, 10)))</t>
  </si>
  <si>
    <t>list(mu=c(0.5,0.5,1,0.5,2,1.5,0.5,0.5,0,1,1.5,1,1.5,2,0.5,1,1.5,0.5,2,1,1.5,1,1,1,1,0,0,1,0,0.5,1,1.5,1.5,0.5,0.5,0,0.5,2,1), sd=2, d= structure(.Data = c(NA,1,0,1,1,1,1,1,1.5,1.5, NA,NA,2,0.5,0.5,1.5,0.5,2,1,1, NA,NA,NA,0,1.5,1,1,1.5,2,1, NA,NA,NA,NA,1,1.5,0.5,0.5,1.5,0.5, NA,NA,NA,NA,NA,1,0,0.5,2,1, NA,NA,NA,NA,NA,NA,0.5,1.5,1.5,1, NA,NA,NA,NA,NA,NA,NA,1,1,0, NA,NA,NA,NA,NA,NA,NA,NA,1.5,1, NA,NA,NA,NA,NA,NA,NA,NA,NA,1.5), .Dim =c(9, 10)))</t>
  </si>
  <si>
    <t>Random Effects (Vague) Rankogram</t>
  </si>
  <si>
    <t>PARAPO vs. IBUPOHIGHDOSE</t>
  </si>
  <si>
    <t>save(C:/WinBUGS Results/Random Effect Results (Vague ) 8 8 2017 4 05 07 PM.txt)</t>
  </si>
  <si>
    <t>PARAPO versus IBUIVHIGHDOSE</t>
  </si>
  <si>
    <t>save(C:/WinBUGS Results/Random Effect Results (Informative) 8 8 2017 4 06 33 PM.txt)</t>
  </si>
  <si>
    <t>save(C:/WinBUGS Results/Inconsistency Random Effect Results (Vague ) 8 8 2017 4 08 00 PM.txt)</t>
  </si>
  <si>
    <t>1.15
(0.46 – 2.97)</t>
  </si>
  <si>
    <t>1.15
(0.17 – 7.55)</t>
  </si>
  <si>
    <t>1.81
(0.77 – 4.46)</t>
  </si>
  <si>
    <t>2.18
(0.70 – 6.49)</t>
  </si>
  <si>
    <t>2.33
(0.80 – 6.91)</t>
  </si>
  <si>
    <t>3.23
(0.75 – 14.95)</t>
  </si>
  <si>
    <t>4.34
(1.52 – 12.78)</t>
  </si>
  <si>
    <t>6.00
(1.21 – 31.95)</t>
  </si>
  <si>
    <t>15.85
(5.34 – 49.75)</t>
  </si>
  <si>
    <t>1.00
(0.16 – 6.24)</t>
  </si>
  <si>
    <t>1.58
(0.74 – 3.46)</t>
  </si>
  <si>
    <t>1.88
(0.67 – 5.03)</t>
  </si>
  <si>
    <t>2.02
(0.78 – 5.32)</t>
  </si>
  <si>
    <t>2.82
(0.70 – 12.03)</t>
  </si>
  <si>
    <t>3.77
(1.47 – 10.04)</t>
  </si>
  <si>
    <t>5.18
(1.12 – 25.40)</t>
  </si>
  <si>
    <t>13.82
(5.07 – 38.65)</t>
  </si>
  <si>
    <t>1.58
(0.30 – 8.53)</t>
  </si>
  <si>
    <t>1.86
(0.34 – 10.23)</t>
  </si>
  <si>
    <t>2.01
(0.41 – 10.48)</t>
  </si>
  <si>
    <t>2.86
(0.43 – 19.72)</t>
  </si>
  <si>
    <t>3.76
(0.83 – 18.23)</t>
  </si>
  <si>
    <t>5.21
(0.76 – 38.40)</t>
  </si>
  <si>
    <t>13.78
(2.66 – 77.16)</t>
  </si>
  <si>
    <t>1.18
(0.57 – 2.36)</t>
  </si>
  <si>
    <t>1.28
(0.66 – 2.42)</t>
  </si>
  <si>
    <t>1.78
(0.54 – 6.23)</t>
  </si>
  <si>
    <t>2.39
(1.30 – 4.49)</t>
  </si>
  <si>
    <t>3.32
(0.83 – 13.23)</t>
  </si>
  <si>
    <t>8.72
(4.44 – 17.47)</t>
  </si>
  <si>
    <t>1.08
(0.60 – 2.02)</t>
  </si>
  <si>
    <t>1.51
(0.45 – 5.44)</t>
  </si>
  <si>
    <t>2.01
(1.04 – 4.12)</t>
  </si>
  <si>
    <t>2.77
(0.70 – 11.91)</t>
  </si>
  <si>
    <t>7.36
(3.98 – 14.56)</t>
  </si>
  <si>
    <t>1.40
(0.47 – 4.33)</t>
  </si>
  <si>
    <t>1.86
(1.19 – 3.01)</t>
  </si>
  <si>
    <t>2.59
(0.69 – 9.71)</t>
  </si>
  <si>
    <t>6.82
(3.81 – 12.75)</t>
  </si>
  <si>
    <t>1.33
(0.44 – 3.92)</t>
  </si>
  <si>
    <t>1.86
(0.36 – 9.53)</t>
  </si>
  <si>
    <t>4.88
(1.44 – 16.32)</t>
  </si>
  <si>
    <t>1.39
(0.40 – 4.75)</t>
  </si>
  <si>
    <t>3.67
(1.93 – 6.95)</t>
  </si>
  <si>
    <t>2.63
(0.66 – 10.75)</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</si>
</sst>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dd/mm/yyyy\ h:mm:ss"/>
    <numFmt numFmtId="165" formatCode="0.0000"/>
  </numFmts>
  <fonts count="23"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sz val="11"/>
      <name val="Calibri"/>
      <family val="2"/>
      <scheme val="minor"/>
    </font>
    <font>
      <sz val="11"/>
      <color theme="0"/>
      <name val="Calibri"/>
      <family val="2"/>
      <scheme val="minor"/>
    </font>
    <font>
      <b/>
      <sz val="11"/>
      <color rgb="FF00549E"/>
      <name val="Calibri"/>
      <family val="2"/>
      <scheme val="minor"/>
    </font>
    <font>
      <b/>
      <sz val="20"/>
      <color rgb="FF00549E"/>
      <name val="Calibri"/>
      <family val="2"/>
      <scheme val="minor"/>
    </font>
    <font>
      <b/>
      <sz val="12"/>
      <color rgb="FFFFFFFF"/>
      <name val="Calibri"/>
      <family val="2"/>
      <scheme val="minor"/>
    </font>
    <font>
      <b/>
      <i/>
      <sz val="8"/>
      <color theme="1"/>
      <name val="Calibri"/>
      <family val="2"/>
      <scheme val="minor"/>
    </font>
    <font>
      <sz val="10"/>
      <color theme="1"/>
      <name val="Calibri"/>
      <family val="2"/>
      <scheme val="minor"/>
    </font>
    <font>
      <i/>
      <sz val="11"/>
      <color theme="1"/>
      <name val="Calibri"/>
      <family val="2"/>
      <scheme val="minor"/>
    </font>
    <font>
      <i/>
      <sz val="10"/>
      <color rgb="FF333333"/>
      <name val="Tahoma"/>
      <family val="2"/>
    </font>
    <font>
      <b/>
      <sz val="11"/>
      <color theme="0"/>
      <name val="Calibri"/>
      <family val="2"/>
      <scheme val="minor"/>
    </font>
    <font>
      <b/>
      <sz val="10.5"/>
      <color rgb="FFFFFFFF"/>
      <name val="Calibri"/>
      <family val="2"/>
      <scheme val="minor"/>
    </font>
    <font>
      <b/>
      <sz val="11"/>
      <color rgb="FFFFFFFF"/>
      <name val="Calibri"/>
      <family val="2"/>
      <scheme val="minor"/>
    </font>
    <font>
      <sz val="8"/>
      <color theme="1"/>
      <name val="Calibri"/>
      <family val="2"/>
      <scheme val="minor"/>
    </font>
    <font>
      <b/>
      <sz val="11"/>
      <color rgb="FF000000"/>
      <name val="Calibri"/>
      <family val="2"/>
      <scheme val="minor"/>
    </font>
    <font>
      <sz val="11"/>
      <color rgb="FF000000"/>
      <name val="Calibri"/>
      <family val="2"/>
      <scheme val="minor"/>
    </font>
    <font>
      <b/>
      <u/>
      <sz val="12"/>
      <color rgb="FF000000"/>
      <name val="Calibri"/>
      <family val="2"/>
      <scheme val="minor"/>
    </font>
    <font>
      <sz val="12"/>
      <color theme="1"/>
      <name val="Calibri"/>
      <family val="2"/>
      <scheme val="minor"/>
    </font>
    <font>
      <b/>
      <sz val="11"/>
      <name val="Calibri"/>
      <family val="2"/>
      <scheme val="minor"/>
    </font>
    <font>
      <b/>
      <sz val="8"/>
      <name val="Calibri"/>
      <family val="2"/>
      <scheme val="minor"/>
    </font>
  </fonts>
  <fills count="11">
    <fill>
      <patternFill patternType="none"/>
    </fill>
    <fill>
      <patternFill patternType="gray125"/>
    </fill>
    <fill>
      <patternFill patternType="solid">
        <fgColor rgb="FF00549E"/>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4"/>
        <bgColor indexed="64"/>
      </patternFill>
    </fill>
    <fill>
      <patternFill patternType="solid">
        <fgColor theme="0" tint="-0.14999847407452621"/>
        <bgColor indexed="64"/>
      </patternFill>
    </fill>
    <fill>
      <patternFill patternType="solid">
        <fgColor rgb="FFC5D9F1"/>
        <bgColor indexed="64"/>
      </patternFill>
    </fill>
    <fill>
      <patternFill patternType="solid">
        <fgColor theme="3" tint="0.79995117038483843"/>
        <bgColor indexed="64"/>
      </patternFill>
    </fill>
  </fills>
  <borders count="59">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double">
        <color theme="0"/>
      </left>
      <right/>
      <top style="double">
        <color theme="0"/>
      </top>
      <bottom/>
      <diagonal/>
    </border>
    <border>
      <left/>
      <right/>
      <top style="double">
        <color theme="0"/>
      </top>
      <bottom/>
      <diagonal/>
    </border>
    <border>
      <left/>
      <right style="double">
        <color theme="0"/>
      </right>
      <top style="double">
        <color theme="0"/>
      </top>
      <bottom/>
      <diagonal/>
    </border>
    <border>
      <left style="double">
        <color theme="0"/>
      </left>
      <right/>
      <top/>
      <bottom style="double">
        <color theme="0"/>
      </bottom>
      <diagonal/>
    </border>
    <border>
      <left/>
      <right/>
      <top/>
      <bottom style="double">
        <color theme="0"/>
      </bottom>
      <diagonal/>
    </border>
    <border>
      <left/>
      <right style="double">
        <color theme="0"/>
      </right>
      <top/>
      <bottom style="double">
        <color theme="0"/>
      </bottom>
      <diagonal/>
    </border>
    <border>
      <left style="double">
        <color theme="0"/>
      </left>
      <right/>
      <top/>
      <bottom/>
      <diagonal/>
    </border>
    <border>
      <left/>
      <right style="double">
        <color theme="0"/>
      </right>
      <top/>
      <bottom/>
      <diagonal/>
    </border>
    <border>
      <left style="double">
        <color theme="0"/>
      </left>
      <right/>
      <top style="double">
        <color theme="0"/>
      </top>
      <bottom style="double">
        <color theme="0"/>
      </bottom>
      <diagonal/>
    </border>
    <border>
      <left/>
      <right/>
      <top style="double">
        <color theme="0"/>
      </top>
      <bottom style="double">
        <color theme="0"/>
      </bottom>
      <diagonal/>
    </border>
    <border>
      <left/>
      <right style="double">
        <color theme="0"/>
      </right>
      <top style="double">
        <color theme="0"/>
      </top>
      <bottom style="double">
        <color theme="0"/>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s>
  <cellStyleXfs count="1">
    <xf numFmtId="0" fontId="0" fillId="0" borderId="0"/>
  </cellStyleXfs>
  <cellXfs count="279">
    <xf numFmtId="0" fontId="0" fillId="0" borderId="0" xfId="0"/>
    <xf numFmtId="0" fontId="0" fillId="0" borderId="15" xfId="0" applyBorder="1" applyAlignment="1">
      <alignment horizontal="center" vertical="center"/>
    </xf>
    <xf numFmtId="0" fontId="0" fillId="0" borderId="17" xfId="0" applyBorder="1" applyAlignment="1">
      <alignment horizontal="center" vertical="center"/>
    </xf>
    <xf numFmtId="0" fontId="1" fillId="0" borderId="19" xfId="0" applyFont="1" applyBorder="1" applyAlignment="1">
      <alignment horizontal="center" vertical="center"/>
    </xf>
    <xf numFmtId="0" fontId="1" fillId="0" borderId="18" xfId="0" applyFont="1" applyBorder="1" applyAlignment="1">
      <alignment horizontal="left" vertical="center"/>
    </xf>
    <xf numFmtId="0" fontId="0" fillId="0" borderId="14" xfId="0" applyBorder="1" applyAlignment="1">
      <alignment horizontal="left" vertical="center"/>
    </xf>
    <xf numFmtId="0" fontId="0" fillId="0" borderId="16" xfId="0" applyBorder="1" applyAlignment="1">
      <alignment horizontal="left" vertical="center"/>
    </xf>
    <xf numFmtId="0" fontId="1" fillId="0" borderId="0" xfId="0" applyFont="1"/>
    <xf numFmtId="0" fontId="0" fillId="0" borderId="0" xfId="0" applyAlignment="1">
      <alignment horizontal="center"/>
    </xf>
    <xf numFmtId="0" fontId="2" fillId="0" borderId="23" xfId="0" applyFont="1" applyBorder="1"/>
    <xf numFmtId="0" fontId="0" fillId="0" borderId="23" xfId="0" applyBorder="1"/>
    <xf numFmtId="0" fontId="0" fillId="0" borderId="0" xfId="0" applyAlignment="1">
      <alignment horizontal="right"/>
    </xf>
    <xf numFmtId="10" fontId="0" fillId="0" borderId="0" xfId="0" applyNumberFormat="1"/>
    <xf numFmtId="11" fontId="0" fillId="0" borderId="0" xfId="0" applyNumberFormat="1"/>
    <xf numFmtId="0" fontId="1" fillId="0" borderId="20" xfId="0" applyFont="1" applyBorder="1"/>
    <xf numFmtId="165" fontId="1" fillId="0" borderId="20" xfId="0" applyNumberFormat="1" applyFont="1" applyBorder="1" applyAlignment="1">
      <alignment horizontal="center"/>
    </xf>
    <xf numFmtId="0" fontId="0" fillId="0" borderId="0" xfId="0" applyAlignment="1">
      <alignment horizontal="center"/>
    </xf>
    <xf numFmtId="0" fontId="4" fillId="0" borderId="0" xfId="0" applyFont="1"/>
    <xf numFmtId="0" fontId="6" fillId="0" borderId="0" xfId="0" applyFont="1"/>
    <xf numFmtId="0" fontId="0" fillId="0" borderId="0" xfId="0" applyAlignment="1">
      <alignment horizontal="center" vertical="center"/>
    </xf>
    <xf numFmtId="0" fontId="0" fillId="0" borderId="0" xfId="0" applyAlignment="1">
      <alignment vertical="center"/>
    </xf>
    <xf numFmtId="0" fontId="7" fillId="0" borderId="0" xfId="0" applyFont="1" applyAlignment="1">
      <alignment vertical="center"/>
    </xf>
    <xf numFmtId="0" fontId="8" fillId="0" borderId="0" xfId="0" applyFont="1" applyAlignment="1">
      <alignment horizontal="center"/>
    </xf>
    <xf numFmtId="0" fontId="6" fillId="0" borderId="0" xfId="0" applyFont="1" applyFill="1" applyBorder="1"/>
    <xf numFmtId="0" fontId="6" fillId="0" borderId="0" xfId="0" applyFont="1" applyAlignment="1">
      <alignment vertical="center"/>
    </xf>
    <xf numFmtId="0" fontId="6" fillId="0" borderId="0" xfId="0" applyFont="1" applyAlignment="1">
      <alignment horizontal="left" vertical="center"/>
    </xf>
    <xf numFmtId="0" fontId="0" fillId="0" borderId="14"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wrapText="1"/>
    </xf>
    <xf numFmtId="0" fontId="0" fillId="0" borderId="40" xfId="0" applyBorder="1" applyAlignment="1">
      <alignment horizontal="center" vertical="center" wrapText="1"/>
    </xf>
    <xf numFmtId="0" fontId="0" fillId="0" borderId="40" xfId="0" applyBorder="1" applyAlignment="1">
      <alignment horizontal="center" vertical="center"/>
    </xf>
    <xf numFmtId="0" fontId="0" fillId="0" borderId="0" xfId="0" applyBorder="1" applyAlignment="1">
      <alignment horizontal="center" vertical="center"/>
    </xf>
    <xf numFmtId="0" fontId="0" fillId="0" borderId="20" xfId="0" applyBorder="1" applyAlignment="1">
      <alignment horizontal="center" vertical="center"/>
    </xf>
    <xf numFmtId="0" fontId="0" fillId="0" borderId="41" xfId="0" applyBorder="1" applyAlignment="1">
      <alignment horizontal="center" vertical="center"/>
    </xf>
    <xf numFmtId="0" fontId="0" fillId="0" borderId="22" xfId="0" applyBorder="1" applyAlignment="1">
      <alignment horizontal="center" vertical="center" wrapText="1"/>
    </xf>
    <xf numFmtId="0" fontId="0" fillId="0" borderId="19" xfId="0" applyBorder="1" applyAlignment="1">
      <alignment horizontal="center" vertical="center" wrapText="1"/>
    </xf>
    <xf numFmtId="0" fontId="0" fillId="0" borderId="42" xfId="0" applyBorder="1" applyAlignment="1">
      <alignment horizontal="left" vertical="center" wrapText="1"/>
    </xf>
    <xf numFmtId="0" fontId="0" fillId="0" borderId="21" xfId="0" applyBorder="1" applyAlignment="1">
      <alignment horizontal="left" vertical="center" wrapText="1"/>
    </xf>
    <xf numFmtId="0" fontId="0" fillId="0" borderId="1" xfId="0" applyBorder="1" applyAlignment="1">
      <alignment horizontal="left" vertical="center" wrapText="1"/>
    </xf>
    <xf numFmtId="0" fontId="0" fillId="0" borderId="0" xfId="0" applyBorder="1"/>
    <xf numFmtId="0" fontId="0" fillId="0" borderId="0" xfId="0" applyAlignment="1"/>
    <xf numFmtId="0" fontId="0" fillId="0" borderId="14" xfId="0" applyBorder="1"/>
    <xf numFmtId="0" fontId="0" fillId="0" borderId="15" xfId="0" applyBorder="1"/>
    <xf numFmtId="0" fontId="0" fillId="0" borderId="16" xfId="0" applyBorder="1"/>
    <xf numFmtId="0" fontId="0" fillId="0" borderId="20" xfId="0" applyBorder="1"/>
    <xf numFmtId="0" fontId="0" fillId="0" borderId="17" xfId="0" applyBorder="1"/>
    <xf numFmtId="0" fontId="0" fillId="0" borderId="22" xfId="0" applyBorder="1"/>
    <xf numFmtId="0" fontId="0" fillId="0" borderId="0" xfId="0" applyFill="1" applyBorder="1"/>
    <xf numFmtId="0" fontId="0" fillId="0" borderId="0" xfId="0" applyFill="1" applyBorder="1" applyAlignment="1">
      <alignment horizontal="center" vertical="center"/>
    </xf>
    <xf numFmtId="0" fontId="11" fillId="0" borderId="0" xfId="0" applyFont="1" applyFill="1" applyBorder="1" applyAlignment="1">
      <alignment horizontal="center" vertical="center"/>
    </xf>
    <xf numFmtId="0" fontId="12" fillId="0" borderId="0" xfId="0" applyFont="1"/>
    <xf numFmtId="0" fontId="1" fillId="0" borderId="0" xfId="0" applyFont="1" applyAlignment="1">
      <alignment horizontal="center"/>
    </xf>
    <xf numFmtId="0" fontId="0" fillId="0" borderId="15" xfId="0" applyBorder="1" applyAlignment="1">
      <alignment horizontal="center"/>
    </xf>
    <xf numFmtId="0" fontId="0" fillId="0" borderId="17" xfId="0" applyBorder="1" applyAlignment="1">
      <alignment horizontal="center"/>
    </xf>
    <xf numFmtId="0" fontId="0" fillId="0" borderId="0" xfId="0" applyAlignment="1">
      <alignment horizontal="left" vertical="center"/>
    </xf>
    <xf numFmtId="0" fontId="1" fillId="0" borderId="20" xfId="0" applyFont="1" applyBorder="1" applyAlignment="1">
      <alignment horizontal="left" vertical="center"/>
    </xf>
    <xf numFmtId="165" fontId="0" fillId="0" borderId="0" xfId="0" applyNumberFormat="1" applyAlignment="1">
      <alignment horizontal="left" vertical="center"/>
    </xf>
    <xf numFmtId="165" fontId="0" fillId="0" borderId="0" xfId="0" applyNumberFormat="1" applyAlignment="1">
      <alignment horizontal="center" vertical="center"/>
    </xf>
    <xf numFmtId="165" fontId="1" fillId="0" borderId="20" xfId="0" applyNumberFormat="1" applyFont="1" applyBorder="1" applyAlignment="1">
      <alignment horizontal="center" vertical="center"/>
    </xf>
    <xf numFmtId="0" fontId="0" fillId="0" borderId="0" xfId="0" applyFill="1" applyAlignment="1">
      <alignment horizontal="center" vertical="center"/>
    </xf>
    <xf numFmtId="0" fontId="6" fillId="0" borderId="0" xfId="0" applyFont="1" applyFill="1" applyBorder="1" applyAlignment="1"/>
    <xf numFmtId="0" fontId="0" fillId="0" borderId="10" xfId="0" applyBorder="1" applyAlignment="1" applyProtection="1">
      <alignment horizontal="left"/>
      <protection locked="0"/>
    </xf>
    <xf numFmtId="0" fontId="0" fillId="0" borderId="11" xfId="0" applyBorder="1" applyAlignment="1" applyProtection="1">
      <alignment horizontal="center"/>
      <protection locked="0"/>
    </xf>
    <xf numFmtId="0" fontId="0" fillId="0" borderId="12" xfId="0" applyBorder="1" applyAlignment="1" applyProtection="1">
      <alignment horizontal="center"/>
      <protection locked="0"/>
    </xf>
    <xf numFmtId="0" fontId="0" fillId="0" borderId="15" xfId="0" applyBorder="1" applyAlignment="1">
      <alignment horizontal="left"/>
    </xf>
    <xf numFmtId="0" fontId="0" fillId="0" borderId="19" xfId="0" applyBorder="1" applyAlignment="1">
      <alignment horizontal="left"/>
    </xf>
    <xf numFmtId="0" fontId="1" fillId="3" borderId="13" xfId="0" applyFont="1" applyFill="1" applyBorder="1" applyAlignment="1">
      <alignment horizontal="left"/>
    </xf>
    <xf numFmtId="0" fontId="1" fillId="3" borderId="18" xfId="0" applyFont="1" applyFill="1" applyBorder="1" applyAlignment="1">
      <alignment horizontal="left"/>
    </xf>
    <xf numFmtId="0" fontId="11" fillId="0" borderId="0" xfId="0" applyFont="1"/>
    <xf numFmtId="0" fontId="0" fillId="0" borderId="0" xfId="0" applyFont="1" applyFill="1" applyBorder="1"/>
    <xf numFmtId="0" fontId="0" fillId="0" borderId="0" xfId="0" applyFont="1" applyFill="1" applyBorder="1" applyAlignment="1">
      <alignment horizontal="center" vertical="center"/>
    </xf>
    <xf numFmtId="0" fontId="0" fillId="4" borderId="24" xfId="0" applyFill="1" applyBorder="1" applyAlignment="1" applyProtection="1">
      <alignment horizontal="left" vertical="center" wrapText="1"/>
      <protection locked="0"/>
    </xf>
    <xf numFmtId="0" fontId="0" fillId="4" borderId="24" xfId="0" applyFill="1" applyBorder="1" applyAlignment="1" applyProtection="1">
      <alignment horizontal="left" vertical="center"/>
      <protection locked="0"/>
    </xf>
    <xf numFmtId="164" fontId="0" fillId="4" borderId="24" xfId="0" applyNumberFormat="1" applyFill="1" applyBorder="1" applyAlignment="1" applyProtection="1">
      <alignment horizontal="left" vertical="center"/>
      <protection locked="0"/>
    </xf>
    <xf numFmtId="0" fontId="0" fillId="4" borderId="24" xfId="0" applyFill="1" applyBorder="1" applyAlignment="1" applyProtection="1">
      <alignment horizontal="left"/>
      <protection locked="0"/>
    </xf>
    <xf numFmtId="0" fontId="1" fillId="4" borderId="43" xfId="0" applyFont="1" applyFill="1" applyBorder="1" applyAlignment="1">
      <alignment horizontal="center" vertical="center" wrapText="1"/>
    </xf>
    <xf numFmtId="0" fontId="1" fillId="4" borderId="44" xfId="0" applyFont="1" applyFill="1" applyBorder="1" applyAlignment="1">
      <alignment horizontal="center" vertical="center" wrapText="1"/>
    </xf>
    <xf numFmtId="0" fontId="1" fillId="4" borderId="1" xfId="0" applyFont="1" applyFill="1" applyBorder="1" applyAlignment="1">
      <alignment horizontal="center" vertical="center"/>
    </xf>
    <xf numFmtId="0" fontId="1" fillId="4" borderId="9" xfId="0" applyFont="1" applyFill="1" applyBorder="1" applyAlignment="1">
      <alignment horizontal="center"/>
    </xf>
    <xf numFmtId="0" fontId="1" fillId="4" borderId="7" xfId="0" applyFont="1" applyFill="1" applyBorder="1" applyAlignment="1">
      <alignment horizontal="center"/>
    </xf>
    <xf numFmtId="0" fontId="1" fillId="4" borderId="8" xfId="0" applyFont="1" applyFill="1" applyBorder="1" applyAlignment="1">
      <alignment horizontal="center"/>
    </xf>
    <xf numFmtId="0" fontId="1" fillId="4" borderId="13" xfId="0" applyFont="1" applyFill="1" applyBorder="1" applyAlignment="1">
      <alignment horizontal="left"/>
    </xf>
    <xf numFmtId="0" fontId="1" fillId="4" borderId="1" xfId="0" applyFont="1" applyFill="1" applyBorder="1" applyAlignment="1">
      <alignment horizontal="left"/>
    </xf>
    <xf numFmtId="0" fontId="1" fillId="4" borderId="16" xfId="0" applyFont="1" applyFill="1" applyBorder="1" applyAlignment="1">
      <alignment horizontal="left"/>
    </xf>
    <xf numFmtId="0" fontId="1" fillId="5" borderId="1" xfId="0" applyFont="1" applyFill="1" applyBorder="1" applyAlignment="1">
      <alignment horizontal="center" vertical="center"/>
    </xf>
    <xf numFmtId="0" fontId="0" fillId="0" borderId="20" xfId="0" applyBorder="1" applyAlignment="1">
      <alignment horizontal="center"/>
    </xf>
    <xf numFmtId="0" fontId="0" fillId="0" borderId="22" xfId="0" applyBorder="1" applyAlignment="1">
      <alignment horizontal="left"/>
    </xf>
    <xf numFmtId="0" fontId="0" fillId="0" borderId="0" xfId="0" applyBorder="1" applyAlignment="1">
      <alignment horizontal="left"/>
    </xf>
    <xf numFmtId="0" fontId="0" fillId="0" borderId="20" xfId="0" applyBorder="1" applyAlignment="1">
      <alignment horizontal="left"/>
    </xf>
    <xf numFmtId="0" fontId="1" fillId="5" borderId="6" xfId="0" applyFont="1" applyFill="1" applyBorder="1" applyAlignment="1" applyProtection="1">
      <alignment horizontal="left" vertical="center"/>
      <protection locked="0"/>
    </xf>
    <xf numFmtId="0" fontId="1" fillId="5" borderId="1" xfId="0" applyFont="1" applyFill="1" applyBorder="1" applyAlignment="1" applyProtection="1">
      <alignment horizontal="left" vertical="center"/>
      <protection locked="0"/>
    </xf>
    <xf numFmtId="0" fontId="1" fillId="5" borderId="21" xfId="0" applyFont="1" applyFill="1" applyBorder="1" applyAlignment="1" applyProtection="1">
      <alignment horizontal="left" vertical="center"/>
      <protection locked="0"/>
    </xf>
    <xf numFmtId="0" fontId="1" fillId="0" borderId="0" xfId="0" applyFont="1" applyFill="1" applyBorder="1" applyAlignment="1">
      <alignment vertical="center"/>
    </xf>
    <xf numFmtId="0" fontId="0" fillId="6" borderId="10" xfId="0" applyFill="1" applyBorder="1" applyAlignment="1" applyProtection="1">
      <alignment horizontal="left"/>
      <protection locked="0"/>
    </xf>
    <xf numFmtId="0" fontId="1" fillId="5" borderId="6" xfId="0" applyFont="1" applyFill="1" applyBorder="1" applyAlignment="1" applyProtection="1">
      <alignment horizontal="center" vertical="center"/>
      <protection locked="0"/>
    </xf>
    <xf numFmtId="0" fontId="1" fillId="4" borderId="41" xfId="0" applyFont="1" applyFill="1" applyBorder="1" applyAlignment="1">
      <alignment horizontal="center" vertical="center"/>
    </xf>
    <xf numFmtId="0" fontId="0" fillId="6" borderId="4" xfId="0" applyFill="1" applyBorder="1" applyAlignment="1">
      <alignment horizontal="center" vertical="center"/>
    </xf>
    <xf numFmtId="0" fontId="0" fillId="6" borderId="48" xfId="0" applyFill="1" applyBorder="1" applyAlignment="1">
      <alignment horizontal="center" vertical="center"/>
    </xf>
    <xf numFmtId="0" fontId="0" fillId="6" borderId="5" xfId="0" applyFill="1" applyBorder="1" applyAlignment="1">
      <alignment horizontal="center" vertical="center"/>
    </xf>
    <xf numFmtId="0" fontId="1" fillId="4" borderId="39" xfId="0" applyFont="1" applyFill="1" applyBorder="1" applyAlignment="1">
      <alignment horizontal="left" vertical="center"/>
    </xf>
    <xf numFmtId="0" fontId="0" fillId="4" borderId="6" xfId="0" applyFill="1" applyBorder="1" applyAlignment="1">
      <alignment horizontal="left" vertical="center"/>
    </xf>
    <xf numFmtId="0" fontId="0" fillId="4" borderId="7" xfId="0" applyFill="1" applyBorder="1" applyAlignment="1">
      <alignment horizontal="left" vertical="center"/>
    </xf>
    <xf numFmtId="0" fontId="0" fillId="4" borderId="8" xfId="0" applyFill="1" applyBorder="1" applyAlignment="1">
      <alignment horizontal="left" vertical="center"/>
    </xf>
    <xf numFmtId="0" fontId="1" fillId="0" borderId="20" xfId="0" applyFont="1" applyBorder="1" applyAlignment="1">
      <alignment horizontal="center" vertical="center"/>
    </xf>
    <xf numFmtId="0" fontId="0" fillId="0" borderId="0" xfId="0" applyAlignment="1">
      <alignment horizontal="left"/>
    </xf>
    <xf numFmtId="0" fontId="1" fillId="0" borderId="20" xfId="0" applyFont="1" applyBorder="1" applyAlignment="1">
      <alignment horizontal="center"/>
    </xf>
    <xf numFmtId="0" fontId="1" fillId="4" borderId="11" xfId="0" applyFont="1" applyFill="1" applyBorder="1"/>
    <xf numFmtId="0" fontId="0" fillId="4" borderId="12" xfId="0" applyFill="1" applyBorder="1" applyAlignment="1">
      <alignment horizontal="center" vertical="center"/>
    </xf>
    <xf numFmtId="0" fontId="1" fillId="4" borderId="2" xfId="0" applyFont="1" applyFill="1" applyBorder="1"/>
    <xf numFmtId="0" fontId="0" fillId="4" borderId="49" xfId="0" applyFill="1" applyBorder="1" applyAlignment="1">
      <alignment horizontal="center" vertical="center"/>
    </xf>
    <xf numFmtId="0" fontId="1" fillId="4" borderId="3" xfId="0" applyFont="1" applyFill="1" applyBorder="1"/>
    <xf numFmtId="0" fontId="0" fillId="4" borderId="50" xfId="0" applyFill="1" applyBorder="1" applyAlignment="1">
      <alignment horizontal="center" vertical="center"/>
    </xf>
    <xf numFmtId="0" fontId="13" fillId="7" borderId="18" xfId="0" applyFont="1" applyFill="1" applyBorder="1" applyAlignment="1"/>
    <xf numFmtId="0" fontId="13" fillId="7" borderId="44" xfId="0" applyFont="1" applyFill="1" applyBorder="1" applyAlignment="1">
      <alignment horizontal="center" vertical="center"/>
    </xf>
    <xf numFmtId="0" fontId="0" fillId="0" borderId="16" xfId="0" applyBorder="1" applyAlignment="1">
      <alignment horizontal="center" vertical="center"/>
    </xf>
    <xf numFmtId="0" fontId="0" fillId="0" borderId="20" xfId="0" applyBorder="1" applyAlignment="1">
      <alignment horizontal="center" vertical="center"/>
    </xf>
    <xf numFmtId="0" fontId="0" fillId="0" borderId="0" xfId="0" applyBorder="1" applyAlignment="1">
      <alignment horizontal="center"/>
    </xf>
    <xf numFmtId="0" fontId="0" fillId="0" borderId="18" xfId="0" applyBorder="1" applyAlignment="1">
      <alignment horizontal="center" vertical="center"/>
    </xf>
    <xf numFmtId="0" fontId="0" fillId="0" borderId="22" xfId="0" applyBorder="1" applyAlignment="1">
      <alignment horizontal="center" vertical="center"/>
    </xf>
    <xf numFmtId="0" fontId="0" fillId="0" borderId="22" xfId="0" applyBorder="1" applyAlignment="1">
      <alignment horizontal="center"/>
    </xf>
    <xf numFmtId="0" fontId="0" fillId="0" borderId="0" xfId="0" applyBorder="1" applyAlignment="1"/>
    <xf numFmtId="0" fontId="0" fillId="0" borderId="0" xfId="0" applyBorder="1" applyAlignment="1">
      <alignment vertical="center"/>
    </xf>
    <xf numFmtId="0" fontId="0" fillId="4" borderId="52" xfId="0" applyFill="1" applyBorder="1" applyAlignment="1">
      <alignment horizontal="left"/>
    </xf>
    <xf numFmtId="0" fontId="0" fillId="4" borderId="52" xfId="0" applyFill="1" applyBorder="1" applyAlignment="1">
      <alignment horizontal="center"/>
    </xf>
    <xf numFmtId="165" fontId="0" fillId="4" borderId="54" xfId="0" applyNumberFormat="1" applyFill="1" applyBorder="1" applyAlignment="1">
      <alignment horizontal="center" vertical="center"/>
    </xf>
    <xf numFmtId="0" fontId="0" fillId="4" borderId="2" xfId="0" applyFill="1" applyBorder="1"/>
    <xf numFmtId="0" fontId="0" fillId="4" borderId="24" xfId="0" applyFill="1" applyBorder="1" applyAlignment="1">
      <alignment horizontal="left"/>
    </xf>
    <xf numFmtId="0" fontId="0" fillId="4" borderId="24" xfId="0" applyFill="1" applyBorder="1" applyAlignment="1">
      <alignment horizontal="center"/>
    </xf>
    <xf numFmtId="165" fontId="0" fillId="4" borderId="49" xfId="0" applyNumberFormat="1" applyFill="1" applyBorder="1" applyAlignment="1">
      <alignment horizontal="center" vertical="center"/>
    </xf>
    <xf numFmtId="0" fontId="0" fillId="4" borderId="3" xfId="0" applyFill="1" applyBorder="1"/>
    <xf numFmtId="0" fontId="0" fillId="4" borderId="51" xfId="0" applyFill="1" applyBorder="1" applyAlignment="1">
      <alignment horizontal="left"/>
    </xf>
    <xf numFmtId="0" fontId="0" fillId="4" borderId="51" xfId="0" applyFill="1" applyBorder="1" applyAlignment="1">
      <alignment horizontal="center"/>
    </xf>
    <xf numFmtId="165" fontId="0" fillId="4" borderId="50" xfId="0" applyNumberFormat="1" applyFill="1" applyBorder="1" applyAlignment="1">
      <alignment horizontal="center" vertical="center"/>
    </xf>
    <xf numFmtId="0" fontId="13" fillId="7" borderId="18" xfId="0" applyFont="1" applyFill="1" applyBorder="1" applyAlignment="1">
      <alignment horizontal="left" vertical="center"/>
    </xf>
    <xf numFmtId="0" fontId="13" fillId="7" borderId="22" xfId="0" applyFont="1" applyFill="1" applyBorder="1" applyAlignment="1">
      <alignment horizontal="center" vertical="center" wrapText="1"/>
    </xf>
    <xf numFmtId="0" fontId="13" fillId="7" borderId="19" xfId="0" applyFont="1" applyFill="1" applyBorder="1" applyAlignment="1">
      <alignment horizontal="center" vertical="center" wrapText="1"/>
    </xf>
    <xf numFmtId="0" fontId="0" fillId="4" borderId="53" xfId="0" applyFill="1" applyBorder="1" applyAlignment="1">
      <alignment horizontal="center"/>
    </xf>
    <xf numFmtId="0" fontId="0" fillId="4" borderId="53" xfId="0" applyFill="1" applyBorder="1" applyAlignment="1">
      <alignment horizontal="center" vertical="center"/>
    </xf>
    <xf numFmtId="0" fontId="0" fillId="4" borderId="2" xfId="0" applyFill="1" applyBorder="1" applyAlignment="1">
      <alignment horizontal="center" vertical="center"/>
    </xf>
    <xf numFmtId="0" fontId="0" fillId="4" borderId="3" xfId="0" applyFill="1" applyBorder="1" applyAlignment="1">
      <alignment horizontal="center" vertical="center"/>
    </xf>
    <xf numFmtId="0" fontId="1" fillId="4" borderId="1" xfId="0" applyFont="1" applyFill="1" applyBorder="1" applyAlignment="1">
      <alignment vertical="center" wrapText="1"/>
    </xf>
    <xf numFmtId="0" fontId="1" fillId="8" borderId="1" xfId="0" applyFont="1" applyFill="1" applyBorder="1" applyAlignment="1">
      <alignment horizontal="center"/>
    </xf>
    <xf numFmtId="0" fontId="1" fillId="8" borderId="1" xfId="0" applyFont="1" applyFill="1" applyBorder="1" applyAlignment="1"/>
    <xf numFmtId="0" fontId="1" fillId="8" borderId="21" xfId="0" applyFont="1" applyFill="1" applyBorder="1" applyAlignment="1">
      <alignment horizontal="center"/>
    </xf>
    <xf numFmtId="0" fontId="0" fillId="0" borderId="0" xfId="0" applyNumberFormat="1" applyAlignment="1">
      <alignment horizontal="center" vertical="center"/>
    </xf>
    <xf numFmtId="0" fontId="14" fillId="0" borderId="0" xfId="0" applyFont="1" applyAlignment="1">
      <alignment horizontal="center"/>
    </xf>
    <xf numFmtId="0" fontId="1" fillId="0" borderId="0" xfId="0" applyFont="1" applyAlignment="1">
      <alignment horizontal="center"/>
    </xf>
    <xf numFmtId="0" fontId="1" fillId="0" borderId="23" xfId="0" applyFont="1" applyBorder="1" applyAlignment="1">
      <alignment horizontal="left" vertical="center"/>
    </xf>
    <xf numFmtId="1" fontId="0" fillId="0" borderId="0" xfId="0" applyNumberFormat="1" applyAlignment="1">
      <alignment horizontal="left" vertical="center"/>
    </xf>
    <xf numFmtId="0" fontId="0" fillId="0" borderId="0" xfId="0" applyFill="1"/>
    <xf numFmtId="0" fontId="5" fillId="0" borderId="25" xfId="0" applyFont="1" applyFill="1" applyBorder="1" applyAlignment="1">
      <alignment vertical="center" wrapText="1"/>
    </xf>
    <xf numFmtId="0" fontId="5" fillId="0" borderId="26" xfId="0" applyFont="1" applyFill="1" applyBorder="1" applyAlignment="1">
      <alignment vertical="center"/>
    </xf>
    <xf numFmtId="0" fontId="5" fillId="0" borderId="27" xfId="0" applyFont="1" applyFill="1" applyBorder="1" applyAlignment="1">
      <alignment vertical="center"/>
    </xf>
    <xf numFmtId="0" fontId="5" fillId="0" borderId="28" xfId="0" applyFont="1" applyFill="1" applyBorder="1" applyAlignment="1">
      <alignment vertical="center"/>
    </xf>
    <xf numFmtId="0" fontId="5" fillId="0" borderId="29" xfId="0" applyFont="1" applyFill="1" applyBorder="1" applyAlignment="1">
      <alignment vertical="center"/>
    </xf>
    <xf numFmtId="0" fontId="5" fillId="0" borderId="30" xfId="0" applyFont="1" applyFill="1" applyBorder="1" applyAlignment="1">
      <alignment vertical="center"/>
    </xf>
    <xf numFmtId="0" fontId="5" fillId="0" borderId="33" xfId="0" applyFont="1" applyFill="1" applyBorder="1" applyAlignment="1">
      <alignment vertical="center" wrapText="1"/>
    </xf>
    <xf numFmtId="0" fontId="5" fillId="0" borderId="34" xfId="0" applyFont="1" applyFill="1" applyBorder="1" applyAlignment="1">
      <alignment vertical="center" wrapText="1"/>
    </xf>
    <xf numFmtId="0" fontId="5" fillId="0" borderId="35" xfId="0" applyFont="1" applyFill="1" applyBorder="1" applyAlignment="1">
      <alignment vertical="center" wrapText="1"/>
    </xf>
    <xf numFmtId="0" fontId="5" fillId="0" borderId="26" xfId="0" applyFont="1" applyFill="1" applyBorder="1" applyAlignment="1">
      <alignment vertical="center" wrapText="1"/>
    </xf>
    <xf numFmtId="0" fontId="5" fillId="0" borderId="27" xfId="0" applyFont="1" applyFill="1" applyBorder="1" applyAlignment="1">
      <alignment vertical="center" wrapText="1"/>
    </xf>
    <xf numFmtId="0" fontId="5" fillId="0" borderId="31" xfId="0" applyFont="1" applyFill="1" applyBorder="1" applyAlignment="1">
      <alignment vertical="center" wrapText="1"/>
    </xf>
    <xf numFmtId="0" fontId="5" fillId="0" borderId="0" xfId="0" applyFont="1" applyFill="1" applyBorder="1" applyAlignment="1">
      <alignment vertical="center" wrapText="1"/>
    </xf>
    <xf numFmtId="0" fontId="5" fillId="0" borderId="32" xfId="0" applyFont="1" applyFill="1" applyBorder="1" applyAlignment="1">
      <alignment vertical="center" wrapText="1"/>
    </xf>
    <xf numFmtId="0" fontId="5" fillId="0" borderId="28" xfId="0" applyFont="1" applyFill="1" applyBorder="1" applyAlignment="1">
      <alignment vertical="center" wrapText="1"/>
    </xf>
    <xf numFmtId="0" fontId="5" fillId="0" borderId="29" xfId="0" applyFont="1" applyFill="1" applyBorder="1" applyAlignment="1">
      <alignment vertical="center" wrapText="1"/>
    </xf>
    <xf numFmtId="0" fontId="5" fillId="0" borderId="30" xfId="0" applyFont="1" applyFill="1" applyBorder="1" applyAlignment="1">
      <alignment vertical="center" wrapText="1"/>
    </xf>
    <xf numFmtId="0" fontId="0" fillId="5" borderId="36" xfId="0" applyFill="1" applyBorder="1" applyAlignment="1" applyProtection="1">
      <alignment horizontal="center"/>
      <protection locked="0"/>
    </xf>
    <xf numFmtId="0" fontId="0" fillId="5" borderId="38" xfId="0" applyFill="1" applyBorder="1" applyAlignment="1" applyProtection="1">
      <alignment horizontal="center"/>
      <protection locked="0"/>
    </xf>
    <xf numFmtId="0" fontId="0" fillId="5" borderId="37" xfId="0" applyFill="1" applyBorder="1" applyAlignment="1" applyProtection="1">
      <alignment horizontal="center"/>
      <protection locked="0"/>
    </xf>
    <xf numFmtId="0" fontId="0" fillId="5" borderId="24" xfId="0" applyFill="1" applyBorder="1" applyAlignment="1" applyProtection="1">
      <alignment horizontal="left" vertical="center" wrapText="1"/>
      <protection locked="0"/>
    </xf>
    <xf numFmtId="0" fontId="0" fillId="5" borderId="24" xfId="0" applyFill="1" applyBorder="1" applyAlignment="1" applyProtection="1">
      <alignment horizontal="left" vertical="center"/>
      <protection locked="0"/>
    </xf>
    <xf numFmtId="0" fontId="15" fillId="0" borderId="0" xfId="0" applyFont="1" applyAlignment="1">
      <alignment horizontal="center"/>
    </xf>
    <xf numFmtId="3" fontId="0" fillId="5" borderId="36" xfId="0" applyNumberFormat="1" applyFill="1" applyBorder="1" applyAlignment="1" applyProtection="1">
      <alignment horizontal="center"/>
      <protection locked="0"/>
    </xf>
    <xf numFmtId="3" fontId="0" fillId="5" borderId="38" xfId="0" applyNumberFormat="1" applyFill="1" applyBorder="1" applyAlignment="1" applyProtection="1">
      <alignment horizontal="center"/>
      <protection locked="0"/>
    </xf>
    <xf numFmtId="0" fontId="10" fillId="4" borderId="24" xfId="0" applyFont="1" applyFill="1" applyBorder="1" applyAlignment="1" applyProtection="1">
      <alignment horizontal="left" vertical="center"/>
      <protection locked="0"/>
    </xf>
    <xf numFmtId="0" fontId="0" fillId="5" borderId="38" xfId="0" applyFill="1" applyBorder="1" applyAlignment="1" applyProtection="1">
      <alignment horizontal="left"/>
      <protection locked="0"/>
    </xf>
    <xf numFmtId="0" fontId="16" fillId="0" borderId="0" xfId="0" applyFont="1"/>
    <xf numFmtId="0" fontId="17" fillId="0" borderId="2" xfId="0" applyFont="1" applyFill="1" applyBorder="1" applyAlignment="1">
      <alignment horizontal="left"/>
    </xf>
    <xf numFmtId="0" fontId="17" fillId="0" borderId="2" xfId="0" applyFont="1" applyFill="1" applyBorder="1" applyAlignment="1">
      <alignment horizontal="left" vertical="center"/>
    </xf>
    <xf numFmtId="0" fontId="17" fillId="0" borderId="3" xfId="0" applyFont="1" applyFill="1" applyBorder="1" applyAlignment="1">
      <alignment horizontal="left" vertical="center"/>
    </xf>
    <xf numFmtId="0" fontId="18" fillId="0" borderId="49" xfId="0" applyFont="1" applyFill="1" applyBorder="1" applyAlignment="1">
      <alignment horizontal="center" vertical="center"/>
    </xf>
    <xf numFmtId="3" fontId="18" fillId="0" borderId="49" xfId="0" applyNumberFormat="1" applyFont="1" applyFill="1" applyBorder="1" applyAlignment="1">
      <alignment horizontal="center" vertical="center"/>
    </xf>
    <xf numFmtId="0" fontId="18" fillId="0" borderId="50" xfId="0" applyFont="1" applyFill="1" applyBorder="1" applyAlignment="1">
      <alignment horizontal="center" vertical="center"/>
    </xf>
    <xf numFmtId="0" fontId="18" fillId="0" borderId="24" xfId="0" applyFont="1" applyFill="1" applyBorder="1" applyAlignment="1">
      <alignment horizontal="center" vertical="center"/>
    </xf>
    <xf numFmtId="3" fontId="18" fillId="0" borderId="24" xfId="0" applyNumberFormat="1" applyFont="1" applyFill="1" applyBorder="1" applyAlignment="1">
      <alignment horizontal="center" vertical="center"/>
    </xf>
    <xf numFmtId="0" fontId="13" fillId="0" borderId="2" xfId="0" applyFont="1" applyFill="1" applyBorder="1" applyAlignment="1">
      <alignment horizontal="left" vertical="center"/>
    </xf>
    <xf numFmtId="3" fontId="18" fillId="0" borderId="51" xfId="0" applyNumberFormat="1" applyFont="1" applyFill="1" applyBorder="1" applyAlignment="1">
      <alignment horizontal="center" vertical="center"/>
    </xf>
    <xf numFmtId="165" fontId="18" fillId="0" borderId="24" xfId="0" applyNumberFormat="1" applyFont="1" applyFill="1" applyBorder="1" applyAlignment="1">
      <alignment horizontal="center" vertical="center"/>
    </xf>
    <xf numFmtId="165" fontId="18" fillId="0" borderId="51" xfId="0" applyNumberFormat="1" applyFont="1" applyFill="1" applyBorder="1" applyAlignment="1">
      <alignment horizontal="center" vertical="center"/>
    </xf>
    <xf numFmtId="165" fontId="18" fillId="0" borderId="49" xfId="0" applyNumberFormat="1" applyFont="1" applyFill="1" applyBorder="1" applyAlignment="1">
      <alignment horizontal="center" vertical="center"/>
    </xf>
    <xf numFmtId="0" fontId="18" fillId="0" borderId="51" xfId="0" applyFont="1" applyFill="1" applyBorder="1" applyAlignment="1">
      <alignment horizontal="center" vertical="center"/>
    </xf>
    <xf numFmtId="165" fontId="18" fillId="0" borderId="50" xfId="0" applyNumberFormat="1" applyFont="1" applyFill="1" applyBorder="1" applyAlignment="1">
      <alignment horizontal="center" vertical="center"/>
    </xf>
    <xf numFmtId="0" fontId="0" fillId="0" borderId="40" xfId="0" applyBorder="1"/>
    <xf numFmtId="0" fontId="13" fillId="0" borderId="0" xfId="0" applyFont="1" applyFill="1" applyBorder="1" applyAlignment="1">
      <alignment vertical="center"/>
    </xf>
    <xf numFmtId="0" fontId="18" fillId="0" borderId="52" xfId="0" applyFont="1" applyFill="1" applyBorder="1" applyAlignment="1">
      <alignment horizontal="center" vertical="center"/>
    </xf>
    <xf numFmtId="3" fontId="18" fillId="0" borderId="52" xfId="0" applyNumberFormat="1" applyFont="1" applyFill="1" applyBorder="1" applyAlignment="1">
      <alignment horizontal="center" vertical="center"/>
    </xf>
    <xf numFmtId="3" fontId="18" fillId="0" borderId="54" xfId="0" applyNumberFormat="1" applyFont="1" applyFill="1" applyBorder="1" applyAlignment="1">
      <alignment horizontal="center" vertical="center"/>
    </xf>
    <xf numFmtId="0" fontId="0" fillId="0" borderId="24" xfId="0" applyBorder="1" applyAlignment="1">
      <alignment horizontal="center" vertical="center"/>
    </xf>
    <xf numFmtId="0" fontId="0" fillId="0" borderId="51" xfId="0" applyBorder="1" applyAlignment="1">
      <alignment horizontal="center" vertical="center"/>
    </xf>
    <xf numFmtId="3" fontId="0" fillId="0" borderId="24" xfId="0" applyNumberFormat="1" applyBorder="1" applyAlignment="1">
      <alignment horizontal="center" vertical="center"/>
    </xf>
    <xf numFmtId="3" fontId="0" fillId="0" borderId="49" xfId="0" applyNumberFormat="1" applyBorder="1" applyAlignment="1">
      <alignment horizontal="center" vertical="center"/>
    </xf>
    <xf numFmtId="3" fontId="0" fillId="0" borderId="51" xfId="0" applyNumberFormat="1" applyBorder="1" applyAlignment="1">
      <alignment horizontal="center" vertical="center"/>
    </xf>
    <xf numFmtId="3" fontId="0" fillId="0" borderId="50" xfId="0" applyNumberFormat="1" applyBorder="1" applyAlignment="1">
      <alignment horizontal="center" vertical="center"/>
    </xf>
    <xf numFmtId="0" fontId="19" fillId="0" borderId="0" xfId="0" applyFont="1"/>
    <xf numFmtId="0" fontId="17" fillId="0" borderId="11" xfId="0" applyFont="1" applyFill="1" applyBorder="1" applyAlignment="1">
      <alignment horizontal="left" vertical="center"/>
    </xf>
    <xf numFmtId="0" fontId="18" fillId="0" borderId="12" xfId="0" applyFont="1" applyFill="1" applyBorder="1" applyAlignment="1">
      <alignment horizontal="center" vertical="center"/>
    </xf>
    <xf numFmtId="0" fontId="21" fillId="9" borderId="43" xfId="0" applyFont="1" applyFill="1" applyBorder="1" applyAlignment="1">
      <alignment horizontal="left" vertical="center"/>
    </xf>
    <xf numFmtId="0" fontId="21" fillId="9" borderId="44" xfId="0" applyFont="1" applyFill="1" applyBorder="1" applyAlignment="1">
      <alignment horizontal="center" vertical="center"/>
    </xf>
    <xf numFmtId="0" fontId="18" fillId="0" borderId="55" xfId="0" applyFont="1" applyFill="1" applyBorder="1" applyAlignment="1">
      <alignment horizontal="center" vertical="center"/>
    </xf>
    <xf numFmtId="165" fontId="18" fillId="0" borderId="55" xfId="0" applyNumberFormat="1" applyFont="1" applyFill="1" applyBorder="1" applyAlignment="1">
      <alignment horizontal="center" vertical="center"/>
    </xf>
    <xf numFmtId="165" fontId="18" fillId="0" borderId="12" xfId="0" applyNumberFormat="1" applyFont="1" applyFill="1" applyBorder="1" applyAlignment="1">
      <alignment horizontal="center" vertical="center"/>
    </xf>
    <xf numFmtId="0" fontId="21" fillId="9" borderId="43" xfId="0" applyFont="1" applyFill="1" applyBorder="1" applyAlignment="1">
      <alignment vertical="center"/>
    </xf>
    <xf numFmtId="0" fontId="21" fillId="9" borderId="56" xfId="0" applyFont="1" applyFill="1" applyBorder="1" applyAlignment="1">
      <alignment horizontal="center" vertical="center"/>
    </xf>
    <xf numFmtId="0" fontId="21" fillId="9" borderId="43" xfId="0" applyFont="1" applyFill="1" applyBorder="1" applyAlignment="1">
      <alignment horizontal="left"/>
    </xf>
    <xf numFmtId="0" fontId="1" fillId="0" borderId="40" xfId="0" applyFont="1" applyBorder="1"/>
    <xf numFmtId="0" fontId="17" fillId="0" borderId="53" xfId="0" applyFont="1" applyFill="1" applyBorder="1" applyAlignment="1">
      <alignment horizontal="left" vertical="center"/>
    </xf>
    <xf numFmtId="0" fontId="1" fillId="0" borderId="2" xfId="0" applyFont="1" applyBorder="1" applyAlignment="1">
      <alignment horizontal="left"/>
    </xf>
    <xf numFmtId="0" fontId="1" fillId="0" borderId="3" xfId="0" applyFont="1" applyBorder="1" applyAlignment="1">
      <alignment horizontal="left"/>
    </xf>
    <xf numFmtId="0" fontId="0" fillId="0" borderId="0" xfId="0" applyBorder="1" applyAlignment="1">
      <alignment horizontal="center"/>
    </xf>
    <xf numFmtId="0" fontId="1" fillId="0" borderId="0" xfId="0" applyFont="1" applyAlignment="1">
      <alignment horizontal="center"/>
    </xf>
    <xf numFmtId="0" fontId="0" fillId="0" borderId="24" xfId="0" applyFont="1" applyFill="1" applyBorder="1" applyAlignment="1">
      <alignment horizontal="center" vertical="center" wrapText="1"/>
    </xf>
    <xf numFmtId="0" fontId="0" fillId="0" borderId="51" xfId="0" applyFont="1" applyFill="1" applyBorder="1" applyAlignment="1">
      <alignment horizontal="center" vertical="center" wrapText="1"/>
    </xf>
    <xf numFmtId="0" fontId="1" fillId="10" borderId="1" xfId="0" applyFont="1" applyFill="1" applyBorder="1" applyAlignment="1">
      <alignment horizontal="center" vertical="center" wrapText="1"/>
    </xf>
    <xf numFmtId="0" fontId="0" fillId="0" borderId="57" xfId="0" applyFont="1" applyFill="1" applyBorder="1" applyAlignment="1">
      <alignment horizontal="center" vertical="center" wrapText="1"/>
    </xf>
    <xf numFmtId="0" fontId="0" fillId="0" borderId="2" xfId="0" applyFont="1" applyFill="1" applyBorder="1" applyAlignment="1">
      <alignment horizontal="center" vertical="center" wrapText="1"/>
    </xf>
    <xf numFmtId="0" fontId="0" fillId="0" borderId="3" xfId="0" applyFont="1" applyFill="1" applyBorder="1" applyAlignment="1">
      <alignment horizontal="center" vertical="center" wrapText="1"/>
    </xf>
    <xf numFmtId="0" fontId="0" fillId="0" borderId="13" xfId="0" applyFont="1" applyFill="1" applyBorder="1" applyAlignment="1">
      <alignment horizontal="center" vertical="center" wrapText="1"/>
    </xf>
    <xf numFmtId="0" fontId="0" fillId="0" borderId="58" xfId="0" applyFont="1" applyFill="1" applyBorder="1" applyAlignment="1">
      <alignment horizontal="center" vertical="center" wrapText="1"/>
    </xf>
    <xf numFmtId="0" fontId="9" fillId="0" borderId="0" xfId="0" applyFont="1" applyAlignment="1">
      <alignment horizontal="left" vertical="top" wrapText="1"/>
    </xf>
    <xf numFmtId="0" fontId="5" fillId="2" borderId="25" xfId="0" applyFont="1" applyFill="1" applyBorder="1" applyAlignment="1">
      <alignment horizontal="left" vertical="center" wrapText="1"/>
    </xf>
    <xf numFmtId="0" fontId="5" fillId="2" borderId="26" xfId="0" applyFont="1" applyFill="1" applyBorder="1" applyAlignment="1">
      <alignment horizontal="left" vertical="center" wrapText="1"/>
    </xf>
    <xf numFmtId="0" fontId="5" fillId="2" borderId="27" xfId="0" applyFont="1" applyFill="1" applyBorder="1" applyAlignment="1">
      <alignment horizontal="left" vertical="center" wrapText="1"/>
    </xf>
    <xf numFmtId="0" fontId="5" fillId="2" borderId="28" xfId="0" applyFont="1" applyFill="1" applyBorder="1" applyAlignment="1">
      <alignment horizontal="left" vertical="center" wrapText="1"/>
    </xf>
    <xf numFmtId="0" fontId="5" fillId="2" borderId="29" xfId="0" applyFont="1" applyFill="1" applyBorder="1" applyAlignment="1">
      <alignment horizontal="left" vertical="center" wrapText="1"/>
    </xf>
    <xf numFmtId="0" fontId="5" fillId="2" borderId="30" xfId="0" applyFont="1" applyFill="1" applyBorder="1" applyAlignment="1">
      <alignment horizontal="left" vertical="center" wrapText="1"/>
    </xf>
    <xf numFmtId="0" fontId="5" fillId="2" borderId="33" xfId="0" applyFont="1" applyFill="1" applyBorder="1" applyAlignment="1">
      <alignment horizontal="left" vertical="center" wrapText="1"/>
    </xf>
    <xf numFmtId="0" fontId="5" fillId="2" borderId="34" xfId="0" applyFont="1" applyFill="1" applyBorder="1" applyAlignment="1">
      <alignment horizontal="left" vertical="center" wrapText="1"/>
    </xf>
    <xf numFmtId="0" fontId="5" fillId="2" borderId="35" xfId="0" applyFont="1" applyFill="1" applyBorder="1" applyAlignment="1">
      <alignment horizontal="left" vertical="center" wrapText="1"/>
    </xf>
    <xf numFmtId="0" fontId="5" fillId="2" borderId="31" xfId="0" applyFont="1" applyFill="1" applyBorder="1" applyAlignment="1">
      <alignment horizontal="left" vertical="center" wrapText="1"/>
    </xf>
    <xf numFmtId="0" fontId="5" fillId="2" borderId="0" xfId="0" applyFont="1" applyFill="1" applyBorder="1" applyAlignment="1">
      <alignment horizontal="left" vertical="center" wrapText="1"/>
    </xf>
    <xf numFmtId="0" fontId="5" fillId="2" borderId="32" xfId="0" applyFont="1" applyFill="1" applyBorder="1" applyAlignment="1">
      <alignment horizontal="left" vertical="center" wrapText="1"/>
    </xf>
    <xf numFmtId="0" fontId="1" fillId="4" borderId="18" xfId="0" applyFont="1" applyFill="1" applyBorder="1" applyAlignment="1">
      <alignment horizontal="center"/>
    </xf>
    <xf numFmtId="0" fontId="1" fillId="4" borderId="19" xfId="0" applyFont="1" applyFill="1" applyBorder="1" applyAlignment="1">
      <alignment horizontal="center"/>
    </xf>
    <xf numFmtId="0" fontId="3" fillId="4" borderId="18" xfId="0" applyFont="1" applyFill="1" applyBorder="1" applyAlignment="1">
      <alignment horizontal="center"/>
    </xf>
    <xf numFmtId="0" fontId="3" fillId="4" borderId="22" xfId="0" applyFont="1" applyFill="1" applyBorder="1" applyAlignment="1">
      <alignment horizontal="center"/>
    </xf>
    <xf numFmtId="0" fontId="3" fillId="4" borderId="19" xfId="0" applyFont="1" applyFill="1" applyBorder="1" applyAlignment="1">
      <alignment horizontal="center"/>
    </xf>
    <xf numFmtId="0" fontId="1" fillId="4" borderId="18" xfId="0" applyFont="1" applyFill="1" applyBorder="1" applyAlignment="1">
      <alignment horizontal="center" vertical="center"/>
    </xf>
    <xf numFmtId="0" fontId="1" fillId="4" borderId="19" xfId="0" applyFont="1" applyFill="1" applyBorder="1" applyAlignment="1">
      <alignment horizontal="center" vertical="center"/>
    </xf>
    <xf numFmtId="0" fontId="1" fillId="4" borderId="22" xfId="0" applyFont="1" applyFill="1" applyBorder="1" applyAlignment="1">
      <alignment horizontal="center" vertical="center"/>
    </xf>
    <xf numFmtId="0" fontId="1" fillId="0" borderId="45" xfId="0" applyFont="1" applyBorder="1" applyAlignment="1" applyProtection="1">
      <alignment horizontal="center" vertical="center"/>
      <protection locked="0"/>
    </xf>
    <xf numFmtId="0" fontId="1" fillId="0" borderId="46" xfId="0" applyFont="1" applyBorder="1" applyAlignment="1" applyProtection="1">
      <alignment horizontal="center" vertical="center"/>
      <protection locked="0"/>
    </xf>
    <xf numFmtId="0" fontId="1" fillId="6" borderId="45" xfId="0" applyFont="1" applyFill="1" applyBorder="1" applyAlignment="1" applyProtection="1">
      <alignment horizontal="center" vertical="center"/>
      <protection locked="0"/>
    </xf>
    <xf numFmtId="0" fontId="1" fillId="6" borderId="46" xfId="0" applyFont="1" applyFill="1" applyBorder="1" applyAlignment="1" applyProtection="1">
      <alignment horizontal="center" vertical="center"/>
      <protection locked="0"/>
    </xf>
    <xf numFmtId="0" fontId="1" fillId="4" borderId="6" xfId="0" applyFont="1" applyFill="1" applyBorder="1" applyAlignment="1">
      <alignment horizontal="center" vertical="center"/>
    </xf>
    <xf numFmtId="0" fontId="1" fillId="4" borderId="8" xfId="0" applyFont="1" applyFill="1" applyBorder="1" applyAlignment="1">
      <alignment horizontal="center" vertical="center"/>
    </xf>
    <xf numFmtId="0" fontId="3" fillId="0" borderId="18" xfId="0" applyFont="1" applyBorder="1" applyAlignment="1">
      <alignment horizontal="center"/>
    </xf>
    <xf numFmtId="0" fontId="3" fillId="0" borderId="19" xfId="0" applyFont="1" applyBorder="1" applyAlignment="1">
      <alignment horizontal="center"/>
    </xf>
    <xf numFmtId="0" fontId="1" fillId="0" borderId="23" xfId="0" applyFont="1" applyBorder="1" applyAlignment="1">
      <alignment horizontal="left" vertical="center"/>
    </xf>
    <xf numFmtId="0" fontId="19" fillId="0" borderId="0" xfId="0" applyFont="1" applyBorder="1"/>
    <xf numFmtId="0" fontId="1" fillId="4" borderId="47" xfId="0" applyFont="1" applyFill="1" applyBorder="1" applyAlignment="1">
      <alignment horizontal="left" vertical="center"/>
    </xf>
    <xf numFmtId="0" fontId="1" fillId="4" borderId="21" xfId="0" applyFont="1" applyFill="1" applyBorder="1" applyAlignment="1">
      <alignment horizontal="left" vertical="center"/>
    </xf>
    <xf numFmtId="0" fontId="0" fillId="0" borderId="0" xfId="0" applyBorder="1" applyAlignment="1">
      <alignment horizontal="center"/>
    </xf>
    <xf numFmtId="0" fontId="0" fillId="0" borderId="18" xfId="0" applyBorder="1" applyAlignment="1">
      <alignment horizontal="center" vertical="center"/>
    </xf>
    <xf numFmtId="0" fontId="0" fillId="0" borderId="22" xfId="0" applyBorder="1" applyAlignment="1">
      <alignment horizontal="center" vertical="center"/>
    </xf>
    <xf numFmtId="0" fontId="0" fillId="0" borderId="19" xfId="0" applyBorder="1" applyAlignment="1">
      <alignment horizontal="center" vertical="center"/>
    </xf>
    <xf numFmtId="0" fontId="0" fillId="0" borderId="39" xfId="0" applyBorder="1" applyAlignment="1">
      <alignment horizontal="center"/>
    </xf>
    <xf numFmtId="0" fontId="0" fillId="0" borderId="40" xfId="0" applyBorder="1" applyAlignment="1">
      <alignment horizontal="center"/>
    </xf>
    <xf numFmtId="0" fontId="0" fillId="0" borderId="41" xfId="0" applyBorder="1" applyAlignment="1">
      <alignment horizontal="center"/>
    </xf>
    <xf numFmtId="0" fontId="0" fillId="0" borderId="16" xfId="0" applyBorder="1" applyAlignment="1">
      <alignment horizontal="center" vertical="center"/>
    </xf>
    <xf numFmtId="0" fontId="0" fillId="0" borderId="20" xfId="0" applyBorder="1" applyAlignment="1">
      <alignment horizontal="center" vertical="center"/>
    </xf>
    <xf numFmtId="0" fontId="13" fillId="7" borderId="18" xfId="0" applyFont="1" applyFill="1" applyBorder="1" applyAlignment="1">
      <alignment horizontal="center"/>
    </xf>
    <xf numFmtId="0" fontId="13" fillId="7" borderId="22" xfId="0" applyFont="1" applyFill="1" applyBorder="1" applyAlignment="1">
      <alignment horizontal="center"/>
    </xf>
    <xf numFmtId="0" fontId="13" fillId="7" borderId="19" xfId="0" applyFont="1" applyFill="1" applyBorder="1" applyAlignment="1">
      <alignment horizontal="center"/>
    </xf>
    <xf numFmtId="0" fontId="0" fillId="0" borderId="18" xfId="0" applyBorder="1" applyAlignment="1">
      <alignment horizontal="center"/>
    </xf>
    <xf numFmtId="0" fontId="0" fillId="0" borderId="22" xfId="0" applyBorder="1" applyAlignment="1">
      <alignment horizontal="center"/>
    </xf>
    <xf numFmtId="0" fontId="0" fillId="0" borderId="19" xfId="0" applyBorder="1" applyAlignment="1">
      <alignment horizontal="center"/>
    </xf>
    <xf numFmtId="0" fontId="1" fillId="0" borderId="0" xfId="0" applyFont="1" applyAlignment="1">
      <alignment horizontal="center"/>
    </xf>
    <xf numFmtId="0" fontId="3" fillId="0" borderId="0" xfId="0" applyFont="1" applyAlignment="1">
      <alignment horizontal="center"/>
    </xf>
  </cellXfs>
  <cellStyles count="1">
    <cellStyle name="Normal" xfId="0" builtinId="0"/>
  </cellStyles>
  <dxfs count="235">
    <dxf>
      <fill>
        <patternFill>
          <bgColor rgb="FFFF0000"/>
        </patternFill>
      </fill>
    </dxf>
    <dxf>
      <fill>
        <patternFill>
          <bgColor rgb="FFFF0000"/>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s>
  <tableStyles count="0" defaultTableStyle="TableStyleMedium2" defaultPivotStyle="PivotStyleLight16"/>
  <colors>
    <mruColors>
      <color rgb="FFC5D9F1"/>
      <color rgb="FF6F8493"/>
      <color rgb="FF00549E"/>
      <color rgb="FFFAF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0.31646613851675892"/>
          <c:y val="3.0125523012552301E-2"/>
          <c:w val="0.45767847166118031"/>
          <c:h val="0.94142259414225937"/>
        </c:manualLayout>
      </c:layout>
      <c:scatterChart>
        <c:scatterStyle val="lineMarker"/>
        <c:varyColors val="0"/>
        <c:dLbls>
          <c:showLegendKey val="0"/>
          <c:showVal val="0"/>
          <c:showCatName val="0"/>
          <c:showSerName val="0"/>
          <c:showPercent val="0"/>
          <c:showBubbleSize val="0"/>
        </c:dLbls>
        <c:axId val="616006280"/>
        <c:axId val="615975312"/>
      </c:scatterChart>
      <c:valAx>
        <c:axId val="616006280"/>
        <c:scaling>
          <c:logBase val="10"/>
          <c:orientation val="minMax"/>
        </c:scaling>
        <c:delete val="0"/>
        <c:axPos val="b"/>
        <c:numFmt formatCode="0.0000" sourceLinked="1"/>
        <c:majorTickMark val="out"/>
        <c:minorTickMark val="out"/>
        <c:tickLblPos val="nextTo"/>
        <c:crossAx val="615975312"/>
        <c:crossesAt val="0"/>
        <c:crossBetween val="midCat"/>
      </c:valAx>
      <c:valAx>
        <c:axId val="615975312"/>
        <c:scaling>
          <c:orientation val="minMax"/>
          <c:max val="90"/>
          <c:min val="0"/>
        </c:scaling>
        <c:delete val="0"/>
        <c:axPos val="l"/>
        <c:numFmt formatCode="General" sourceLinked="1"/>
        <c:majorTickMark val="none"/>
        <c:minorTickMark val="none"/>
        <c:tickLblPos val="none"/>
        <c:crossAx val="616006280"/>
        <c:crosses val="autoZero"/>
        <c:crossBetween val="midCat"/>
      </c:valAx>
      <c:spPr>
        <a:solidFill>
          <a:schemeClr val="accent1">
            <a:lumMod val="20000"/>
            <a:lumOff val="80000"/>
          </a:schemeClr>
        </a:solidFill>
        <a:ln w="12700">
          <a:solidFill>
            <a:sysClr val="windowText" lastClr="000000"/>
          </a:solidFill>
        </a:ln>
      </c:spPr>
    </c:plotArea>
    <c:plotVisOnly val="1"/>
    <c:dispBlanksAs val="gap"/>
    <c:showDLblsOverMax val="0"/>
  </c:chart>
  <c:spPr>
    <a:ln>
      <a:solidFill>
        <a:schemeClr val="tx1"/>
      </a:solidFill>
    </a:ln>
    <a:effectLst>
      <a:outerShdw blurRad="50800" dist="38100" dir="8100000" algn="tr" rotWithShape="0">
        <a:prstClr val="black">
          <a:alpha val="40000"/>
        </a:prstClr>
      </a:outerShdw>
    </a:effectLst>
  </c:spPr>
  <c:printSettings>
    <c:headerFooter/>
    <c:pageMargins b="0.75000000000000921" l="0.70000000000000062" r="0.70000000000000062" t="0.75000000000000921" header="0.30000000000000032" footer="0.30000000000000032"/>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73537086058752"/>
          <c:y val="9.2707258806466714E-2"/>
          <c:w val="0.76534567794410313"/>
          <c:h val="0.74626563106439092"/>
        </c:manualLayout>
      </c:layout>
      <c:lineChart>
        <c:grouping val="standard"/>
        <c:varyColors val="0"/>
        <c:ser>
          <c:idx val="0"/>
          <c:order val="0"/>
          <c:tx>
            <c:strRef>
              <c:f>'Rankogram Data'!$M$4</c:f>
              <c:strCache>
                <c:ptCount val="1"/>
                <c:pt idx="0">
                  <c:v>INDOIV</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Data'!$M$5:$M$100</c:f>
              <c:numCache>
                <c:formatCode>General</c:formatCode>
                <c:ptCount val="10"/>
                <c:pt idx="0">
                  <c:v>2.5330000000000001E-3</c:v>
                </c:pt>
                <c:pt idx="1">
                  <c:v>1.44E-2</c:v>
                </c:pt>
                <c:pt idx="2">
                  <c:v>4.6699999999999998E-2</c:v>
                </c:pt>
                <c:pt idx="3">
                  <c:v>0.12620000000000001</c:v>
                </c:pt>
                <c:pt idx="4">
                  <c:v>0.28910000000000002</c:v>
                </c:pt>
                <c:pt idx="5">
                  <c:v>0.3725</c:v>
                </c:pt>
                <c:pt idx="6">
                  <c:v>0.1351</c:v>
                </c:pt>
                <c:pt idx="7">
                  <c:v>1.2999999999999999E-2</c:v>
                </c:pt>
                <c:pt idx="8">
                  <c:v>5.0000000000000001E-4</c:v>
                </c:pt>
                <c:pt idx="9">
                  <c:v>0</c:v>
                </c:pt>
              </c:numCache>
            </c:numRef>
          </c:val>
          <c:smooth val="0"/>
        </c:ser>
        <c:ser>
          <c:idx val="1"/>
          <c:order val="1"/>
          <c:tx>
            <c:strRef>
              <c:f>'Rankogram Data'!$N$4</c:f>
              <c:strCache>
                <c:ptCount val="1"/>
                <c:pt idx="0">
                  <c:v>IBUIV</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Data'!$N$5:$N$100</c:f>
              <c:numCache>
                <c:formatCode>General</c:formatCode>
                <c:ptCount val="10"/>
                <c:pt idx="0">
                  <c:v>0</c:v>
                </c:pt>
                <c:pt idx="1">
                  <c:v>0</c:v>
                </c:pt>
                <c:pt idx="2">
                  <c:v>0</c:v>
                </c:pt>
                <c:pt idx="3">
                  <c:v>2.9999999999999997E-4</c:v>
                </c:pt>
                <c:pt idx="4">
                  <c:v>1.567E-3</c:v>
                </c:pt>
                <c:pt idx="5">
                  <c:v>1.7500000000000002E-2</c:v>
                </c:pt>
                <c:pt idx="6">
                  <c:v>0.2354</c:v>
                </c:pt>
                <c:pt idx="7">
                  <c:v>0.55449999999999999</c:v>
                </c:pt>
                <c:pt idx="8">
                  <c:v>0.19070000000000001</c:v>
                </c:pt>
                <c:pt idx="9">
                  <c:v>3.3330000000000001E-5</c:v>
                </c:pt>
              </c:numCache>
            </c:numRef>
          </c:val>
          <c:smooth val="0"/>
        </c:ser>
        <c:ser>
          <c:idx val="2"/>
          <c:order val="2"/>
          <c:tx>
            <c:strRef>
              <c:f>'Rankogram Data'!$O$4</c:f>
              <c:strCache>
                <c:ptCount val="1"/>
                <c:pt idx="0">
                  <c:v>IBUPO</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Data'!$O$5:$O$100</c:f>
              <c:numCache>
                <c:formatCode>General</c:formatCode>
                <c:ptCount val="10"/>
                <c:pt idx="0">
                  <c:v>4.333E-3</c:v>
                </c:pt>
                <c:pt idx="1">
                  <c:v>3.6330000000000001E-2</c:v>
                </c:pt>
                <c:pt idx="2">
                  <c:v>0.2145</c:v>
                </c:pt>
                <c:pt idx="3">
                  <c:v>0.3911</c:v>
                </c:pt>
                <c:pt idx="4">
                  <c:v>0.2001</c:v>
                </c:pt>
                <c:pt idx="5">
                  <c:v>0.106</c:v>
                </c:pt>
                <c:pt idx="6">
                  <c:v>4.1570000000000003E-2</c:v>
                </c:pt>
                <c:pt idx="7">
                  <c:v>5.5999999999999999E-3</c:v>
                </c:pt>
                <c:pt idx="8">
                  <c:v>5.6669999999999995E-4</c:v>
                </c:pt>
                <c:pt idx="9">
                  <c:v>0</c:v>
                </c:pt>
              </c:numCache>
            </c:numRef>
          </c:val>
          <c:smooth val="0"/>
        </c:ser>
        <c:ser>
          <c:idx val="3"/>
          <c:order val="3"/>
          <c:tx>
            <c:strRef>
              <c:f>'Rankogram Data'!$P$4</c:f>
              <c:strCache>
                <c:ptCount val="1"/>
                <c:pt idx="0">
                  <c:v>PARAPO</c:v>
                </c:pt>
              </c:strCache>
            </c:strRef>
          </c:tx>
          <c:spPr>
            <a:ln w="22225" cap="rnd">
              <a:solidFill>
                <a:schemeClr val="accent4"/>
              </a:solidFill>
              <a:round/>
            </a:ln>
            <a:effectLst/>
          </c:spPr>
          <c:marker>
            <c:symbol val="x"/>
            <c:size val="6"/>
            <c:spPr>
              <a:noFill/>
              <a:ln w="9525">
                <a:solidFill>
                  <a:schemeClr val="accent4"/>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Data'!$P$5:$P$100</c:f>
              <c:numCache>
                <c:formatCode>General</c:formatCode>
                <c:ptCount val="10"/>
                <c:pt idx="0">
                  <c:v>0.2029</c:v>
                </c:pt>
                <c:pt idx="1">
                  <c:v>0.37930000000000003</c:v>
                </c:pt>
                <c:pt idx="2">
                  <c:v>0.26119999999999999</c:v>
                </c:pt>
                <c:pt idx="3">
                  <c:v>7.5999999999999998E-2</c:v>
                </c:pt>
                <c:pt idx="4">
                  <c:v>3.7499999999999999E-2</c:v>
                </c:pt>
                <c:pt idx="5">
                  <c:v>2.6429999999999999E-2</c:v>
                </c:pt>
                <c:pt idx="6">
                  <c:v>1.23E-2</c:v>
                </c:pt>
                <c:pt idx="7">
                  <c:v>3.3E-3</c:v>
                </c:pt>
                <c:pt idx="8">
                  <c:v>1.0330000000000001E-3</c:v>
                </c:pt>
                <c:pt idx="9">
                  <c:v>0</c:v>
                </c:pt>
              </c:numCache>
            </c:numRef>
          </c:val>
          <c:smooth val="0"/>
        </c:ser>
        <c:ser>
          <c:idx val="4"/>
          <c:order val="4"/>
          <c:tx>
            <c:strRef>
              <c:f>'Rankogram Data'!$Q$4</c:f>
              <c:strCache>
                <c:ptCount val="1"/>
                <c:pt idx="0">
                  <c:v>IBUIVHIGHDOSE</c:v>
                </c:pt>
              </c:strCache>
            </c:strRef>
          </c:tx>
          <c:spPr>
            <a:ln w="22225" cap="rnd">
              <a:solidFill>
                <a:schemeClr val="accent5"/>
              </a:solidFill>
              <a:round/>
            </a:ln>
            <a:effectLst/>
          </c:spPr>
          <c:marker>
            <c:symbol val="star"/>
            <c:size val="6"/>
            <c:spPr>
              <a:noFill/>
              <a:ln w="9525">
                <a:solidFill>
                  <a:schemeClr val="accent5"/>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Data'!$Q$5:$Q$100</c:f>
              <c:numCache>
                <c:formatCode>General</c:formatCode>
                <c:ptCount val="10"/>
                <c:pt idx="0">
                  <c:v>0.37959999999999999</c:v>
                </c:pt>
                <c:pt idx="1">
                  <c:v>0.1459</c:v>
                </c:pt>
                <c:pt idx="2">
                  <c:v>0.153</c:v>
                </c:pt>
                <c:pt idx="3">
                  <c:v>8.5569999999999993E-2</c:v>
                </c:pt>
                <c:pt idx="4">
                  <c:v>6.123E-2</c:v>
                </c:pt>
                <c:pt idx="5">
                  <c:v>7.1370000000000003E-2</c:v>
                </c:pt>
                <c:pt idx="6">
                  <c:v>5.7529999999999998E-2</c:v>
                </c:pt>
                <c:pt idx="7">
                  <c:v>2.8799999999999999E-2</c:v>
                </c:pt>
                <c:pt idx="8">
                  <c:v>1.6199999999999999E-2</c:v>
                </c:pt>
                <c:pt idx="9">
                  <c:v>8.3330000000000003E-4</c:v>
                </c:pt>
              </c:numCache>
            </c:numRef>
          </c:val>
          <c:smooth val="0"/>
        </c:ser>
        <c:ser>
          <c:idx val="5"/>
          <c:order val="5"/>
          <c:tx>
            <c:strRef>
              <c:f>'Rankogram Data'!$R$4</c:f>
              <c:strCache>
                <c:ptCount val="1"/>
                <c:pt idx="0">
                  <c:v>IBUPOHIGHDOSE</c:v>
                </c:pt>
              </c:strCache>
            </c:strRef>
          </c:tx>
          <c:spPr>
            <a:ln w="22225" cap="rnd">
              <a:solidFill>
                <a:schemeClr val="accent6"/>
              </a:solidFill>
              <a:round/>
            </a:ln>
            <a:effectLst/>
          </c:spPr>
          <c:marker>
            <c:symbol val="circle"/>
            <c:size val="6"/>
            <c:spPr>
              <a:solidFill>
                <a:schemeClr val="accent6"/>
              </a:solidFill>
              <a:ln w="9525">
                <a:solidFill>
                  <a:schemeClr val="accent6"/>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Data'!$R$5:$R$100</c:f>
              <c:numCache>
                <c:formatCode>General</c:formatCode>
                <c:ptCount val="10"/>
                <c:pt idx="0">
                  <c:v>0.38350000000000001</c:v>
                </c:pt>
                <c:pt idx="1">
                  <c:v>0.34289999999999998</c:v>
                </c:pt>
                <c:pt idx="2">
                  <c:v>0.1641</c:v>
                </c:pt>
                <c:pt idx="3">
                  <c:v>4.7300000000000002E-2</c:v>
                </c:pt>
                <c:pt idx="4">
                  <c:v>2.7830000000000001E-2</c:v>
                </c:pt>
                <c:pt idx="5">
                  <c:v>2.043E-2</c:v>
                </c:pt>
                <c:pt idx="6">
                  <c:v>9.7999999999999997E-3</c:v>
                </c:pt>
                <c:pt idx="7">
                  <c:v>3.1670000000000001E-3</c:v>
                </c:pt>
                <c:pt idx="8">
                  <c:v>1E-3</c:v>
                </c:pt>
                <c:pt idx="9">
                  <c:v>0</c:v>
                </c:pt>
              </c:numCache>
            </c:numRef>
          </c:val>
          <c:smooth val="0"/>
        </c:ser>
        <c:ser>
          <c:idx val="6"/>
          <c:order val="6"/>
          <c:tx>
            <c:strRef>
              <c:f>'Rankogram Data'!$S$4</c:f>
              <c:strCache>
                <c:ptCount val="1"/>
                <c:pt idx="0">
                  <c:v>IBUIVCONT</c:v>
                </c:pt>
              </c:strCache>
            </c:strRef>
          </c:tx>
          <c:spPr>
            <a:ln w="22225" cap="rnd">
              <a:solidFill>
                <a:schemeClr val="accent1">
                  <a:lumMod val="60000"/>
                </a:schemeClr>
              </a:solidFill>
              <a:round/>
            </a:ln>
            <a:effectLst/>
          </c:spPr>
          <c:marker>
            <c:symbol val="plus"/>
            <c:size val="6"/>
            <c:spPr>
              <a:noFill/>
              <a:ln w="9525">
                <a:solidFill>
                  <a:schemeClr val="accent1">
                    <a:lumMod val="60000"/>
                  </a:schemeClr>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Data'!$S$5:$S$100</c:f>
              <c:numCache>
                <c:formatCode>General</c:formatCode>
                <c:ptCount val="10"/>
                <c:pt idx="0">
                  <c:v>2.5000000000000001E-3</c:v>
                </c:pt>
                <c:pt idx="1">
                  <c:v>6.8669999999999998E-3</c:v>
                </c:pt>
                <c:pt idx="2">
                  <c:v>1.0500000000000001E-2</c:v>
                </c:pt>
                <c:pt idx="3">
                  <c:v>1.66E-2</c:v>
                </c:pt>
                <c:pt idx="4">
                  <c:v>2.257E-2</c:v>
                </c:pt>
                <c:pt idx="5">
                  <c:v>3.5830000000000001E-2</c:v>
                </c:pt>
                <c:pt idx="6">
                  <c:v>9.7170000000000006E-2</c:v>
                </c:pt>
                <c:pt idx="7">
                  <c:v>0.17</c:v>
                </c:pt>
                <c:pt idx="8">
                  <c:v>0.56000000000000005</c:v>
                </c:pt>
                <c:pt idx="9">
                  <c:v>7.7899999999999997E-2</c:v>
                </c:pt>
              </c:numCache>
            </c:numRef>
          </c:val>
          <c:smooth val="0"/>
        </c:ser>
        <c:ser>
          <c:idx val="7"/>
          <c:order val="7"/>
          <c:tx>
            <c:strRef>
              <c:f>'Rankogram Data'!$T$4</c:f>
              <c:strCache>
                <c:ptCount val="1"/>
                <c:pt idx="0">
                  <c:v>INDOIVCONT</c:v>
                </c:pt>
              </c:strCache>
            </c:strRef>
          </c:tx>
          <c:spPr>
            <a:ln w="22225" cap="rnd">
              <a:solidFill>
                <a:schemeClr val="accent2">
                  <a:lumMod val="60000"/>
                </a:schemeClr>
              </a:solidFill>
              <a:round/>
            </a:ln>
            <a:effectLst/>
          </c:spPr>
          <c:marker>
            <c:symbol val="dot"/>
            <c:size val="6"/>
            <c:spPr>
              <a:solidFill>
                <a:schemeClr val="accent2">
                  <a:lumMod val="60000"/>
                </a:schemeClr>
              </a:solidFill>
              <a:ln w="9525">
                <a:solidFill>
                  <a:schemeClr val="accent2">
                    <a:lumMod val="60000"/>
                  </a:schemeClr>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Data'!$T$5:$T$100</c:f>
              <c:numCache>
                <c:formatCode>General</c:formatCode>
                <c:ptCount val="10"/>
                <c:pt idx="0">
                  <c:v>1.2670000000000001E-2</c:v>
                </c:pt>
                <c:pt idx="1">
                  <c:v>3.0970000000000001E-2</c:v>
                </c:pt>
                <c:pt idx="2">
                  <c:v>5.04E-2</c:v>
                </c:pt>
                <c:pt idx="3">
                  <c:v>6.6699999999999995E-2</c:v>
                </c:pt>
                <c:pt idx="4">
                  <c:v>8.8569999999999996E-2</c:v>
                </c:pt>
                <c:pt idx="5">
                  <c:v>0.1217</c:v>
                </c:pt>
                <c:pt idx="6">
                  <c:v>0.28399999999999997</c:v>
                </c:pt>
                <c:pt idx="7">
                  <c:v>0.19600000000000001</c:v>
                </c:pt>
                <c:pt idx="8">
                  <c:v>0.14360000000000001</c:v>
                </c:pt>
                <c:pt idx="9">
                  <c:v>5.4330000000000003E-3</c:v>
                </c:pt>
              </c:numCache>
            </c:numRef>
          </c:val>
          <c:smooth val="0"/>
        </c:ser>
        <c:ser>
          <c:idx val="8"/>
          <c:order val="8"/>
          <c:tx>
            <c:strRef>
              <c:f>'Rankogram Data'!$U$4</c:f>
              <c:strCache>
                <c:ptCount val="1"/>
                <c:pt idx="0">
                  <c:v>INDOTHERS</c:v>
                </c:pt>
              </c:strCache>
            </c:strRef>
          </c:tx>
          <c:spPr>
            <a:ln w="22225" cap="rnd">
              <a:solidFill>
                <a:schemeClr val="accent3">
                  <a:lumMod val="60000"/>
                </a:schemeClr>
              </a:solidFill>
              <a:round/>
            </a:ln>
            <a:effectLst/>
          </c:spPr>
          <c:marker>
            <c:symbol val="dash"/>
            <c:size val="6"/>
            <c:spPr>
              <a:solidFill>
                <a:schemeClr val="accent3">
                  <a:lumMod val="60000"/>
                </a:schemeClr>
              </a:solidFill>
              <a:ln w="9525">
                <a:solidFill>
                  <a:schemeClr val="accent3">
                    <a:lumMod val="60000"/>
                  </a:schemeClr>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Data'!$U$5:$U$100</c:f>
              <c:numCache>
                <c:formatCode>General</c:formatCode>
                <c:ptCount val="10"/>
                <c:pt idx="0">
                  <c:v>1.2E-2</c:v>
                </c:pt>
                <c:pt idx="1">
                  <c:v>4.3400000000000001E-2</c:v>
                </c:pt>
                <c:pt idx="2">
                  <c:v>9.9570000000000006E-2</c:v>
                </c:pt>
                <c:pt idx="3">
                  <c:v>0.1903</c:v>
                </c:pt>
                <c:pt idx="4">
                  <c:v>0.27150000000000002</c:v>
                </c:pt>
                <c:pt idx="5">
                  <c:v>0.2283</c:v>
                </c:pt>
                <c:pt idx="6">
                  <c:v>0.12709999999999999</c:v>
                </c:pt>
                <c:pt idx="7">
                  <c:v>2.3429999999999999E-2</c:v>
                </c:pt>
                <c:pt idx="8">
                  <c:v>4.3670000000000002E-3</c:v>
                </c:pt>
                <c:pt idx="9">
                  <c:v>0</c:v>
                </c:pt>
              </c:numCache>
            </c:numRef>
          </c:val>
          <c:smooth val="0"/>
        </c:ser>
        <c:ser>
          <c:idx val="9"/>
          <c:order val="9"/>
          <c:tx>
            <c:strRef>
              <c:f>'Rankogram Data'!$V$4</c:f>
              <c:strCache>
                <c:ptCount val="1"/>
                <c:pt idx="0">
                  <c:v>PLAC_NORX</c:v>
                </c:pt>
              </c:strCache>
            </c:strRef>
          </c:tx>
          <c:spPr>
            <a:ln w="22225" cap="rnd">
              <a:solidFill>
                <a:schemeClr val="accent4">
                  <a:lumMod val="60000"/>
                </a:schemeClr>
              </a:solidFill>
              <a:round/>
            </a:ln>
            <a:effectLst/>
          </c:spPr>
          <c:marker>
            <c:symbol val="diamond"/>
            <c:size val="6"/>
            <c:spPr>
              <a:solidFill>
                <a:schemeClr val="accent4">
                  <a:lumMod val="60000"/>
                </a:schemeClr>
              </a:solidFill>
              <a:ln w="9525">
                <a:solidFill>
                  <a:schemeClr val="accent4">
                    <a:lumMod val="60000"/>
                  </a:schemeClr>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Data'!$V$5:$V$100</c:f>
              <c:numCache>
                <c:formatCode>General</c:formatCode>
                <c:ptCount val="10"/>
                <c:pt idx="0">
                  <c:v>0</c:v>
                </c:pt>
                <c:pt idx="1">
                  <c:v>0</c:v>
                </c:pt>
                <c:pt idx="2">
                  <c:v>0</c:v>
                </c:pt>
                <c:pt idx="3">
                  <c:v>0</c:v>
                </c:pt>
                <c:pt idx="4">
                  <c:v>0</c:v>
                </c:pt>
                <c:pt idx="5">
                  <c:v>0</c:v>
                </c:pt>
                <c:pt idx="6">
                  <c:v>6.6669999999999997E-5</c:v>
                </c:pt>
                <c:pt idx="7">
                  <c:v>2.1329999999999999E-3</c:v>
                </c:pt>
                <c:pt idx="8">
                  <c:v>8.2000000000000003E-2</c:v>
                </c:pt>
                <c:pt idx="9">
                  <c:v>0.91579999999999995</c:v>
                </c:pt>
              </c:numCache>
            </c:numRef>
          </c:val>
          <c:smooth val="0"/>
        </c:ser>
        <c:ser>
          <c:idx val="10"/>
          <c:order val="10"/>
          <c:tx>
            <c:strRef>
              <c:f>'Rankogram Data'!$W$4</c:f>
              <c:strCache>
                <c:ptCount val="1"/>
              </c:strCache>
            </c:strRef>
          </c:tx>
          <c:spPr>
            <a:ln w="22225" cap="rnd">
              <a:solidFill>
                <a:schemeClr val="accent5">
                  <a:lumMod val="60000"/>
                </a:schemeClr>
              </a:solidFill>
              <a:round/>
            </a:ln>
            <a:effectLst/>
          </c:spPr>
          <c:marker>
            <c:symbol val="square"/>
            <c:size val="6"/>
            <c:spPr>
              <a:solidFill>
                <a:schemeClr val="accent5">
                  <a:lumMod val="60000"/>
                </a:schemeClr>
              </a:solidFill>
              <a:ln w="9525">
                <a:solidFill>
                  <a:schemeClr val="accent5">
                    <a:lumMod val="60000"/>
                  </a:schemeClr>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Data'!$W$5:$W$100</c:f>
            </c:numRef>
          </c:val>
          <c:smooth val="0"/>
        </c:ser>
        <c:ser>
          <c:idx val="11"/>
          <c:order val="11"/>
          <c:tx>
            <c:strRef>
              <c:f>'Rankogram Data'!$X$4</c:f>
              <c:strCache>
                <c:ptCount val="1"/>
              </c:strCache>
            </c:strRef>
          </c:tx>
          <c:spPr>
            <a:ln w="22225" cap="rnd">
              <a:solidFill>
                <a:schemeClr val="accent6">
                  <a:lumMod val="60000"/>
                </a:schemeClr>
              </a:solidFill>
              <a:round/>
            </a:ln>
            <a:effectLst/>
          </c:spPr>
          <c:marker>
            <c:symbol val="triangle"/>
            <c:size val="6"/>
            <c:spPr>
              <a:solidFill>
                <a:schemeClr val="accent6">
                  <a:lumMod val="60000"/>
                </a:schemeClr>
              </a:solidFill>
              <a:ln w="9525">
                <a:solidFill>
                  <a:schemeClr val="accent6">
                    <a:lumMod val="60000"/>
                  </a:schemeClr>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Data'!$X$5:$X$100</c:f>
            </c:numRef>
          </c:val>
          <c:smooth val="0"/>
        </c:ser>
        <c:ser>
          <c:idx val="12"/>
          <c:order val="12"/>
          <c:tx>
            <c:strRef>
              <c:f>'Rankogram Data'!$Y$4</c:f>
              <c:strCache>
                <c:ptCount val="1"/>
              </c:strCache>
            </c:strRef>
          </c:tx>
          <c:spPr>
            <a:ln w="22225" cap="rnd">
              <a:solidFill>
                <a:schemeClr val="accent1">
                  <a:lumMod val="80000"/>
                  <a:lumOff val="20000"/>
                </a:schemeClr>
              </a:solidFill>
              <a:round/>
            </a:ln>
            <a:effectLst/>
          </c:spPr>
          <c:marker>
            <c:symbol val="x"/>
            <c:size val="6"/>
            <c:spPr>
              <a:noFill/>
              <a:ln w="9525">
                <a:solidFill>
                  <a:schemeClr val="accent1">
                    <a:lumMod val="80000"/>
                    <a:lumOff val="20000"/>
                  </a:schemeClr>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Data'!$Y$5:$Y$100</c:f>
            </c:numRef>
          </c:val>
          <c:smooth val="0"/>
        </c:ser>
        <c:ser>
          <c:idx val="13"/>
          <c:order val="13"/>
          <c:tx>
            <c:strRef>
              <c:f>'Rankogram Data'!$Z$4</c:f>
              <c:strCache>
                <c:ptCount val="1"/>
              </c:strCache>
            </c:strRef>
          </c:tx>
          <c:spPr>
            <a:ln w="22225" cap="rnd">
              <a:solidFill>
                <a:schemeClr val="accent2">
                  <a:lumMod val="80000"/>
                  <a:lumOff val="20000"/>
                </a:schemeClr>
              </a:solidFill>
              <a:round/>
            </a:ln>
            <a:effectLst/>
          </c:spPr>
          <c:marker>
            <c:symbol val="star"/>
            <c:size val="6"/>
            <c:spPr>
              <a:noFill/>
              <a:ln w="9525">
                <a:solidFill>
                  <a:schemeClr val="accent2">
                    <a:lumMod val="80000"/>
                    <a:lumOff val="20000"/>
                  </a:schemeClr>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Data'!$Z$5:$Z$100</c:f>
            </c:numRef>
          </c:val>
          <c:smooth val="0"/>
        </c:ser>
        <c:ser>
          <c:idx val="14"/>
          <c:order val="14"/>
          <c:tx>
            <c:strRef>
              <c:f>'Rankogram Data'!$AA$4</c:f>
              <c:strCache>
                <c:ptCount val="1"/>
              </c:strCache>
            </c:strRef>
          </c:tx>
          <c:spPr>
            <a:ln w="22225" cap="rnd">
              <a:solidFill>
                <a:schemeClr val="accent3">
                  <a:lumMod val="80000"/>
                  <a:lumOff val="20000"/>
                </a:schemeClr>
              </a:solidFill>
              <a:round/>
            </a:ln>
            <a:effectLst/>
          </c:spPr>
          <c:marker>
            <c:symbol val="circle"/>
            <c:size val="6"/>
            <c:spPr>
              <a:solidFill>
                <a:schemeClr val="accent3">
                  <a:lumMod val="80000"/>
                  <a:lumOff val="20000"/>
                </a:schemeClr>
              </a:solidFill>
              <a:ln w="9525">
                <a:solidFill>
                  <a:schemeClr val="accent3">
                    <a:lumMod val="80000"/>
                    <a:lumOff val="20000"/>
                  </a:schemeClr>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Data'!$AA$5:$AA$100</c:f>
            </c:numRef>
          </c:val>
          <c:smooth val="0"/>
        </c:ser>
        <c:dLbls>
          <c:showLegendKey val="0"/>
          <c:showVal val="0"/>
          <c:showCatName val="0"/>
          <c:showSerName val="0"/>
          <c:showPercent val="0"/>
          <c:showBubbleSize val="0"/>
        </c:dLbls>
        <c:marker val="1"/>
        <c:smooth val="0"/>
        <c:axId val="615981584"/>
        <c:axId val="615981192"/>
      </c:lineChart>
      <c:catAx>
        <c:axId val="61598158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Rank</a:t>
                </a:r>
              </a:p>
            </c:rich>
          </c:tx>
          <c:layout>
            <c:manualLayout>
              <c:xMode val="edge"/>
              <c:yMode val="edge"/>
              <c:x val="0.38751809869920828"/>
              <c:y val="0.88750082016866638"/>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615981192"/>
        <c:crosses val="autoZero"/>
        <c:auto val="1"/>
        <c:lblAlgn val="ctr"/>
        <c:lblOffset val="100"/>
        <c:noMultiLvlLbl val="0"/>
      </c:catAx>
      <c:valAx>
        <c:axId val="615981192"/>
        <c:scaling>
          <c:orientation val="minMax"/>
          <c:max val="1.05"/>
          <c:min val="0"/>
        </c:scaling>
        <c:delete val="0"/>
        <c:axPos val="l"/>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Probability of Being Ranked</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5981584"/>
        <c:crosses val="autoZero"/>
        <c:crossBetween val="between"/>
        <c:majorUnit val="0.1"/>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833" l="0.70000000000000062" r="0.70000000000000062" t="0.75000000000000833" header="0.30000000000000032" footer="0.30000000000000032"/>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'Inconsistency Data'!$D$4</c:f>
          <c:strCache>
            <c:ptCount val="1"/>
            <c:pt idx="0">
              <c:v>Fixed Effects</c:v>
            </c:pt>
          </c:strCache>
        </c:strRef>
      </c:tx>
      <c:overlay val="0"/>
    </c:title>
    <c:autoTitleDeleted val="0"/>
    <c:plotArea>
      <c:layout>
        <c:manualLayout>
          <c:layoutTarget val="inner"/>
          <c:xMode val="edge"/>
          <c:yMode val="edge"/>
          <c:x val="0.11568285214348206"/>
          <c:y val="0.15631852112438496"/>
          <c:w val="0.7862389725921537"/>
          <c:h val="0.70893448339245879"/>
        </c:manualLayout>
      </c:layout>
      <c:scatterChart>
        <c:scatterStyle val="lineMarker"/>
        <c:varyColors val="0"/>
        <c:ser>
          <c:idx val="0"/>
          <c:order val="0"/>
          <c:spPr>
            <a:ln w="28575">
              <a:noFill/>
            </a:ln>
          </c:spPr>
          <c:marker>
            <c:symbol val="circle"/>
            <c:size val="4"/>
            <c:spPr>
              <a:solidFill>
                <a:srgbClr val="C00000"/>
              </a:solidFill>
              <a:ln>
                <a:solidFill>
                  <a:prstClr val="black"/>
                </a:solidFill>
              </a:ln>
            </c:spPr>
          </c:marker>
          <c:xVal>
            <c:numRef>
              <c:f>'Inconsistency Data'!$G$6:$G$105</c:f>
              <c:numCache>
                <c:formatCode>General</c:formatCode>
                <c:ptCount val="26"/>
              </c:numCache>
            </c:numRef>
          </c:xVal>
          <c:yVal>
            <c:numRef>
              <c:f>'Inconsistency Data'!$E$6:$E$105</c:f>
              <c:numCache>
                <c:formatCode>General</c:formatCode>
                <c:ptCount val="26"/>
              </c:numCache>
            </c:numRef>
          </c:yVal>
          <c:smooth val="0"/>
        </c:ser>
        <c:ser>
          <c:idx val="1"/>
          <c:order val="1"/>
          <c:spPr>
            <a:ln w="25400">
              <a:solidFill>
                <a:prstClr val="black">
                  <a:alpha val="69000"/>
                </a:prstClr>
              </a:solidFill>
              <a:prstDash val="lgDash"/>
            </a:ln>
          </c:spPr>
          <c:marker>
            <c:symbol val="none"/>
          </c:marker>
          <c:xVal>
            <c:numRef>
              <c:f>'Inconsistency Data'!$A$6:$A$7</c:f>
              <c:numCache>
                <c:formatCode>General</c:formatCode>
                <c:ptCount val="2"/>
                <c:pt idx="0">
                  <c:v>0</c:v>
                </c:pt>
                <c:pt idx="1">
                  <c:v>2</c:v>
                </c:pt>
              </c:numCache>
            </c:numRef>
          </c:xVal>
          <c:yVal>
            <c:numRef>
              <c:f>'Inconsistency Data'!$B$6:$B$7</c:f>
              <c:numCache>
                <c:formatCode>General</c:formatCode>
                <c:ptCount val="2"/>
                <c:pt idx="0">
                  <c:v>0</c:v>
                </c:pt>
                <c:pt idx="1">
                  <c:v>2</c:v>
                </c:pt>
              </c:numCache>
            </c:numRef>
          </c:yVal>
          <c:smooth val="0"/>
        </c:ser>
        <c:dLbls>
          <c:showLegendKey val="0"/>
          <c:showVal val="0"/>
          <c:showCatName val="0"/>
          <c:showSerName val="0"/>
          <c:showPercent val="0"/>
          <c:showBubbleSize val="0"/>
        </c:dLbls>
        <c:axId val="615973352"/>
        <c:axId val="615974528"/>
      </c:scatterChart>
      <c:valAx>
        <c:axId val="615973352"/>
        <c:scaling>
          <c:orientation val="minMax"/>
          <c:max val="2"/>
          <c:min val="0"/>
        </c:scaling>
        <c:delete val="0"/>
        <c:axPos val="b"/>
        <c:title>
          <c:tx>
            <c:strRef>
              <c:f>'Inconsistency Data'!$F$5</c:f>
              <c:strCache>
                <c:ptCount val="1"/>
                <c:pt idx="0">
                  <c:v>Consistency Model</c:v>
                </c:pt>
              </c:strCache>
            </c:strRef>
          </c:tx>
          <c:overlay val="0"/>
        </c:title>
        <c:numFmt formatCode="General" sourceLinked="1"/>
        <c:majorTickMark val="out"/>
        <c:minorTickMark val="out"/>
        <c:tickLblPos val="nextTo"/>
        <c:crossAx val="615974528"/>
        <c:crosses val="autoZero"/>
        <c:crossBetween val="midCat"/>
        <c:majorUnit val="0.5"/>
        <c:minorUnit val="0.25"/>
      </c:valAx>
      <c:valAx>
        <c:axId val="615974528"/>
        <c:scaling>
          <c:orientation val="minMax"/>
          <c:max val="2"/>
          <c:min val="0"/>
        </c:scaling>
        <c:delete val="0"/>
        <c:axPos val="l"/>
        <c:title>
          <c:tx>
            <c:strRef>
              <c:f>'Inconsistency Data'!$D$5</c:f>
              <c:strCache>
                <c:ptCount val="1"/>
                <c:pt idx="0">
                  <c:v>Inconsistency Model</c:v>
                </c:pt>
              </c:strCache>
            </c:strRef>
          </c:tx>
          <c:overlay val="0"/>
          <c:txPr>
            <a:bodyPr rot="-5400000" vert="horz"/>
            <a:lstStyle/>
            <a:p>
              <a:pPr>
                <a:defRPr/>
              </a:pPr>
              <a:endParaRPr lang="en-US"/>
            </a:p>
          </c:txPr>
        </c:title>
        <c:numFmt formatCode="General" sourceLinked="1"/>
        <c:majorTickMark val="out"/>
        <c:minorTickMark val="out"/>
        <c:tickLblPos val="nextTo"/>
        <c:crossAx val="615973352"/>
        <c:crosses val="autoZero"/>
        <c:crossBetween val="midCat"/>
        <c:majorUnit val="0.5"/>
        <c:minorUnit val="0.25"/>
      </c:valAx>
      <c:spPr>
        <a:ln>
          <a:solidFill>
            <a:schemeClr val="tx1"/>
          </a:solidFill>
        </a:ln>
        <a:effectLst>
          <a:outerShdw blurRad="50800" dist="38100" dir="8100000" algn="tr" rotWithShape="0">
            <a:prstClr val="black">
              <a:alpha val="40000"/>
            </a:prstClr>
          </a:outerShdw>
        </a:effectLst>
      </c:spPr>
    </c:plotArea>
    <c:plotVisOnly val="1"/>
    <c:dispBlanksAs val="gap"/>
    <c:showDLblsOverMax val="0"/>
  </c:chart>
  <c:spPr>
    <a:solidFill>
      <a:schemeClr val="tx2">
        <a:lumMod val="20000"/>
        <a:lumOff val="80000"/>
      </a:schemeClr>
    </a:solidFill>
    <a:effectLst>
      <a:outerShdw blurRad="50800" dist="38100" dir="8100000" algn="tr" rotWithShape="0">
        <a:prstClr val="black">
          <a:alpha val="40000"/>
        </a:prstClr>
      </a:outerShdw>
    </a:effectLst>
  </c:spPr>
  <c:printSettings>
    <c:headerFooter/>
    <c:pageMargins b="0.75000000000000988" l="0.70000000000000062" r="0.70000000000000062" t="0.75000000000000988"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'Inconsistency Data'!$I$4</c:f>
          <c:strCache>
            <c:ptCount val="1"/>
            <c:pt idx="0">
              <c:v>Random Effects (Vague)</c:v>
            </c:pt>
          </c:strCache>
        </c:strRef>
      </c:tx>
      <c:overlay val="1"/>
      <c:txPr>
        <a:bodyPr/>
        <a:lstStyle/>
        <a:p>
          <a:pPr>
            <a:defRPr sz="1600"/>
          </a:pPr>
          <a:endParaRPr lang="en-US"/>
        </a:p>
      </c:txPr>
    </c:title>
    <c:autoTitleDeleted val="0"/>
    <c:plotArea>
      <c:layout>
        <c:manualLayout>
          <c:layoutTarget val="inner"/>
          <c:xMode val="edge"/>
          <c:yMode val="edge"/>
          <c:x val="0.11568285214348206"/>
          <c:y val="0.15631852112438496"/>
          <c:w val="0.75513756883531957"/>
          <c:h val="0.70893448339245879"/>
        </c:manualLayout>
      </c:layout>
      <c:scatterChart>
        <c:scatterStyle val="lineMarker"/>
        <c:varyColors val="0"/>
        <c:ser>
          <c:idx val="0"/>
          <c:order val="0"/>
          <c:spPr>
            <a:ln w="28575">
              <a:noFill/>
            </a:ln>
          </c:spPr>
          <c:marker>
            <c:symbol val="circle"/>
            <c:size val="4"/>
            <c:spPr>
              <a:solidFill>
                <a:srgbClr val="C00000"/>
              </a:solidFill>
              <a:ln>
                <a:solidFill>
                  <a:prstClr val="black"/>
                </a:solidFill>
              </a:ln>
            </c:spPr>
          </c:marker>
          <c:xVal>
            <c:numRef>
              <c:f>'Inconsistency Data'!$L$6:$L$105</c:f>
              <c:numCache>
                <c:formatCode>General</c:formatCode>
                <c:ptCount val="26"/>
                <c:pt idx="0">
                  <c:v>0.97840000000000005</c:v>
                </c:pt>
                <c:pt idx="1">
                  <c:v>0.96919999999999995</c:v>
                </c:pt>
                <c:pt idx="2">
                  <c:v>0.77639999999999998</c:v>
                </c:pt>
                <c:pt idx="3">
                  <c:v>0.50690000000000002</c:v>
                </c:pt>
                <c:pt idx="4">
                  <c:v>0.87709999999999999</c:v>
                </c:pt>
                <c:pt idx="5">
                  <c:v>0.72419999999999995</c:v>
                </c:pt>
                <c:pt idx="6">
                  <c:v>1.1180000000000001</c:v>
                </c:pt>
                <c:pt idx="7">
                  <c:v>1.034</c:v>
                </c:pt>
                <c:pt idx="8">
                  <c:v>0.87380000000000002</c:v>
                </c:pt>
                <c:pt idx="9">
                  <c:v>0.71650000000000003</c:v>
                </c:pt>
                <c:pt idx="10">
                  <c:v>1.044</c:v>
                </c:pt>
                <c:pt idx="11">
                  <c:v>0.95020000000000004</c:v>
                </c:pt>
                <c:pt idx="12">
                  <c:v>1.0009999999999999</c:v>
                </c:pt>
                <c:pt idx="13">
                  <c:v>1.0169999999999999</c:v>
                </c:pt>
                <c:pt idx="14">
                  <c:v>0.88039999999999996</c:v>
                </c:pt>
                <c:pt idx="15">
                  <c:v>0.96399999999999997</c:v>
                </c:pt>
                <c:pt idx="16">
                  <c:v>1.0089999999999999</c:v>
                </c:pt>
                <c:pt idx="17">
                  <c:v>1.0109999999999999</c:v>
                </c:pt>
                <c:pt idx="18">
                  <c:v>0.83789999999999998</c:v>
                </c:pt>
                <c:pt idx="19">
                  <c:v>0.85219999999999996</c:v>
                </c:pt>
                <c:pt idx="20">
                  <c:v>0.62460000000000004</c:v>
                </c:pt>
                <c:pt idx="21">
                  <c:v>0.64249999999999996</c:v>
                </c:pt>
                <c:pt idx="22">
                  <c:v>0.91590000000000005</c:v>
                </c:pt>
                <c:pt idx="23">
                  <c:v>0.92720000000000002</c:v>
                </c:pt>
                <c:pt idx="24">
                  <c:v>0.96199999999999997</c:v>
                </c:pt>
                <c:pt idx="25">
                  <c:v>1.0880000000000001</c:v>
                </c:pt>
              </c:numCache>
            </c:numRef>
          </c:xVal>
          <c:yVal>
            <c:numRef>
              <c:f>'Inconsistency Data'!$J$6:$J$105</c:f>
              <c:numCache>
                <c:formatCode>General</c:formatCode>
                <c:ptCount val="26"/>
                <c:pt idx="0">
                  <c:v>1.0169999999999999</c:v>
                </c:pt>
                <c:pt idx="1">
                  <c:v>1.0209999999999999</c:v>
                </c:pt>
                <c:pt idx="2">
                  <c:v>1.0329999999999999</c:v>
                </c:pt>
                <c:pt idx="3">
                  <c:v>0.98740000000000006</c:v>
                </c:pt>
                <c:pt idx="4">
                  <c:v>0.83160000000000001</c:v>
                </c:pt>
                <c:pt idx="5">
                  <c:v>0.74819999999999998</c:v>
                </c:pt>
                <c:pt idx="6">
                  <c:v>0.91069999999999995</c:v>
                </c:pt>
                <c:pt idx="7">
                  <c:v>0.71909999999999996</c:v>
                </c:pt>
                <c:pt idx="8">
                  <c:v>0.81859999999999999</c:v>
                </c:pt>
                <c:pt idx="9">
                  <c:v>0.68910000000000005</c:v>
                </c:pt>
                <c:pt idx="10">
                  <c:v>1.014</c:v>
                </c:pt>
                <c:pt idx="11">
                  <c:v>1.02</c:v>
                </c:pt>
                <c:pt idx="12">
                  <c:v>1.03</c:v>
                </c:pt>
                <c:pt idx="13">
                  <c:v>1.0760000000000001</c:v>
                </c:pt>
                <c:pt idx="14">
                  <c:v>1.0029999999999999</c:v>
                </c:pt>
                <c:pt idx="15">
                  <c:v>1.0149999999999999</c:v>
                </c:pt>
                <c:pt idx="16">
                  <c:v>0.99170000000000003</c:v>
                </c:pt>
                <c:pt idx="17">
                  <c:v>1.0049999999999999</c:v>
                </c:pt>
                <c:pt idx="18">
                  <c:v>0.83889999999999998</c:v>
                </c:pt>
                <c:pt idx="19">
                  <c:v>0.90129999999999999</c:v>
                </c:pt>
                <c:pt idx="20">
                  <c:v>0.84019999999999995</c:v>
                </c:pt>
                <c:pt idx="21">
                  <c:v>0.78390000000000004</c:v>
                </c:pt>
                <c:pt idx="22">
                  <c:v>1.0349999999999999</c:v>
                </c:pt>
                <c:pt idx="23">
                  <c:v>1.0129999999999999</c:v>
                </c:pt>
                <c:pt idx="24">
                  <c:v>0.86629999999999996</c:v>
                </c:pt>
                <c:pt idx="25">
                  <c:v>0.98499999999999999</c:v>
                </c:pt>
              </c:numCache>
            </c:numRef>
          </c:yVal>
          <c:smooth val="0"/>
        </c:ser>
        <c:ser>
          <c:idx val="1"/>
          <c:order val="1"/>
          <c:spPr>
            <a:ln w="25400">
              <a:solidFill>
                <a:prstClr val="black">
                  <a:alpha val="69000"/>
                </a:prstClr>
              </a:solidFill>
              <a:prstDash val="lgDash"/>
            </a:ln>
          </c:spPr>
          <c:marker>
            <c:symbol val="none"/>
          </c:marker>
          <c:xVal>
            <c:numRef>
              <c:f>'Inconsistency Data'!$A$6:$A$7</c:f>
              <c:numCache>
                <c:formatCode>General</c:formatCode>
                <c:ptCount val="2"/>
                <c:pt idx="0">
                  <c:v>0</c:v>
                </c:pt>
                <c:pt idx="1">
                  <c:v>2</c:v>
                </c:pt>
              </c:numCache>
            </c:numRef>
          </c:xVal>
          <c:yVal>
            <c:numRef>
              <c:f>'Inconsistency Data'!$B$6:$B$7</c:f>
              <c:numCache>
                <c:formatCode>General</c:formatCode>
                <c:ptCount val="2"/>
                <c:pt idx="0">
                  <c:v>0</c:v>
                </c:pt>
                <c:pt idx="1">
                  <c:v>2</c:v>
                </c:pt>
              </c:numCache>
            </c:numRef>
          </c:yVal>
          <c:smooth val="0"/>
        </c:ser>
        <c:dLbls>
          <c:showLegendKey val="0"/>
          <c:showVal val="0"/>
          <c:showCatName val="0"/>
          <c:showSerName val="0"/>
          <c:showPercent val="0"/>
          <c:showBubbleSize val="0"/>
        </c:dLbls>
        <c:axId val="615979624"/>
        <c:axId val="615988640"/>
      </c:scatterChart>
      <c:valAx>
        <c:axId val="615979624"/>
        <c:scaling>
          <c:orientation val="minMax"/>
          <c:max val="2"/>
          <c:min val="0"/>
        </c:scaling>
        <c:delete val="0"/>
        <c:axPos val="b"/>
        <c:title>
          <c:tx>
            <c:strRef>
              <c:f>'Inconsistency Data'!$F$5</c:f>
              <c:strCache>
                <c:ptCount val="1"/>
                <c:pt idx="0">
                  <c:v>Consistency Model</c:v>
                </c:pt>
              </c:strCache>
            </c:strRef>
          </c:tx>
          <c:overlay val="0"/>
        </c:title>
        <c:numFmt formatCode="General" sourceLinked="1"/>
        <c:majorTickMark val="out"/>
        <c:minorTickMark val="out"/>
        <c:tickLblPos val="nextTo"/>
        <c:crossAx val="615988640"/>
        <c:crosses val="autoZero"/>
        <c:crossBetween val="midCat"/>
        <c:majorUnit val="0.5"/>
        <c:minorUnit val="0.25"/>
      </c:valAx>
      <c:valAx>
        <c:axId val="615988640"/>
        <c:scaling>
          <c:orientation val="minMax"/>
          <c:max val="2"/>
          <c:min val="0"/>
        </c:scaling>
        <c:delete val="0"/>
        <c:axPos val="l"/>
        <c:title>
          <c:tx>
            <c:strRef>
              <c:f>'Inconsistency Data'!$D$5</c:f>
              <c:strCache>
                <c:ptCount val="1"/>
                <c:pt idx="0">
                  <c:v>Inconsistency Model</c:v>
                </c:pt>
              </c:strCache>
            </c:strRef>
          </c:tx>
          <c:overlay val="0"/>
          <c:txPr>
            <a:bodyPr rot="-5400000" vert="horz"/>
            <a:lstStyle/>
            <a:p>
              <a:pPr>
                <a:defRPr/>
              </a:pPr>
              <a:endParaRPr lang="en-US"/>
            </a:p>
          </c:txPr>
        </c:title>
        <c:numFmt formatCode="General" sourceLinked="1"/>
        <c:majorTickMark val="out"/>
        <c:minorTickMark val="out"/>
        <c:tickLblPos val="nextTo"/>
        <c:crossAx val="615979624"/>
        <c:crosses val="autoZero"/>
        <c:crossBetween val="midCat"/>
        <c:majorUnit val="0.5"/>
        <c:minorUnit val="0.25"/>
      </c:valAx>
      <c:spPr>
        <a:ln>
          <a:solidFill>
            <a:schemeClr val="tx1"/>
          </a:solidFill>
        </a:ln>
        <a:effectLst>
          <a:outerShdw blurRad="50800" dist="38100" dir="8100000" algn="tr" rotWithShape="0">
            <a:prstClr val="black">
              <a:alpha val="40000"/>
            </a:prstClr>
          </a:outerShdw>
        </a:effectLst>
      </c:spPr>
    </c:plotArea>
    <c:plotVisOnly val="1"/>
    <c:dispBlanksAs val="gap"/>
    <c:showDLblsOverMax val="0"/>
  </c:chart>
  <c:spPr>
    <a:solidFill>
      <a:schemeClr val="tx2">
        <a:lumMod val="20000"/>
        <a:lumOff val="80000"/>
      </a:schemeClr>
    </a:solidFill>
    <a:effectLst>
      <a:outerShdw blurRad="50800" dist="38100" dir="8100000" algn="tr" rotWithShape="0">
        <a:prstClr val="black">
          <a:alpha val="40000"/>
        </a:prstClr>
      </a:outerShdw>
    </a:effectLst>
  </c:spPr>
  <c:printSettings>
    <c:headerFooter/>
    <c:pageMargins b="0.7500000000000101" l="0.70000000000000062" r="0.70000000000000062" t="0.75000000000001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List" dx="16" fmlaLink="'Inconsistency Data'!$V$5" fmlaRange="'Inconsistency Data'!$Z$5:$Z$7" sel="1" val="0"/>
</file>

<file path=xl/drawings/_rels/drawing1.xml.rels><?xml version="1.0" encoding="UTF-8" standalone="yes"?>
<Relationships xmlns="http://schemas.openxmlformats.org/package/2006/relationships"><Relationship Id="rId3" Type="http://schemas.openxmlformats.org/officeDocument/2006/relationships/image" Target="../media/image2.gif"/><Relationship Id="rId2" Type="http://schemas.openxmlformats.org/officeDocument/2006/relationships/image" Target="../media/image1.jpeg"/><Relationship Id="rId1" Type="http://schemas.openxmlformats.org/officeDocument/2006/relationships/hyperlink" Target="http://www.cornerstone-research.com/" TargetMode="External"/><Relationship Id="rId4" Type="http://schemas.openxmlformats.org/officeDocument/2006/relationships/image" Target="../media/image3.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4.jpe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3" Type="http://schemas.openxmlformats.org/officeDocument/2006/relationships/image" Target="../media/image2.gif"/><Relationship Id="rId2" Type="http://schemas.openxmlformats.org/officeDocument/2006/relationships/image" Target="../media/image3.jpeg"/><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485775</xdr:colOff>
      <xdr:row>16</xdr:row>
      <xdr:rowOff>151039</xdr:rowOff>
    </xdr:from>
    <xdr:to>
      <xdr:col>8</xdr:col>
      <xdr:colOff>295275</xdr:colOff>
      <xdr:row>22</xdr:row>
      <xdr:rowOff>172811</xdr:rowOff>
    </xdr:to>
    <xdr:pic>
      <xdr:nvPicPr>
        <xdr:cNvPr id="6145" name="Picture 1" descr="http://companyweb/Shared%20Documents/CRG%20Branding/Cornerstone_Logo_CMYK_hi-res.jpg">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1095375" y="3199039"/>
          <a:ext cx="4076700" cy="1164772"/>
        </a:xfrm>
        <a:prstGeom prst="rect">
          <a:avLst/>
        </a:prstGeom>
        <a:noFill/>
      </xdr:spPr>
    </xdr:pic>
    <xdr:clientData/>
  </xdr:twoCellAnchor>
  <xdr:oneCellAnchor>
    <xdr:from>
      <xdr:col>2</xdr:col>
      <xdr:colOff>126565</xdr:colOff>
      <xdr:row>6</xdr:row>
      <xdr:rowOff>57689</xdr:rowOff>
    </xdr:from>
    <xdr:ext cx="7004930" cy="1999712"/>
    <xdr:sp macro="" textlink="">
      <xdr:nvSpPr>
        <xdr:cNvPr id="3" name="Rectangle 2"/>
        <xdr:cNvSpPr/>
      </xdr:nvSpPr>
      <xdr:spPr>
        <a:xfrm>
          <a:off x="1345765" y="1200689"/>
          <a:ext cx="7004930" cy="1999712"/>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54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 </a:t>
          </a:r>
          <a:r>
            <a:rPr lang="en-US" sz="54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NetMetaXL: </a:t>
          </a:r>
          <a:r>
            <a:rPr lang="en-US" sz="32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Dichotomous Data </a:t>
          </a:r>
          <a:endParaRPr lang="en-US" sz="4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endParaRPr>
        </a:p>
        <a:p>
          <a:pPr algn="ctr"/>
          <a:r>
            <a:rPr lang="en-US"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An Excel Tool for WinBUGS</a:t>
          </a:r>
        </a:p>
        <a:p>
          <a:pPr algn="ctr"/>
          <a:r>
            <a:rPr lang="en-US"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version 1.6.1</a:t>
          </a:r>
        </a:p>
      </xdr:txBody>
    </xdr:sp>
    <xdr:clientData/>
  </xdr:oneCellAnchor>
  <xdr:twoCellAnchor editAs="oneCell">
    <xdr:from>
      <xdr:col>7</xdr:col>
      <xdr:colOff>115167</xdr:colOff>
      <xdr:row>23</xdr:row>
      <xdr:rowOff>19050</xdr:rowOff>
    </xdr:from>
    <xdr:to>
      <xdr:col>9</xdr:col>
      <xdr:colOff>104775</xdr:colOff>
      <xdr:row>26</xdr:row>
      <xdr:rowOff>57150</xdr:rowOff>
    </xdr:to>
    <xdr:grpSp>
      <xdr:nvGrpSpPr>
        <xdr:cNvPr id="5" name="Group 4"/>
        <xdr:cNvGrpSpPr/>
      </xdr:nvGrpSpPr>
      <xdr:grpSpPr>
        <a:xfrm>
          <a:off x="4382367" y="4019550"/>
          <a:ext cx="1208808" cy="609600"/>
          <a:chOff x="2718955" y="1359477"/>
          <a:chExt cx="658091" cy="355023"/>
        </a:xfrm>
      </xdr:grpSpPr>
      <xdr:pic>
        <xdr:nvPicPr>
          <xdr:cNvPr id="6" name="Picture 5"/>
          <xdr:cNvPicPr>
            <a:picLocks noChangeAspect="1"/>
          </xdr:cNvPicPr>
        </xdr:nvPicPr>
        <xdr:blipFill>
          <a:blip xmlns:r="http://schemas.openxmlformats.org/officeDocument/2006/relationships" r:embed="rId3"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14.enter_program" textlink="">
        <xdr:nvSpPr>
          <xdr:cNvPr id="7" name="TextBox 6"/>
          <xdr:cNvSpPr txBox="1"/>
        </xdr:nvSpPr>
        <xdr:spPr>
          <a:xfrm>
            <a:off x="2762250" y="1385453"/>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CA" sz="1200" b="1">
                <a:solidFill>
                  <a:schemeClr val="bg1"/>
                </a:solidFill>
              </a:rPr>
              <a:t>Enter</a:t>
            </a:r>
            <a:r>
              <a:rPr lang="en-CA" sz="1200" b="1" baseline="0">
                <a:solidFill>
                  <a:schemeClr val="bg1"/>
                </a:solidFill>
              </a:rPr>
              <a:t> Program</a:t>
            </a:r>
            <a:endParaRPr lang="en-CA" sz="1200" b="1">
              <a:solidFill>
                <a:schemeClr val="bg1"/>
              </a:solidFill>
            </a:endParaRPr>
          </a:p>
        </xdr:txBody>
      </xdr:sp>
    </xdr:grpSp>
    <xdr:clientData/>
  </xdr:twoCellAnchor>
  <xdr:twoCellAnchor editAs="oneCell">
    <xdr:from>
      <xdr:col>8</xdr:col>
      <xdr:colOff>412748</xdr:colOff>
      <xdr:row>16</xdr:row>
      <xdr:rowOff>179462</xdr:rowOff>
    </xdr:from>
    <xdr:to>
      <xdr:col>12</xdr:col>
      <xdr:colOff>762000</xdr:colOff>
      <xdr:row>22</xdr:row>
      <xdr:rowOff>98426</xdr:rowOff>
    </xdr:to>
    <xdr:pic>
      <xdr:nvPicPr>
        <xdr:cNvPr id="9" name="Picture 8"/>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3066" t="7633" r="19642" b="17121"/>
        <a:stretch/>
      </xdr:blipFill>
      <xdr:spPr>
        <a:xfrm>
          <a:off x="5289548" y="2846462"/>
          <a:ext cx="2787652" cy="106196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1491960</xdr:colOff>
      <xdr:row>7</xdr:row>
      <xdr:rowOff>77931</xdr:rowOff>
    </xdr:from>
    <xdr:to>
      <xdr:col>2</xdr:col>
      <xdr:colOff>2150051</xdr:colOff>
      <xdr:row>7</xdr:row>
      <xdr:rowOff>401931</xdr:rowOff>
    </xdr:to>
    <xdr:grpSp>
      <xdr:nvGrpSpPr>
        <xdr:cNvPr id="2" name="Group 1"/>
        <xdr:cNvGrpSpPr/>
      </xdr:nvGrpSpPr>
      <xdr:grpSpPr>
        <a:xfrm>
          <a:off x="2912773" y="1411431"/>
          <a:ext cx="658091" cy="324000"/>
          <a:chOff x="2718955" y="1359477"/>
          <a:chExt cx="658091" cy="355023"/>
        </a:xfrm>
      </xdr:grpSpPr>
      <xdr:pic>
        <xdr:nvPicPr>
          <xdr:cNvPr id="3" name="Picture 2"/>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winbugs_settings" textlink="" fLocksText="0">
        <xdr:nvSpPr>
          <xdr:cNvPr id="4" name="TextBox 3"/>
          <xdr:cNvSpPr txBox="1"/>
        </xdr:nvSpPr>
        <xdr:spPr>
          <a:xfrm>
            <a:off x="2762250" y="1385453"/>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twoCellAnchor editAs="oneCell">
    <xdr:from>
      <xdr:col>2</xdr:col>
      <xdr:colOff>1491960</xdr:colOff>
      <xdr:row>12</xdr:row>
      <xdr:rowOff>83126</xdr:rowOff>
    </xdr:from>
    <xdr:to>
      <xdr:col>2</xdr:col>
      <xdr:colOff>2150051</xdr:colOff>
      <xdr:row>12</xdr:row>
      <xdr:rowOff>406977</xdr:rowOff>
    </xdr:to>
    <xdr:grpSp>
      <xdr:nvGrpSpPr>
        <xdr:cNvPr id="8" name="Group 7"/>
        <xdr:cNvGrpSpPr/>
      </xdr:nvGrpSpPr>
      <xdr:grpSpPr>
        <a:xfrm>
          <a:off x="2912773" y="2639001"/>
          <a:ext cx="658091" cy="323851"/>
          <a:chOff x="2718955" y="1359477"/>
          <a:chExt cx="658091" cy="355023"/>
        </a:xfrm>
      </xdr:grpSpPr>
      <xdr:pic>
        <xdr:nvPicPr>
          <xdr:cNvPr id="9" name="Picture 8"/>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Inits_ranges" textlink="" fLocksText="0">
        <xdr:nvSpPr>
          <xdr:cNvPr id="10" name="TextBox 9"/>
          <xdr:cNvSpPr txBox="1"/>
        </xdr:nvSpPr>
        <xdr:spPr>
          <a:xfrm>
            <a:off x="2762250" y="1385453"/>
            <a:ext cx="554182" cy="3078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twoCellAnchor editAs="oneCell">
    <xdr:from>
      <xdr:col>2</xdr:col>
      <xdr:colOff>1491960</xdr:colOff>
      <xdr:row>17</xdr:row>
      <xdr:rowOff>69271</xdr:rowOff>
    </xdr:from>
    <xdr:to>
      <xdr:col>2</xdr:col>
      <xdr:colOff>2150051</xdr:colOff>
      <xdr:row>17</xdr:row>
      <xdr:rowOff>393271</xdr:rowOff>
    </xdr:to>
    <xdr:grpSp>
      <xdr:nvGrpSpPr>
        <xdr:cNvPr id="11" name="Group 10"/>
        <xdr:cNvGrpSpPr/>
      </xdr:nvGrpSpPr>
      <xdr:grpSpPr>
        <a:xfrm>
          <a:off x="2912773" y="3839584"/>
          <a:ext cx="658091" cy="324000"/>
          <a:chOff x="2718955" y="1359477"/>
          <a:chExt cx="658091" cy="355023"/>
        </a:xfrm>
      </xdr:grpSpPr>
      <xdr:pic>
        <xdr:nvPicPr>
          <xdr:cNvPr id="12" name="Picture 11"/>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program_settings" textlink="" fLocksText="0">
        <xdr:nvSpPr>
          <xdr:cNvPr id="13" name="TextBox 12"/>
          <xdr:cNvSpPr txBox="1"/>
        </xdr:nvSpPr>
        <xdr:spPr>
          <a:xfrm>
            <a:off x="2762250" y="1385453"/>
            <a:ext cx="554182" cy="2944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oneCellAnchor>
    <xdr:from>
      <xdr:col>0</xdr:col>
      <xdr:colOff>3099326</xdr:colOff>
      <xdr:row>0</xdr:row>
      <xdr:rowOff>51416</xdr:rowOff>
    </xdr:from>
    <xdr:ext cx="3082360" cy="377209"/>
    <xdr:sp macro="" textlink="">
      <xdr:nvSpPr>
        <xdr:cNvPr id="14" name="Rectangle 13"/>
        <xdr:cNvSpPr/>
      </xdr:nvSpPr>
      <xdr:spPr>
        <a:xfrm>
          <a:off x="813326" y="51416"/>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0</xdr:col>
      <xdr:colOff>713465</xdr:colOff>
      <xdr:row>2</xdr:row>
      <xdr:rowOff>56054</xdr:rowOff>
    </xdr:from>
    <xdr:to>
      <xdr:col>2</xdr:col>
      <xdr:colOff>1004882</xdr:colOff>
      <xdr:row>4</xdr:row>
      <xdr:rowOff>163094</xdr:rowOff>
    </xdr:to>
    <xdr:pic>
      <xdr:nvPicPr>
        <xdr:cNvPr id="15" name="Picture 1" descr="http://companyweb/Shared%20Documents/CRG%20Branding/Cornerstone_Logo_CMYK_hi-res.jpg"/>
        <xdr:cNvPicPr>
          <a:picLocks noChangeAspect="1" noChangeArrowheads="1"/>
        </xdr:cNvPicPr>
      </xdr:nvPicPr>
      <xdr:blipFill>
        <a:blip xmlns:r="http://schemas.openxmlformats.org/officeDocument/2006/relationships" r:embed="rId2" cstate="print"/>
        <a:srcRect/>
        <a:stretch>
          <a:fillRect/>
        </a:stretch>
      </xdr:blipFill>
      <xdr:spPr bwMode="auto">
        <a:xfrm>
          <a:off x="713465" y="437054"/>
          <a:ext cx="1710642" cy="488040"/>
        </a:xfrm>
        <a:prstGeom prst="rect">
          <a:avLst/>
        </a:prstGeom>
        <a:noFill/>
      </xdr:spPr>
    </xdr:pic>
    <xdr:clientData/>
  </xdr:twoCellAnchor>
  <xdr:twoCellAnchor>
    <xdr:from>
      <xdr:col>4</xdr:col>
      <xdr:colOff>42898</xdr:colOff>
      <xdr:row>18</xdr:row>
      <xdr:rowOff>93661</xdr:rowOff>
    </xdr:from>
    <xdr:to>
      <xdr:col>4</xdr:col>
      <xdr:colOff>323849</xdr:colOff>
      <xdr:row>18</xdr:row>
      <xdr:rowOff>317499</xdr:rowOff>
    </xdr:to>
    <xdr:sp macro="[0]!Sheet9.Find_winbugs_dir" textlink="">
      <xdr:nvSpPr>
        <xdr:cNvPr id="16" name="File"/>
        <xdr:cNvSpPr>
          <a:spLocks noEditPoints="1" noChangeArrowheads="1"/>
        </xdr:cNvSpPr>
      </xdr:nvSpPr>
      <xdr:spPr bwMode="auto">
        <a:xfrm>
          <a:off x="6396073" y="8170861"/>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xdr:from>
      <xdr:col>4</xdr:col>
      <xdr:colOff>42898</xdr:colOff>
      <xdr:row>19</xdr:row>
      <xdr:rowOff>71435</xdr:rowOff>
    </xdr:from>
    <xdr:to>
      <xdr:col>4</xdr:col>
      <xdr:colOff>323849</xdr:colOff>
      <xdr:row>19</xdr:row>
      <xdr:rowOff>295273</xdr:rowOff>
    </xdr:to>
    <xdr:sp macro="[0]!Sheet9.Find_data_dir" textlink="">
      <xdr:nvSpPr>
        <xdr:cNvPr id="17" name="File"/>
        <xdr:cNvSpPr>
          <a:spLocks noEditPoints="1" noChangeArrowheads="1"/>
        </xdr:cNvSpPr>
      </xdr:nvSpPr>
      <xdr:spPr bwMode="auto">
        <a:xfrm>
          <a:off x="6396073" y="8596310"/>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xdr:from>
      <xdr:col>4</xdr:col>
      <xdr:colOff>42898</xdr:colOff>
      <xdr:row>20</xdr:row>
      <xdr:rowOff>96835</xdr:rowOff>
    </xdr:from>
    <xdr:to>
      <xdr:col>4</xdr:col>
      <xdr:colOff>323849</xdr:colOff>
      <xdr:row>20</xdr:row>
      <xdr:rowOff>320673</xdr:rowOff>
    </xdr:to>
    <xdr:sp macro="[0]!Sheet9.Find_results_dir" textlink="">
      <xdr:nvSpPr>
        <xdr:cNvPr id="18" name="File"/>
        <xdr:cNvSpPr>
          <a:spLocks noEditPoints="1" noChangeArrowheads="1"/>
        </xdr:cNvSpPr>
      </xdr:nvSpPr>
      <xdr:spPr bwMode="auto">
        <a:xfrm>
          <a:off x="6396073" y="9040810"/>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editAs="oneCell">
    <xdr:from>
      <xdr:col>2</xdr:col>
      <xdr:colOff>1285877</xdr:colOff>
      <xdr:row>2</xdr:row>
      <xdr:rowOff>61989</xdr:rowOff>
    </xdr:from>
    <xdr:to>
      <xdr:col>2</xdr:col>
      <xdr:colOff>2365375</xdr:colOff>
      <xdr:row>4</xdr:row>
      <xdr:rowOff>92227</xdr:rowOff>
    </xdr:to>
    <xdr:pic>
      <xdr:nvPicPr>
        <xdr:cNvPr id="19" name="Picture 18"/>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3066" t="7633" r="19642" b="17121"/>
        <a:stretch/>
      </xdr:blipFill>
      <xdr:spPr>
        <a:xfrm>
          <a:off x="2705102" y="442989"/>
          <a:ext cx="1079498" cy="41123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319087</xdr:colOff>
      <xdr:row>0</xdr:row>
      <xdr:rowOff>744140</xdr:rowOff>
    </xdr:from>
    <xdr:to>
      <xdr:col>7</xdr:col>
      <xdr:colOff>552450</xdr:colOff>
      <xdr:row>1</xdr:row>
      <xdr:rowOff>27384</xdr:rowOff>
    </xdr:to>
    <xdr:sp macro="" textlink="">
      <xdr:nvSpPr>
        <xdr:cNvPr id="14" name="Rectangle 13"/>
        <xdr:cNvSpPr/>
      </xdr:nvSpPr>
      <xdr:spPr>
        <a:xfrm>
          <a:off x="7177087" y="744140"/>
          <a:ext cx="1985963" cy="378619"/>
        </a:xfrm>
        <a:prstGeom prst="rect">
          <a:avLst/>
        </a:prstGeom>
        <a:solidFill>
          <a:schemeClr val="tx2">
            <a:lumMod val="20000"/>
            <a:lumOff val="80000"/>
          </a:schemeClr>
        </a:solidFill>
        <a:ln>
          <a:solidFill>
            <a:schemeClr val="tx1"/>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xdr:twoCellAnchor>
  <xdr:twoCellAnchor editAs="oneCell">
    <xdr:from>
      <xdr:col>5</xdr:col>
      <xdr:colOff>309562</xdr:colOff>
      <xdr:row>0</xdr:row>
      <xdr:rowOff>221456</xdr:rowOff>
    </xdr:from>
    <xdr:to>
      <xdr:col>7</xdr:col>
      <xdr:colOff>542925</xdr:colOff>
      <xdr:row>0</xdr:row>
      <xdr:rowOff>602456</xdr:rowOff>
    </xdr:to>
    <xdr:sp macro="" textlink="">
      <xdr:nvSpPr>
        <xdr:cNvPr id="13" name="Rectangle 12"/>
        <xdr:cNvSpPr/>
      </xdr:nvSpPr>
      <xdr:spPr>
        <a:xfrm>
          <a:off x="7167562" y="221456"/>
          <a:ext cx="1985963" cy="381000"/>
        </a:xfrm>
        <a:prstGeom prst="rect">
          <a:avLst/>
        </a:prstGeom>
        <a:solidFill>
          <a:schemeClr val="tx2">
            <a:lumMod val="20000"/>
            <a:lumOff val="80000"/>
          </a:schemeClr>
        </a:solidFill>
        <a:ln>
          <a:solidFill>
            <a:schemeClr val="tx1"/>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xdr:twoCellAnchor>
  <xdr:twoCellAnchor>
    <xdr:from>
      <xdr:col>0</xdr:col>
      <xdr:colOff>271462</xdr:colOff>
      <xdr:row>0</xdr:row>
      <xdr:rowOff>231052</xdr:rowOff>
    </xdr:from>
    <xdr:to>
      <xdr:col>0</xdr:col>
      <xdr:colOff>3015528</xdr:colOff>
      <xdr:row>24</xdr:row>
      <xdr:rowOff>114300</xdr:rowOff>
    </xdr:to>
    <xdr:sp macro="" textlink="">
      <xdr:nvSpPr>
        <xdr:cNvPr id="3" name="Rectangle 2"/>
        <xdr:cNvSpPr/>
      </xdr:nvSpPr>
      <xdr:spPr>
        <a:xfrm>
          <a:off x="271462" y="231052"/>
          <a:ext cx="2744066" cy="5712548"/>
        </a:xfrm>
        <a:prstGeom prst="rect">
          <a:avLst/>
        </a:prstGeom>
        <a:solidFill>
          <a:srgbClr val="00549E"/>
        </a:solidFill>
        <a:ln w="38100">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400" b="1"/>
            <a:t>Enter study data in the table to the right.</a:t>
          </a:r>
        </a:p>
        <a:p>
          <a:pPr algn="l"/>
          <a:endParaRPr lang="en-CA" sz="1400" b="1"/>
        </a:p>
        <a:p>
          <a:pPr algn="l"/>
          <a:r>
            <a:rPr lang="en-CA" sz="1400" b="1"/>
            <a:t>Select if events</a:t>
          </a:r>
          <a:r>
            <a:rPr lang="en-CA" sz="1400" b="1" baseline="0"/>
            <a:t> are considered "GOOD" or "BAD".  This affects how treatments are ranked.</a:t>
          </a:r>
        </a:p>
        <a:p>
          <a:pPr algn="l"/>
          <a:endParaRPr lang="en-CA" sz="1400" b="1"/>
        </a:p>
        <a:p>
          <a:pPr algn="l"/>
          <a:r>
            <a:rPr lang="en-CA" sz="1400" b="1"/>
            <a:t>The name of the treatments are  entered</a:t>
          </a:r>
          <a:r>
            <a:rPr lang="en-CA" sz="1400" b="1" baseline="0"/>
            <a:t> in Row 5, starting at Column E (Green Cell).  The treatment with the most studies should be entered  first.</a:t>
          </a:r>
        </a:p>
        <a:p>
          <a:pPr algn="l"/>
          <a:endParaRPr lang="en-CA" sz="1400" b="1" baseline="0"/>
        </a:p>
        <a:p>
          <a:pPr algn="l"/>
          <a:r>
            <a:rPr lang="en-CA" sz="1400" b="1" baseline="0"/>
            <a:t>The names (or reference) of each study are entered in Column D, starting at Row 7 (Green Cell). Each row is a separate study.</a:t>
          </a:r>
        </a:p>
        <a:p>
          <a:pPr algn="l"/>
          <a:endParaRPr lang="en-CA" sz="1400" b="1" baseline="0"/>
        </a:p>
        <a:p>
          <a:pPr algn="l"/>
          <a:r>
            <a:rPr lang="en-CA" sz="1400" b="1" baseline="0"/>
            <a:t>Enter the number of events and number of patients into the corresponding rows (study) and columns (treatment). Each study must have ≥ treatment arms</a:t>
          </a:r>
        </a:p>
        <a:p>
          <a:pPr algn="l"/>
          <a:endParaRPr lang="en-CA" sz="1400" b="1" baseline="0"/>
        </a:p>
        <a:p>
          <a:pPr algn="l"/>
          <a:r>
            <a:rPr lang="en-CA" sz="1400" b="1" baseline="0"/>
            <a:t>LEAVE ALL other cells blank</a:t>
          </a:r>
        </a:p>
        <a:p>
          <a:pPr algn="l"/>
          <a:endParaRPr lang="en-CA" sz="1400" b="1" baseline="0"/>
        </a:p>
        <a:p>
          <a:pPr algn="l"/>
          <a:r>
            <a:rPr lang="en-CA" sz="1400" b="1" baseline="0"/>
            <a:t>Hit the "Convert  Data" button under the "WinBUGS tab.</a:t>
          </a:r>
        </a:p>
        <a:p>
          <a:pPr algn="l"/>
          <a:endParaRPr lang="en-CA" sz="1400" b="1" baseline="0"/>
        </a:p>
        <a:p>
          <a:pPr algn="l"/>
          <a:r>
            <a:rPr lang="en-CA" sz="1400" b="1" baseline="0"/>
            <a:t>Note:  Currently the macro can only  handle up to 50 studies and 15 unique  treatments.  </a:t>
          </a:r>
        </a:p>
        <a:p>
          <a:pPr algn="l"/>
          <a:endParaRPr lang="en-CA" sz="1400" b="1" baseline="0"/>
        </a:p>
      </xdr:txBody>
    </xdr:sp>
    <xdr:clientData/>
  </xdr:twoCellAnchor>
  <xdr:oneCellAnchor>
    <xdr:from>
      <xdr:col>2</xdr:col>
      <xdr:colOff>25978</xdr:colOff>
      <xdr:row>0</xdr:row>
      <xdr:rowOff>69272</xdr:rowOff>
    </xdr:from>
    <xdr:ext cx="3082360" cy="377209"/>
    <xdr:sp macro="" textlink="">
      <xdr:nvSpPr>
        <xdr:cNvPr id="9" name="Rectangle 8"/>
        <xdr:cNvSpPr/>
      </xdr:nvSpPr>
      <xdr:spPr>
        <a:xfrm>
          <a:off x="3429001" y="69272"/>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1</xdr:col>
      <xdr:colOff>269875</xdr:colOff>
      <xdr:row>0</xdr:row>
      <xdr:rowOff>444500</xdr:rowOff>
    </xdr:from>
    <xdr:to>
      <xdr:col>3</xdr:col>
      <xdr:colOff>1069292</xdr:colOff>
      <xdr:row>0</xdr:row>
      <xdr:rowOff>932540</xdr:rowOff>
    </xdr:to>
    <xdr:pic>
      <xdr:nvPicPr>
        <xdr:cNvPr id="11"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365500" y="444500"/>
          <a:ext cx="1712230" cy="488040"/>
        </a:xfrm>
        <a:prstGeom prst="rect">
          <a:avLst/>
        </a:prstGeom>
        <a:noFill/>
      </xdr:spPr>
    </xdr:pic>
    <xdr:clientData/>
  </xdr:twoCellAnchor>
  <xdr:twoCellAnchor editAs="oneCell">
    <xdr:from>
      <xdr:col>5</xdr:col>
      <xdr:colOff>440531</xdr:colOff>
      <xdr:row>0</xdr:row>
      <xdr:rowOff>303607</xdr:rowOff>
    </xdr:from>
    <xdr:to>
      <xdr:col>5</xdr:col>
      <xdr:colOff>659607</xdr:colOff>
      <xdr:row>0</xdr:row>
      <xdr:rowOff>517920</xdr:rowOff>
    </xdr:to>
    <xdr:sp macro="[0]!Sheet1.Events_Good" textlink="">
      <xdr:nvSpPr>
        <xdr:cNvPr id="6" name="Oval 5"/>
        <xdr:cNvSpPr/>
      </xdr:nvSpPr>
      <xdr:spPr>
        <a:xfrm>
          <a:off x="7298531" y="303607"/>
          <a:ext cx="219076" cy="214313"/>
        </a:xfrm>
        <a:prstGeom prst="ellipse">
          <a:avLst/>
        </a:prstGeom>
        <a:solidFill>
          <a:srgbClr val="000000"/>
        </a:solidFill>
        <a:ln>
          <a:solidFill>
            <a:sysClr val="windowText" lastClr="000000"/>
          </a:solid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fLocksWithSheet="0"/>
  </xdr:twoCellAnchor>
  <xdr:twoCellAnchor editAs="oneCell">
    <xdr:from>
      <xdr:col>5</xdr:col>
      <xdr:colOff>440531</xdr:colOff>
      <xdr:row>0</xdr:row>
      <xdr:rowOff>827484</xdr:rowOff>
    </xdr:from>
    <xdr:to>
      <xdr:col>5</xdr:col>
      <xdr:colOff>659607</xdr:colOff>
      <xdr:row>0</xdr:row>
      <xdr:rowOff>1039416</xdr:rowOff>
    </xdr:to>
    <xdr:sp macro="[0]!Sheet1.Events_Bad" textlink="">
      <xdr:nvSpPr>
        <xdr:cNvPr id="7" name="Oval 6"/>
        <xdr:cNvSpPr/>
      </xdr:nvSpPr>
      <xdr:spPr>
        <a:xfrm>
          <a:off x="7298531" y="827484"/>
          <a:ext cx="219076" cy="211932"/>
        </a:xfrm>
        <a:prstGeom prst="ellipse">
          <a:avLst/>
        </a:prstGeom>
        <a:solidFill>
          <a:srgbClr val="FFFFFF"/>
        </a:solidFill>
        <a:ln>
          <a:solidFill>
            <a:sysClr val="windowText" lastClr="000000"/>
          </a:solid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fLocksWithSheet="0"/>
  </xdr:twoCellAnchor>
  <xdr:twoCellAnchor editAs="oneCell">
    <xdr:from>
      <xdr:col>5</xdr:col>
      <xdr:colOff>782615</xdr:colOff>
      <xdr:row>0</xdr:row>
      <xdr:rowOff>758428</xdr:rowOff>
    </xdr:from>
    <xdr:to>
      <xdr:col>7</xdr:col>
      <xdr:colOff>378169</xdr:colOff>
      <xdr:row>0</xdr:row>
      <xdr:rowOff>1089422</xdr:rowOff>
    </xdr:to>
    <xdr:sp macro="" textlink="">
      <xdr:nvSpPr>
        <xdr:cNvPr id="8" name="TextBox 7"/>
        <xdr:cNvSpPr txBox="1"/>
      </xdr:nvSpPr>
      <xdr:spPr>
        <a:xfrm>
          <a:off x="7640615" y="758428"/>
          <a:ext cx="1348154" cy="3309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n-CA" sz="1200" b="1"/>
            <a:t>Events are "BAD"</a:t>
          </a:r>
        </a:p>
      </xdr:txBody>
    </xdr:sp>
    <xdr:clientData/>
  </xdr:twoCellAnchor>
  <xdr:twoCellAnchor editAs="oneCell">
    <xdr:from>
      <xdr:col>5</xdr:col>
      <xdr:colOff>771525</xdr:colOff>
      <xdr:row>0</xdr:row>
      <xdr:rowOff>234551</xdr:rowOff>
    </xdr:from>
    <xdr:to>
      <xdr:col>7</xdr:col>
      <xdr:colOff>438150</xdr:colOff>
      <xdr:row>0</xdr:row>
      <xdr:rowOff>567926</xdr:rowOff>
    </xdr:to>
    <xdr:sp macro="" textlink="">
      <xdr:nvSpPr>
        <xdr:cNvPr id="12" name="TextBox 11"/>
        <xdr:cNvSpPr txBox="1"/>
      </xdr:nvSpPr>
      <xdr:spPr>
        <a:xfrm>
          <a:off x="7629525" y="234551"/>
          <a:ext cx="14192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n-CA" sz="1200" b="1"/>
            <a:t>Events are "GOOD"</a:t>
          </a:r>
        </a:p>
      </xdr:txBody>
    </xdr:sp>
    <xdr:clientData/>
  </xdr:twoCellAnchor>
  <xdr:twoCellAnchor editAs="oneCell">
    <xdr:from>
      <xdr:col>3</xdr:col>
      <xdr:colOff>1321594</xdr:colOff>
      <xdr:row>0</xdr:row>
      <xdr:rowOff>464344</xdr:rowOff>
    </xdr:from>
    <xdr:to>
      <xdr:col>4</xdr:col>
      <xdr:colOff>424654</xdr:colOff>
      <xdr:row>0</xdr:row>
      <xdr:rowOff>875582</xdr:rowOff>
    </xdr:to>
    <xdr:pic>
      <xdr:nvPicPr>
        <xdr:cNvPr id="15" name="Picture 14"/>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5334000" y="464344"/>
          <a:ext cx="1079498" cy="411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15874</xdr:colOff>
      <xdr:row>1</xdr:row>
      <xdr:rowOff>50801</xdr:rowOff>
    </xdr:from>
    <xdr:to>
      <xdr:col>6</xdr:col>
      <xdr:colOff>1150937</xdr:colOff>
      <xdr:row>10</xdr:row>
      <xdr:rowOff>7936</xdr:rowOff>
    </xdr:to>
    <xdr:sp macro="" textlink="">
      <xdr:nvSpPr>
        <xdr:cNvPr id="2" name="Rectangle 1"/>
        <xdr:cNvSpPr/>
      </xdr:nvSpPr>
      <xdr:spPr>
        <a:xfrm>
          <a:off x="3325812" y="1154114"/>
          <a:ext cx="1881188" cy="1751010"/>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a:t>*The Inits</a:t>
          </a:r>
          <a:r>
            <a:rPr lang="en-CA" sz="1100" b="1" baseline="0"/>
            <a:t> statements are randomly derived (specify values on " Settings" sheet) and as such may need to be manually altered to fit specific data if WinBUGs fails to run or if the chains fail to converge.  You can manually adjust these .</a:t>
          </a:r>
        </a:p>
        <a:p>
          <a:pPr algn="l"/>
          <a:endParaRPr lang="en-CA" sz="1100" b="1" baseline="0"/>
        </a:p>
        <a:p>
          <a:pPr algn="l"/>
          <a:endParaRPr lang="en-CA" sz="1100" b="1"/>
        </a:p>
      </xdr:txBody>
    </xdr:sp>
    <xdr:clientData/>
  </xdr:twoCellAnchor>
  <xdr:oneCellAnchor>
    <xdr:from>
      <xdr:col>1</xdr:col>
      <xdr:colOff>15858</xdr:colOff>
      <xdr:row>0</xdr:row>
      <xdr:rowOff>47627</xdr:rowOff>
    </xdr:from>
    <xdr:ext cx="3082360" cy="377209"/>
    <xdr:sp macro="" textlink="">
      <xdr:nvSpPr>
        <xdr:cNvPr id="11" name="Rectangle 10"/>
        <xdr:cNvSpPr/>
      </xdr:nvSpPr>
      <xdr:spPr>
        <a:xfrm>
          <a:off x="436546" y="47627"/>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Excel Tool for WinBUGS</a:t>
          </a:r>
        </a:p>
      </xdr:txBody>
    </xdr:sp>
    <xdr:clientData/>
  </xdr:oneCellAnchor>
  <xdr:twoCellAnchor editAs="oneCell">
    <xdr:from>
      <xdr:col>0</xdr:col>
      <xdr:colOff>341313</xdr:colOff>
      <xdr:row>0</xdr:row>
      <xdr:rowOff>436562</xdr:rowOff>
    </xdr:from>
    <xdr:to>
      <xdr:col>2</xdr:col>
      <xdr:colOff>172355</xdr:colOff>
      <xdr:row>0</xdr:row>
      <xdr:rowOff>924602</xdr:rowOff>
    </xdr:to>
    <xdr:pic>
      <xdr:nvPicPr>
        <xdr:cNvPr id="16"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41313" y="436562"/>
          <a:ext cx="1712230" cy="488040"/>
        </a:xfrm>
        <a:prstGeom prst="rect">
          <a:avLst/>
        </a:prstGeom>
        <a:noFill/>
      </xdr:spPr>
    </xdr:pic>
    <xdr:clientData/>
  </xdr:twoCellAnchor>
  <xdr:twoCellAnchor editAs="oneCell">
    <xdr:from>
      <xdr:col>2</xdr:col>
      <xdr:colOff>515938</xdr:colOff>
      <xdr:row>0</xdr:row>
      <xdr:rowOff>436563</xdr:rowOff>
    </xdr:from>
    <xdr:to>
      <xdr:col>5</xdr:col>
      <xdr:colOff>166686</xdr:colOff>
      <xdr:row>0</xdr:row>
      <xdr:rowOff>847801</xdr:rowOff>
    </xdr:to>
    <xdr:pic>
      <xdr:nvPicPr>
        <xdr:cNvPr id="6" name="Picture 5"/>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2397126" y="436563"/>
          <a:ext cx="1079498" cy="411238"/>
        </a:xfrm>
        <a:prstGeom prst="rect">
          <a:avLst/>
        </a:prstGeom>
      </xdr:spPr>
    </xdr:pic>
    <xdr:clientData/>
  </xdr:twoCellAnchor>
  <xdr:twoCellAnchor editAs="oneCell">
    <xdr:from>
      <xdr:col>5</xdr:col>
      <xdr:colOff>492125</xdr:colOff>
      <xdr:row>10</xdr:row>
      <xdr:rowOff>142875</xdr:rowOff>
    </xdr:from>
    <xdr:to>
      <xdr:col>6</xdr:col>
      <xdr:colOff>785812</xdr:colOff>
      <xdr:row>13</xdr:row>
      <xdr:rowOff>87313</xdr:rowOff>
    </xdr:to>
    <xdr:grpSp>
      <xdr:nvGrpSpPr>
        <xdr:cNvPr id="7" name="Group 6"/>
        <xdr:cNvGrpSpPr/>
      </xdr:nvGrpSpPr>
      <xdr:grpSpPr>
        <a:xfrm>
          <a:off x="3797300" y="3048000"/>
          <a:ext cx="1036637" cy="515938"/>
          <a:chOff x="2718955" y="1359477"/>
          <a:chExt cx="658091" cy="355023"/>
        </a:xfrm>
      </xdr:grpSpPr>
      <xdr:pic macro="[0]!Group6_Click">
        <xdr:nvPicPr>
          <xdr:cNvPr id="8" name="Picture 7"/>
          <xdr:cNvPicPr>
            <a:picLocks noChangeAspect="1"/>
          </xdr:cNvPicPr>
        </xdr:nvPicPr>
        <xdr:blipFill>
          <a:blip xmlns:r="http://schemas.openxmlformats.org/officeDocument/2006/relationships" r:embed="rId3"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Generate_Inits" textlink="" fLocksText="0">
        <xdr:nvSpPr>
          <xdr:cNvPr id="9" name="TextBox 8"/>
          <xdr:cNvSpPr txBox="1"/>
        </xdr:nvSpPr>
        <xdr:spPr>
          <a:xfrm>
            <a:off x="2762250" y="1385454"/>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900" b="1">
                <a:solidFill>
                  <a:schemeClr val="bg1"/>
                </a:solidFill>
              </a:rPr>
              <a:t>Re-Generate Inits</a:t>
            </a:r>
          </a:p>
        </xdr:txBody>
      </xdr:sp>
    </xdr:grpSp>
    <xdr:clientData fLocksWithSheet="0"/>
  </xdr:twoCellAnchor>
</xdr:wsDr>
</file>

<file path=xl/drawings/drawing5.xml><?xml version="1.0" encoding="utf-8"?>
<xdr:wsDr xmlns:xdr="http://schemas.openxmlformats.org/drawingml/2006/spreadsheetDrawing" xmlns:a="http://schemas.openxmlformats.org/drawingml/2006/main">
  <xdr:twoCellAnchor>
    <xdr:from>
      <xdr:col>5</xdr:col>
      <xdr:colOff>39687</xdr:colOff>
      <xdr:row>1</xdr:row>
      <xdr:rowOff>106363</xdr:rowOff>
    </xdr:from>
    <xdr:to>
      <xdr:col>6</xdr:col>
      <xdr:colOff>1174750</xdr:colOff>
      <xdr:row>10</xdr:row>
      <xdr:rowOff>71437</xdr:rowOff>
    </xdr:to>
    <xdr:sp macro="" textlink="">
      <xdr:nvSpPr>
        <xdr:cNvPr id="2" name="Rectangle 1"/>
        <xdr:cNvSpPr/>
      </xdr:nvSpPr>
      <xdr:spPr>
        <a:xfrm>
          <a:off x="3344862" y="1211263"/>
          <a:ext cx="1878013" cy="1755774"/>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a:t>*The Inits</a:t>
          </a:r>
          <a:r>
            <a:rPr lang="en-CA" sz="1100" b="1" baseline="0"/>
            <a:t> statements are randomly derived (specify values on " Settings" sheet) and as such may need to be manually altered to fit specific data if WinBUGs fails to run or if the chains fail to converge.  You can manually adjust these .</a:t>
          </a:r>
        </a:p>
        <a:p>
          <a:pPr algn="l"/>
          <a:endParaRPr lang="en-CA" sz="1100" b="1" baseline="0"/>
        </a:p>
        <a:p>
          <a:pPr algn="l"/>
          <a:endParaRPr lang="en-CA" sz="1100" b="1"/>
        </a:p>
      </xdr:txBody>
    </xdr:sp>
    <xdr:clientData/>
  </xdr:twoCellAnchor>
  <xdr:oneCellAnchor>
    <xdr:from>
      <xdr:col>1</xdr:col>
      <xdr:colOff>15858</xdr:colOff>
      <xdr:row>0</xdr:row>
      <xdr:rowOff>47627</xdr:rowOff>
    </xdr:from>
    <xdr:ext cx="3082360" cy="377209"/>
    <xdr:sp macro="" textlink="">
      <xdr:nvSpPr>
        <xdr:cNvPr id="3" name="Rectangle 2"/>
        <xdr:cNvSpPr/>
      </xdr:nvSpPr>
      <xdr:spPr>
        <a:xfrm>
          <a:off x="434958" y="47627"/>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0</xdr:col>
      <xdr:colOff>341313</xdr:colOff>
      <xdr:row>0</xdr:row>
      <xdr:rowOff>436562</xdr:rowOff>
    </xdr:from>
    <xdr:to>
      <xdr:col>2</xdr:col>
      <xdr:colOff>172355</xdr:colOff>
      <xdr:row>0</xdr:row>
      <xdr:rowOff>924602</xdr:rowOff>
    </xdr:to>
    <xdr:pic>
      <xdr:nvPicPr>
        <xdr:cNvPr id="5"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41313" y="436562"/>
          <a:ext cx="1707467" cy="488040"/>
        </a:xfrm>
        <a:prstGeom prst="rect">
          <a:avLst/>
        </a:prstGeom>
        <a:noFill/>
      </xdr:spPr>
    </xdr:pic>
    <xdr:clientData/>
  </xdr:twoCellAnchor>
  <xdr:twoCellAnchor editAs="oneCell">
    <xdr:from>
      <xdr:col>2</xdr:col>
      <xdr:colOff>571500</xdr:colOff>
      <xdr:row>0</xdr:row>
      <xdr:rowOff>420688</xdr:rowOff>
    </xdr:from>
    <xdr:to>
      <xdr:col>5</xdr:col>
      <xdr:colOff>222248</xdr:colOff>
      <xdr:row>0</xdr:row>
      <xdr:rowOff>831926</xdr:rowOff>
    </xdr:to>
    <xdr:pic>
      <xdr:nvPicPr>
        <xdr:cNvPr id="6" name="Picture 5"/>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2452688" y="420688"/>
          <a:ext cx="1079498" cy="411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601927</xdr:colOff>
      <xdr:row>0</xdr:row>
      <xdr:rowOff>101865</xdr:rowOff>
    </xdr:from>
    <xdr:to>
      <xdr:col>4</xdr:col>
      <xdr:colOff>127000</xdr:colOff>
      <xdr:row>7</xdr:row>
      <xdr:rowOff>101865</xdr:rowOff>
    </xdr:to>
    <xdr:sp macro="" textlink="">
      <xdr:nvSpPr>
        <xdr:cNvPr id="93" name="TextBox 92"/>
        <xdr:cNvSpPr txBox="1"/>
      </xdr:nvSpPr>
      <xdr:spPr>
        <a:xfrm>
          <a:off x="601927" y="101865"/>
          <a:ext cx="3800740" cy="1333500"/>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200" b="1">
              <a:solidFill>
                <a:schemeClr val="bg1"/>
              </a:solidFill>
            </a:rPr>
            <a:t>Please</a:t>
          </a:r>
          <a:r>
            <a:rPr lang="en-CA" sz="1200" b="1" baseline="0">
              <a:solidFill>
                <a:schemeClr val="bg1"/>
              </a:solidFill>
            </a:rPr>
            <a:t> ensure that you have  run the "Convert Data" macro and updated the treatment legend (below) before  running the "Generate Diagram" macro.</a:t>
          </a:r>
          <a:endParaRPr lang="en-CA" sz="1200" b="1">
            <a:solidFill>
              <a:schemeClr val="bg1"/>
            </a:solidFill>
          </a:endParaRPr>
        </a:p>
        <a:p>
          <a:r>
            <a:rPr lang="en-CA" sz="1200" b="1">
              <a:solidFill>
                <a:schemeClr val="bg1"/>
              </a:solidFill>
            </a:rPr>
            <a:t>If</a:t>
          </a:r>
          <a:r>
            <a:rPr lang="en-CA" sz="1200" b="1" baseline="0">
              <a:solidFill>
                <a:schemeClr val="bg1"/>
              </a:solidFill>
            </a:rPr>
            <a:t> the shapes are too crowded, decrease the zoom level and re-generate the graph.  Conversely, if the diagram is too spread out, increase the zoom level and re-generate the graph.</a:t>
          </a:r>
          <a:endParaRPr lang="en-CA" sz="1200" b="1">
            <a:solidFill>
              <a:schemeClr val="bg1"/>
            </a:solidFill>
          </a:endParaRPr>
        </a:p>
      </xdr:txBody>
    </xdr:sp>
    <xdr:clientData/>
  </xdr:twoCellAnchor>
  <xdr:twoCellAnchor>
    <xdr:from>
      <xdr:col>0</xdr:col>
      <xdr:colOff>603249</xdr:colOff>
      <xdr:row>8</xdr:row>
      <xdr:rowOff>52915</xdr:rowOff>
    </xdr:from>
    <xdr:to>
      <xdr:col>4</xdr:col>
      <xdr:colOff>137583</xdr:colOff>
      <xdr:row>16</xdr:row>
      <xdr:rowOff>179917</xdr:rowOff>
    </xdr:to>
    <xdr:sp macro="" textlink="">
      <xdr:nvSpPr>
        <xdr:cNvPr id="114" name="TextBox 113"/>
        <xdr:cNvSpPr txBox="1"/>
      </xdr:nvSpPr>
      <xdr:spPr>
        <a:xfrm>
          <a:off x="603249" y="1576915"/>
          <a:ext cx="3810001" cy="1651002"/>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200" b="1">
              <a:solidFill>
                <a:schemeClr val="bg1"/>
              </a:solidFill>
            </a:rPr>
            <a:t>The area of the circles</a:t>
          </a:r>
          <a:r>
            <a:rPr lang="en-CA" sz="1200" b="1" baseline="0">
              <a:solidFill>
                <a:schemeClr val="bg1"/>
              </a:solidFill>
            </a:rPr>
            <a:t> is based on the total number of patients for each treatment among all trials. </a:t>
          </a:r>
        </a:p>
        <a:p>
          <a:endParaRPr lang="en-CA" sz="1200" b="1" baseline="0">
            <a:solidFill>
              <a:schemeClr val="bg1"/>
            </a:solidFill>
          </a:endParaRPr>
        </a:p>
        <a:p>
          <a:r>
            <a:rPr lang="en-CA" sz="1200" b="1" baseline="0">
              <a:solidFill>
                <a:schemeClr val="bg1"/>
              </a:solidFill>
            </a:rPr>
            <a:t>The thickness of the lines are based on the total number of studies comparing the two treatments.</a:t>
          </a:r>
          <a:endParaRPr lang="en-CA" sz="1200" b="1">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absoluteAnchor>
    <xdr:pos x="5272616" y="232833"/>
    <xdr:ext cx="6219825" cy="2276475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absoluteAnchor>
  <xdr:twoCellAnchor editAs="absolute">
    <xdr:from>
      <xdr:col>2</xdr:col>
      <xdr:colOff>20108</xdr:colOff>
      <xdr:row>9</xdr:row>
      <xdr:rowOff>189442</xdr:rowOff>
    </xdr:from>
    <xdr:to>
      <xdr:col>2</xdr:col>
      <xdr:colOff>1046692</xdr:colOff>
      <xdr:row>12</xdr:row>
      <xdr:rowOff>94192</xdr:rowOff>
    </xdr:to>
    <xdr:sp macro="[0]!draw_forest" textlink="">
      <xdr:nvSpPr>
        <xdr:cNvPr id="3" name="Rounded Rectangle 2"/>
        <xdr:cNvSpPr/>
      </xdr:nvSpPr>
      <xdr:spPr>
        <a:xfrm>
          <a:off x="1286933" y="1970617"/>
          <a:ext cx="1026584"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Update</a:t>
          </a:r>
          <a:r>
            <a:rPr lang="en-CA" sz="1050" b="1" baseline="0"/>
            <a:t> Forest Plot</a:t>
          </a:r>
          <a:endParaRPr lang="en-CA" sz="1050" b="1"/>
        </a:p>
      </xdr:txBody>
    </xdr:sp>
    <xdr:clientData/>
  </xdr:twoCellAnchor>
  <xdr:twoCellAnchor editAs="oneCell">
    <xdr:from>
      <xdr:col>2</xdr:col>
      <xdr:colOff>818111</xdr:colOff>
      <xdr:row>4</xdr:row>
      <xdr:rowOff>34832</xdr:rowOff>
    </xdr:from>
    <xdr:to>
      <xdr:col>2</xdr:col>
      <xdr:colOff>1325711</xdr:colOff>
      <xdr:row>4</xdr:row>
      <xdr:rowOff>149165</xdr:rowOff>
    </xdr:to>
    <xdr:pic>
      <xdr:nvPicPr>
        <xdr:cNvPr id="4" name="Picture 3"/>
        <xdr:cNvPicPr preferRelativeResize="0">
          <a:picLocks noChangeArrowheads="1"/>
        </xdr:cNvPicPr>
      </xdr:nvPicPr>
      <xdr:blipFill>
        <a:blip xmlns:r="http://schemas.openxmlformats.org/officeDocument/2006/relationships" r:embed="rId2" cstate="print"/>
        <a:srcRect l="4018" t="34010" r="74595" b="29401"/>
        <a:stretch>
          <a:fillRect/>
        </a:stretch>
      </xdr:blipFill>
      <xdr:spPr bwMode="auto">
        <a:xfrm>
          <a:off x="1675361" y="820645"/>
          <a:ext cx="507600" cy="114333"/>
        </a:xfrm>
        <a:prstGeom prst="rect">
          <a:avLst/>
        </a:prstGeom>
        <a:noFill/>
        <a:ln w="1">
          <a:solidFill>
            <a:schemeClr val="tx1"/>
          </a:solidFill>
          <a:miter lim="800000"/>
          <a:headEnd/>
          <a:tailEnd type="none" w="med" len="med"/>
        </a:ln>
        <a:effectLst/>
      </xdr:spPr>
    </xdr:pic>
    <xdr:clientData/>
  </xdr:twoCellAnchor>
  <xdr:twoCellAnchor editAs="oneCell">
    <xdr:from>
      <xdr:col>2</xdr:col>
      <xdr:colOff>818111</xdr:colOff>
      <xdr:row>5</xdr:row>
      <xdr:rowOff>41672</xdr:rowOff>
    </xdr:from>
    <xdr:to>
      <xdr:col>2</xdr:col>
      <xdr:colOff>1326111</xdr:colOff>
      <xdr:row>5</xdr:row>
      <xdr:rowOff>156872</xdr:rowOff>
    </xdr:to>
    <xdr:pic>
      <xdr:nvPicPr>
        <xdr:cNvPr id="5" name="Picture 4"/>
        <xdr:cNvPicPr preferRelativeResize="0">
          <a:picLocks noChangeArrowheads="1"/>
        </xdr:cNvPicPr>
      </xdr:nvPicPr>
      <xdr:blipFill>
        <a:blip xmlns:r="http://schemas.openxmlformats.org/officeDocument/2006/relationships" r:embed="rId2" cstate="print"/>
        <a:srcRect l="78559" t="35299" b="27866"/>
        <a:stretch>
          <a:fillRect/>
        </a:stretch>
      </xdr:blipFill>
      <xdr:spPr bwMode="auto">
        <a:xfrm>
          <a:off x="1675361" y="1029891"/>
          <a:ext cx="508000" cy="115200"/>
        </a:xfrm>
        <a:prstGeom prst="rect">
          <a:avLst/>
        </a:prstGeom>
        <a:noFill/>
        <a:ln w="1">
          <a:solidFill>
            <a:schemeClr val="tx1"/>
          </a:solidFill>
          <a:miter lim="800000"/>
          <a:headEnd/>
          <a:tailEnd type="none" w="med" len="med"/>
        </a:ln>
        <a:effectLst/>
      </xdr:spPr>
    </xdr:pic>
    <xdr:clientData/>
  </xdr:twoCellAnchor>
  <xdr:twoCellAnchor>
    <xdr:from>
      <xdr:col>1</xdr:col>
      <xdr:colOff>285750</xdr:colOff>
      <xdr:row>13</xdr:row>
      <xdr:rowOff>85725</xdr:rowOff>
    </xdr:from>
    <xdr:to>
      <xdr:col>4</xdr:col>
      <xdr:colOff>162984</xdr:colOff>
      <xdr:row>18</xdr:row>
      <xdr:rowOff>133350</xdr:rowOff>
    </xdr:to>
    <xdr:sp macro="" textlink="">
      <xdr:nvSpPr>
        <xdr:cNvPr id="6" name="TextBox 5"/>
        <xdr:cNvSpPr txBox="1"/>
      </xdr:nvSpPr>
      <xdr:spPr>
        <a:xfrm>
          <a:off x="685800" y="2628900"/>
          <a:ext cx="4182534" cy="1000125"/>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900" b="1">
              <a:solidFill>
                <a:schemeClr val="bg1"/>
              </a:solidFill>
            </a:rPr>
            <a:t>Please</a:t>
          </a:r>
          <a:r>
            <a:rPr lang="en-CA" sz="900" b="1" baseline="0">
              <a:solidFill>
                <a:schemeClr val="bg1"/>
              </a:solidFill>
            </a:rPr>
            <a:t> n</a:t>
          </a:r>
          <a:r>
            <a:rPr lang="en-CA" sz="900" b="1">
              <a:solidFill>
                <a:schemeClr val="bg1"/>
              </a:solidFill>
            </a:rPr>
            <a:t>ote:</a:t>
          </a:r>
        </a:p>
        <a:p>
          <a:r>
            <a:rPr lang="en-CA" sz="900" b="1" baseline="0">
              <a:solidFill>
                <a:schemeClr val="bg1"/>
              </a:solidFill>
            </a:rPr>
            <a:t>The forest plot sorts the comparisons based on the treatment ranks from the "top" analysis.  In rare circumstances, two different model analyses may not rank treatments in the same order.  In these cases the results for the bottom analyses will be incorrect.  This bug will be fixed in the future.  Forest plots of a single analyses are not affected and are displayed correctly.</a:t>
          </a:r>
          <a:endParaRPr lang="en-CA" sz="900" b="1">
            <a:solidFill>
              <a:schemeClr val="bg1"/>
            </a:solidFill>
          </a:endParaRPr>
        </a:p>
      </xdr:txBody>
    </xdr:sp>
    <xdr:clientData/>
  </xdr:twoCellAnchor>
</xdr:wsDr>
</file>

<file path=xl/drawings/drawing8.xml><?xml version="1.0" encoding="utf-8"?>
<c:userShapes xmlns:c="http://schemas.openxmlformats.org/drawingml/2006/chart">
  <cdr:absSizeAnchor xmlns:cdr="http://schemas.openxmlformats.org/drawingml/2006/chartDrawing">
    <cdr:from>
      <cdr:x>0.5462</cdr:x>
      <cdr:y>0.94583</cdr:y>
    </cdr:from>
    <cdr:ext cx="508000" cy="165100"/>
    <cdr:pic>
      <cdr:nvPicPr>
        <cdr:cNvPr id="212" name="Picture 211" hidden="1"/>
        <cdr:cNvPicPr preferRelativeResize="0">
          <a:picLocks xmlns:a="http://schemas.openxmlformats.org/drawingml/2006/main" noChangeArrowheads="1"/>
        </cdr:cNvPicPr>
      </cdr:nvPicPr>
      <cdr:blipFill>
        <a:blip xmlns:a="http://schemas.openxmlformats.org/drawingml/2006/main" xmlns:r="http://schemas.openxmlformats.org/officeDocument/2006/relationships" r:embed="rId1" cstate="print"/>
        <a:srcRect xmlns:a="http://schemas.openxmlformats.org/drawingml/2006/main" l="78559" t="35299" b="27866"/>
        <a:stretch xmlns:a="http://schemas.openxmlformats.org/drawingml/2006/main">
          <a:fillRect/>
        </a:stretch>
      </cdr:blipFill>
      <cdr:spPr bwMode="auto">
        <a:xfrm xmlns:a="http://schemas.openxmlformats.org/drawingml/2006/main">
          <a:off x="3397268" y="5765800"/>
          <a:ext cx="508000" cy="165100"/>
        </a:xfrm>
        <a:prstGeom xmlns:a="http://schemas.openxmlformats.org/drawingml/2006/main" prst="rect">
          <a:avLst/>
        </a:prstGeom>
        <a:noFill xmlns:a="http://schemas.openxmlformats.org/drawingml/2006/main"/>
        <a:ln xmlns:a="http://schemas.openxmlformats.org/drawingml/2006/main" w="1">
          <a:noFill/>
          <a:miter lim="800000"/>
          <a:headEnd/>
          <a:tailEnd type="none" w="med" len="med"/>
        </a:ln>
        <a:effectLst xmlns:a="http://schemas.openxmlformats.org/drawingml/2006/main"/>
      </cdr:spPr>
    </cdr:pic>
  </cdr:absSizeAnchor>
  <cdr:absSizeAnchor xmlns:cdr="http://schemas.openxmlformats.org/drawingml/2006/chartDrawing">
    <cdr:from>
      <cdr:x>0.39814</cdr:x>
      <cdr:y>0.98466</cdr:y>
    </cdr:from>
    <cdr:ext cx="635000" cy="165100"/>
    <cdr:pic>
      <cdr:nvPicPr>
        <cdr:cNvPr id="211" name="Picture 210"/>
        <cdr:cNvPicPr preferRelativeResize="0">
          <a:picLocks xmlns:a="http://schemas.openxmlformats.org/drawingml/2006/main" noChangeArrowheads="1"/>
        </cdr:cNvPicPr>
      </cdr:nvPicPr>
      <cdr:blipFill>
        <a:blip xmlns:a="http://schemas.openxmlformats.org/drawingml/2006/main" xmlns:r="http://schemas.openxmlformats.org/officeDocument/2006/relationships" r:embed="rId1" cstate="print"/>
        <a:srcRect xmlns:a="http://schemas.openxmlformats.org/drawingml/2006/main" t="30695" r="74595" b="29401"/>
        <a:stretch xmlns:a="http://schemas.openxmlformats.org/drawingml/2006/main">
          <a:fillRect/>
        </a:stretch>
      </cdr:blipFill>
      <cdr:spPr bwMode="auto">
        <a:xfrm xmlns:a="http://schemas.openxmlformats.org/drawingml/2006/main">
          <a:off x="2476364" y="22415499"/>
          <a:ext cx="635000" cy="165100"/>
        </a:xfrm>
        <a:prstGeom xmlns:a="http://schemas.openxmlformats.org/drawingml/2006/main" prst="rect">
          <a:avLst/>
        </a:prstGeom>
        <a:noFill xmlns:a="http://schemas.openxmlformats.org/drawingml/2006/main"/>
        <a:ln xmlns:a="http://schemas.openxmlformats.org/drawingml/2006/main" w="1">
          <a:noFill/>
          <a:miter lim="800000"/>
          <a:headEnd/>
          <a:tailEnd type="none" w="med" len="med"/>
        </a:ln>
        <a:effectLst xmlns:a="http://schemas.openxmlformats.org/drawingml/2006/main"/>
      </cdr:spPr>
    </cdr:pic>
  </cdr:absSizeAnchor>
</c:userShapes>
</file>

<file path=xl/drawings/drawing9.xml><?xml version="1.0" encoding="utf-8"?>
<xdr:wsDr xmlns:xdr="http://schemas.openxmlformats.org/drawingml/2006/spreadsheetDrawing" xmlns:a="http://schemas.openxmlformats.org/drawingml/2006/main">
  <xdr:twoCellAnchor editAs="absolute">
    <xdr:from>
      <xdr:col>0</xdr:col>
      <xdr:colOff>333375</xdr:colOff>
      <xdr:row>5</xdr:row>
      <xdr:rowOff>361949</xdr:rowOff>
    </xdr:from>
    <xdr:to>
      <xdr:col>3</xdr:col>
      <xdr:colOff>333375</xdr:colOff>
      <xdr:row>6</xdr:row>
      <xdr:rowOff>390525</xdr:rowOff>
    </xdr:to>
    <xdr:sp macro="" textlink="">
      <xdr:nvSpPr>
        <xdr:cNvPr id="2" name="Rectangle 1"/>
        <xdr:cNvSpPr/>
      </xdr:nvSpPr>
      <xdr:spPr>
        <a:xfrm>
          <a:off x="333375" y="2066924"/>
          <a:ext cx="3609975" cy="533401"/>
        </a:xfrm>
        <a:prstGeom prst="rect">
          <a:avLst/>
        </a:prstGeom>
        <a:solidFill>
          <a:srgbClr val="00549E"/>
        </a:solidFill>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200" b="0" baseline="0">
              <a:solidFill>
                <a:schemeClr val="lt1"/>
              </a:solidFill>
              <a:latin typeface="+mn-lt"/>
              <a:ea typeface="+mn-ea"/>
              <a:cs typeface="+mn-cs"/>
            </a:rPr>
            <a:t>Please note, the results of the plot are read from top to bottom and left to right.  </a:t>
          </a:r>
          <a:endParaRPr lang="en-CA" sz="1200" b="0" baseline="0"/>
        </a:p>
      </xdr:txBody>
    </xdr:sp>
    <xdr:clientData/>
  </xdr:twoCellAnchor>
  <xdr:twoCellAnchor editAs="absolute">
    <xdr:from>
      <xdr:col>2</xdr:col>
      <xdr:colOff>266700</xdr:colOff>
      <xdr:row>4</xdr:row>
      <xdr:rowOff>247650</xdr:rowOff>
    </xdr:from>
    <xdr:to>
      <xdr:col>2</xdr:col>
      <xdr:colOff>1314450</xdr:colOff>
      <xdr:row>5</xdr:row>
      <xdr:rowOff>219075</xdr:rowOff>
    </xdr:to>
    <xdr:sp macro="[0]!step_plot" textlink="">
      <xdr:nvSpPr>
        <xdr:cNvPr id="3" name="Rounded Rectangle 2"/>
        <xdr:cNvSpPr/>
      </xdr:nvSpPr>
      <xdr:spPr>
        <a:xfrm>
          <a:off x="1695450" y="1447800"/>
          <a:ext cx="104775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Draw Step</a:t>
          </a:r>
          <a:r>
            <a:rPr lang="en-CA" sz="1050" b="1" baseline="0"/>
            <a:t>  Plot</a:t>
          </a:r>
          <a:endParaRPr lang="en-CA" sz="1050" b="1"/>
        </a:p>
      </xdr:txBody>
    </xdr:sp>
    <xdr:clientData/>
  </xdr:twoCellAnchor>
  <xdr:twoCellAnchor>
    <xdr:from>
      <xdr:col>4</xdr:col>
      <xdr:colOff>523874</xdr:colOff>
      <xdr:row>1</xdr:row>
      <xdr:rowOff>57150</xdr:rowOff>
    </xdr:from>
    <xdr:to>
      <xdr:col>9</xdr:col>
      <xdr:colOff>266699</xdr:colOff>
      <xdr:row>3</xdr:row>
      <xdr:rowOff>47625</xdr:rowOff>
    </xdr:to>
    <xdr:sp macro="" textlink="$Y$6">
      <xdr:nvSpPr>
        <xdr:cNvPr id="4" name="TextBox 3"/>
        <xdr:cNvSpPr txBox="1"/>
      </xdr:nvSpPr>
      <xdr:spPr>
        <a:xfrm>
          <a:off x="6019799" y="657225"/>
          <a:ext cx="4467225" cy="39052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fld id="{D5F7C08B-9DCF-4733-B86A-A1DCF154E9CC}" type="TxLink">
            <a:rPr lang="en-US" sz="1600" b="1" i="0" u="none" strike="noStrike">
              <a:solidFill>
                <a:srgbClr val="000000"/>
              </a:solidFill>
              <a:latin typeface="Calibri"/>
            </a:rPr>
            <a:pPr algn="l"/>
            <a:t>OR &gt;1 Means the Treatment in Top Left is Better</a:t>
          </a:fld>
          <a:endParaRPr lang="en-CA" sz="2000" b="1"/>
        </a:p>
      </xdr:txBody>
    </xdr:sp>
    <xdr:clientData/>
  </xdr:twoCellAnchor>
</xdr:wsDr>
</file>

<file path=xl/drawings/drawing10.xml><?xml version="1.0" encoding="utf-8"?>
<xdr:wsDr xmlns:xdr="http://schemas.openxmlformats.org/drawingml/2006/spreadsheetDrawing" xmlns:a="http://schemas.openxmlformats.org/drawingml/2006/main">
  <xdr:absoluteAnchor>
    <xdr:pos x="4905375" y="381000"/>
    <xdr:ext cx="8667750" cy="629443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twoCellAnchor>
    <xdr:from>
      <xdr:col>2</xdr:col>
      <xdr:colOff>123825</xdr:colOff>
      <xdr:row>9</xdr:row>
      <xdr:rowOff>180975</xdr:rowOff>
    </xdr:from>
    <xdr:to>
      <xdr:col>2</xdr:col>
      <xdr:colOff>1066800</xdr:colOff>
      <xdr:row>12</xdr:row>
      <xdr:rowOff>85725</xdr:rowOff>
    </xdr:to>
    <xdr:sp macro="[0]!Sheet22.draw_rank" textlink="">
      <xdr:nvSpPr>
        <xdr:cNvPr id="3" name="Rounded Rectangle 2"/>
        <xdr:cNvSpPr/>
      </xdr:nvSpPr>
      <xdr:spPr>
        <a:xfrm>
          <a:off x="1524000" y="1171575"/>
          <a:ext cx="942975"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Draw Rankogram</a:t>
          </a:r>
        </a:p>
      </xdr:txBody>
    </xdr:sp>
    <xdr:clientData/>
  </xdr:twoCellAnchor>
  <xdr:twoCellAnchor>
    <xdr:from>
      <xdr:col>2</xdr:col>
      <xdr:colOff>1190625</xdr:colOff>
      <xdr:row>9</xdr:row>
      <xdr:rowOff>180975</xdr:rowOff>
    </xdr:from>
    <xdr:to>
      <xdr:col>2</xdr:col>
      <xdr:colOff>2143125</xdr:colOff>
      <xdr:row>12</xdr:row>
      <xdr:rowOff>85725</xdr:rowOff>
    </xdr:to>
    <xdr:sp macro="[0]!Sheet22.update_rank" textlink="">
      <xdr:nvSpPr>
        <xdr:cNvPr id="4" name="Rounded Rectangle 3"/>
        <xdr:cNvSpPr/>
      </xdr:nvSpPr>
      <xdr:spPr>
        <a:xfrm>
          <a:off x="2590800" y="1171575"/>
          <a:ext cx="95250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Update Rankogram</a:t>
          </a:r>
        </a:p>
      </xdr:txBody>
    </xdr:sp>
    <xdr:clientData/>
  </xdr:twoCellAnchor>
</xdr:wsDr>
</file>

<file path=xl/drawings/drawing11.xml><?xml version="1.0" encoding="utf-8"?>
<c:userShapes xmlns:c="http://schemas.openxmlformats.org/drawingml/2006/chart">
  <cdr:relSizeAnchor xmlns:cdr="http://schemas.openxmlformats.org/drawingml/2006/chartDrawing">
    <cdr:from>
      <cdr:x>0.17028</cdr:x>
      <cdr:y>0.94221</cdr:y>
    </cdr:from>
    <cdr:to>
      <cdr:x>0.62715</cdr:x>
      <cdr:y>0.94348</cdr:y>
    </cdr:to>
    <cdr:sp macro="" textlink="">
      <cdr:nvSpPr>
        <cdr:cNvPr id="2" name="Straight Arrow Connector 1"/>
        <cdr:cNvSpPr/>
      </cdr:nvSpPr>
      <cdr:spPr>
        <a:xfrm xmlns:a="http://schemas.openxmlformats.org/drawingml/2006/main" flipV="1">
          <a:off x="1475953" y="5930670"/>
          <a:ext cx="3960035" cy="7994"/>
        </a:xfrm>
        <a:prstGeom xmlns:a="http://schemas.openxmlformats.org/drawingml/2006/main" prst="straightConnector1">
          <a:avLst/>
        </a:prstGeom>
        <a:noFill xmlns:a="http://schemas.openxmlformats.org/drawingml/2006/main"/>
        <a:ln xmlns:a="http://schemas.openxmlformats.org/drawingml/2006/main" w="19050" cap="flat" cmpd="sng" algn="ctr">
          <a:solidFill>
            <a:sysClr val="windowText" lastClr="000000"/>
          </a:solidFill>
          <a:prstDash val="solid"/>
          <a:tailEnd type="arrow"/>
        </a:ln>
        <a:effectLst xmlns:a="http://schemas.openxmlformats.org/drawingml/2006/mai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endParaRPr lang="en-US"/>
        </a:p>
      </cdr:txBody>
    </cdr:sp>
  </cdr:relSizeAnchor>
  <cdr:relSizeAnchor xmlns:cdr="http://schemas.openxmlformats.org/drawingml/2006/chartDrawing">
    <cdr:from>
      <cdr:x>0.10758</cdr:x>
      <cdr:y>0.91686</cdr:y>
    </cdr:from>
    <cdr:to>
      <cdr:x>0.17802</cdr:x>
      <cdr:y>0.95974</cdr:y>
    </cdr:to>
    <cdr:sp macro="" textlink="">
      <cdr:nvSpPr>
        <cdr:cNvPr id="3" name="TextBox 2"/>
        <cdr:cNvSpPr txBox="1"/>
      </cdr:nvSpPr>
      <cdr:spPr>
        <a:xfrm xmlns:a="http://schemas.openxmlformats.org/drawingml/2006/main">
          <a:off x="932484" y="5771140"/>
          <a:ext cx="610565" cy="26990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a:r>
            <a:rPr lang="en-CA" sz="1400" b="1"/>
            <a:t>Best</a:t>
          </a:r>
        </a:p>
      </cdr:txBody>
    </cdr:sp>
  </cdr:relSizeAnchor>
  <cdr:relSizeAnchor xmlns:cdr="http://schemas.openxmlformats.org/drawingml/2006/chartDrawing">
    <cdr:from>
      <cdr:x>0.63315</cdr:x>
      <cdr:y>0.91686</cdr:y>
    </cdr:from>
    <cdr:to>
      <cdr:x>0.71319</cdr:x>
      <cdr:y>0.95974</cdr:y>
    </cdr:to>
    <cdr:sp macro="" textlink="">
      <cdr:nvSpPr>
        <cdr:cNvPr id="4" name="TextBox 1"/>
        <cdr:cNvSpPr txBox="1"/>
      </cdr:nvSpPr>
      <cdr:spPr>
        <a:xfrm xmlns:a="http://schemas.openxmlformats.org/drawingml/2006/main">
          <a:off x="5487984" y="5771140"/>
          <a:ext cx="693741" cy="26990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a:r>
            <a:rPr lang="en-CA" sz="1400" b="1"/>
            <a:t>Worse</a:t>
          </a:r>
        </a:p>
      </cdr:txBody>
    </cdr:sp>
  </cdr:relSizeAnchor>
</c:userShapes>
</file>

<file path=xl/drawings/drawing12.xml><?xml version="1.0" encoding="utf-8"?>
<xdr:wsDr xmlns:xdr="http://schemas.openxmlformats.org/drawingml/2006/spreadsheetDrawing" xmlns:a="http://schemas.openxmlformats.org/drawingml/2006/main">
  <xdr:twoCellAnchor editAs="absolute">
    <xdr:from>
      <xdr:col>3</xdr:col>
      <xdr:colOff>66675</xdr:colOff>
      <xdr:row>1</xdr:row>
      <xdr:rowOff>19049</xdr:rowOff>
    </xdr:from>
    <xdr:to>
      <xdr:col>5</xdr:col>
      <xdr:colOff>365175</xdr:colOff>
      <xdr:row>1</xdr:row>
      <xdr:rowOff>3114675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7</xdr:col>
      <xdr:colOff>381000</xdr:colOff>
      <xdr:row>1</xdr:row>
      <xdr:rowOff>85724</xdr:rowOff>
    </xdr:from>
    <xdr:to>
      <xdr:col>10</xdr:col>
      <xdr:colOff>450900</xdr:colOff>
      <xdr:row>1</xdr:row>
      <xdr:rowOff>3181350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733425</xdr:colOff>
      <xdr:row>1</xdr:row>
      <xdr:rowOff>428625</xdr:rowOff>
    </xdr:from>
    <xdr:to>
      <xdr:col>16</xdr:col>
      <xdr:colOff>0</xdr:colOff>
      <xdr:row>1</xdr:row>
      <xdr:rowOff>1495425</xdr:rowOff>
    </xdr:to>
    <xdr:sp macro="" textlink="">
      <xdr:nvSpPr>
        <xdr:cNvPr id="6" name="Rectangle 5"/>
        <xdr:cNvSpPr/>
      </xdr:nvSpPr>
      <xdr:spPr>
        <a:xfrm>
          <a:off x="11887200" y="619125"/>
          <a:ext cx="2000250" cy="1066800"/>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baseline="0"/>
            <a:t>Click the desired data point on the graph to add label.</a:t>
          </a:r>
        </a:p>
        <a:p>
          <a:pPr algn="l"/>
          <a:endParaRPr lang="en-CA" sz="1100" b="1" baseline="0"/>
        </a:p>
        <a:p>
          <a:pPr algn="l"/>
          <a:r>
            <a:rPr lang="en-CA" sz="1100" b="1"/>
            <a:t>Choose the label text from</a:t>
          </a:r>
          <a:r>
            <a:rPr lang="en-CA" sz="1100" b="1" baseline="0"/>
            <a:t> the selection  below.</a:t>
          </a:r>
          <a:endParaRPr lang="en-CA" sz="1100" b="1"/>
        </a:p>
      </xdr:txBody>
    </xdr:sp>
    <xdr:clientData/>
  </xdr:twoCellAnchor>
  <xdr:twoCellAnchor>
    <xdr:from>
      <xdr:col>10</xdr:col>
      <xdr:colOff>733425</xdr:colOff>
      <xdr:row>1</xdr:row>
      <xdr:rowOff>47624</xdr:rowOff>
    </xdr:from>
    <xdr:to>
      <xdr:col>15</xdr:col>
      <xdr:colOff>28575</xdr:colOff>
      <xdr:row>1</xdr:row>
      <xdr:rowOff>361949</xdr:rowOff>
    </xdr:to>
    <xdr:sp macro="" textlink="">
      <xdr:nvSpPr>
        <xdr:cNvPr id="7" name="TextBox 6"/>
        <xdr:cNvSpPr txBox="1"/>
      </xdr:nvSpPr>
      <xdr:spPr>
        <a:xfrm>
          <a:off x="11887200" y="238124"/>
          <a:ext cx="125730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400" b="1" u="sng"/>
            <a:t>Data Labels</a:t>
          </a:r>
        </a:p>
      </xdr:txBody>
    </xdr:sp>
    <xdr:clientData/>
  </xdr:twoCellAnchor>
  <xdr:twoCellAnchor>
    <xdr:from>
      <xdr:col>10</xdr:col>
      <xdr:colOff>733425</xdr:colOff>
      <xdr:row>1</xdr:row>
      <xdr:rowOff>2162175</xdr:rowOff>
    </xdr:from>
    <xdr:to>
      <xdr:col>11</xdr:col>
      <xdr:colOff>914400</xdr:colOff>
      <xdr:row>1</xdr:row>
      <xdr:rowOff>2638425</xdr:rowOff>
    </xdr:to>
    <xdr:sp macro="[0]!DeleteInconsistencyLabels" textlink="">
      <xdr:nvSpPr>
        <xdr:cNvPr id="8" name="Rounded Rectangle 7"/>
        <xdr:cNvSpPr/>
      </xdr:nvSpPr>
      <xdr:spPr>
        <a:xfrm>
          <a:off x="11887200" y="2352675"/>
          <a:ext cx="95250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Delete Labels</a:t>
          </a:r>
        </a:p>
      </xdr:txBody>
    </xdr:sp>
    <xdr:clientData/>
  </xdr:twoCellAnchor>
  <mc:AlternateContent xmlns:mc="http://schemas.openxmlformats.org/markup-compatibility/2006">
    <mc:Choice xmlns:a14="http://schemas.microsoft.com/office/drawing/2010/main" Requires="a14">
      <xdr:twoCellAnchor editAs="oneCell">
        <xdr:from>
          <xdr:col>10</xdr:col>
          <xdr:colOff>723900</xdr:colOff>
          <xdr:row>1</xdr:row>
          <xdr:rowOff>1600200</xdr:rowOff>
        </xdr:from>
        <xdr:to>
          <xdr:col>16</xdr:col>
          <xdr:colOff>333375</xdr:colOff>
          <xdr:row>1</xdr:row>
          <xdr:rowOff>2009775</xdr:rowOff>
        </xdr:to>
        <xdr:sp macro="" textlink="">
          <xdr:nvSpPr>
            <xdr:cNvPr id="1027" name="List Box 3"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4</xdr:col>
      <xdr:colOff>214312</xdr:colOff>
      <xdr:row>7</xdr:row>
      <xdr:rowOff>15876</xdr:rowOff>
    </xdr:from>
    <xdr:to>
      <xdr:col>7</xdr:col>
      <xdr:colOff>1180378</xdr:colOff>
      <xdr:row>14</xdr:row>
      <xdr:rowOff>119063</xdr:rowOff>
    </xdr:to>
    <xdr:sp macro="" textlink="">
      <xdr:nvSpPr>
        <xdr:cNvPr id="5" name="Rectangle 4"/>
        <xdr:cNvSpPr/>
      </xdr:nvSpPr>
      <xdr:spPr>
        <a:xfrm>
          <a:off x="6572250" y="1357314"/>
          <a:ext cx="2744066" cy="1476374"/>
        </a:xfrm>
        <a:prstGeom prst="rect">
          <a:avLst/>
        </a:prstGeom>
        <a:solidFill>
          <a:srgbClr val="00549E"/>
        </a:solidFill>
        <a:ln w="38100">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400" b="1" baseline="0"/>
            <a:t>This Sheet contains control variables used to run the analysese.  Values on this sheet should not be altered as this is done automatically by the tool when required.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1.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2.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customProperty" Target="../customProperty3.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20.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_rels/sheet22.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26.xml.rels><?xml version="1.0" encoding="UTF-8" standalone="yes"?>
<Relationships xmlns="http://schemas.openxmlformats.org/package/2006/relationships"><Relationship Id="rId1" Type="http://schemas.openxmlformats.org/officeDocument/2006/relationships/customProperty" Target="../customProperty9.bin"/></Relationships>
</file>

<file path=xl/worksheets/_rels/sheet27.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customProperty" Target="../customProperty11.bin"/><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549E"/>
  </sheetPr>
  <dimension ref="C1:M46"/>
  <sheetViews>
    <sheetView showGridLines="0" topLeftCell="A3" workbookViewId="0">
      <selection activeCell="F4" sqref="F4"/>
    </sheetView>
  </sheetViews>
  <sheetFormatPr defaultRowHeight="15" x14ac:dyDescent="0.25"/>
  <cols>
    <col min="13" max="13" width="15.42578125" customWidth="1"/>
  </cols>
  <sheetData>
    <row r="1" hidden="1" x14ac:dyDescent="0.25"/>
    <row r="2" hidden="1" x14ac:dyDescent="0.25"/>
    <row r="29" spans="3:13" x14ac:dyDescent="0.25">
      <c r="C29" s="7" t="s">
        <v>129</v>
      </c>
    </row>
    <row r="30" spans="3:13" x14ac:dyDescent="0.25">
      <c r="C30" s="229" t="s">
        <v>250</v>
      </c>
      <c r="D30" s="229"/>
      <c r="E30" s="229"/>
      <c r="F30" s="229"/>
      <c r="G30" s="229"/>
      <c r="H30" s="229"/>
      <c r="I30" s="229"/>
      <c r="J30" s="229"/>
      <c r="K30" s="229"/>
      <c r="L30" s="229"/>
      <c r="M30" s="229"/>
    </row>
    <row r="31" spans="3:13" x14ac:dyDescent="0.25">
      <c r="C31" s="229"/>
      <c r="D31" s="229"/>
      <c r="E31" s="229"/>
      <c r="F31" s="229"/>
      <c r="G31" s="229"/>
      <c r="H31" s="229"/>
      <c r="I31" s="229"/>
      <c r="J31" s="229"/>
      <c r="K31" s="229"/>
      <c r="L31" s="229"/>
      <c r="M31" s="229"/>
    </row>
    <row r="32" spans="3:13" x14ac:dyDescent="0.25">
      <c r="C32" s="229"/>
      <c r="D32" s="229"/>
      <c r="E32" s="229"/>
      <c r="F32" s="229"/>
      <c r="G32" s="229"/>
      <c r="H32" s="229"/>
      <c r="I32" s="229"/>
      <c r="J32" s="229"/>
      <c r="K32" s="229"/>
      <c r="L32" s="229"/>
      <c r="M32" s="229"/>
    </row>
    <row r="33" spans="3:13" x14ac:dyDescent="0.25">
      <c r="C33" s="229"/>
      <c r="D33" s="229"/>
      <c r="E33" s="229"/>
      <c r="F33" s="229"/>
      <c r="G33" s="229"/>
      <c r="H33" s="229"/>
      <c r="I33" s="229"/>
      <c r="J33" s="229"/>
      <c r="K33" s="229"/>
      <c r="L33" s="229"/>
      <c r="M33" s="229"/>
    </row>
    <row r="34" spans="3:13" x14ac:dyDescent="0.25">
      <c r="C34" s="229"/>
      <c r="D34" s="229"/>
      <c r="E34" s="229"/>
      <c r="F34" s="229"/>
      <c r="G34" s="229"/>
      <c r="H34" s="229"/>
      <c r="I34" s="229"/>
      <c r="J34" s="229"/>
      <c r="K34" s="229"/>
      <c r="L34" s="229"/>
      <c r="M34" s="229"/>
    </row>
    <row r="35" spans="3:13" x14ac:dyDescent="0.25">
      <c r="C35" s="229"/>
      <c r="D35" s="229"/>
      <c r="E35" s="229"/>
      <c r="F35" s="229"/>
      <c r="G35" s="229"/>
      <c r="H35" s="229"/>
      <c r="I35" s="229"/>
      <c r="J35" s="229"/>
      <c r="K35" s="229"/>
      <c r="L35" s="229"/>
      <c r="M35" s="229"/>
    </row>
    <row r="36" spans="3:13" x14ac:dyDescent="0.25">
      <c r="C36" s="229"/>
      <c r="D36" s="229"/>
      <c r="E36" s="229"/>
      <c r="F36" s="229"/>
      <c r="G36" s="229"/>
      <c r="H36" s="229"/>
      <c r="I36" s="229"/>
      <c r="J36" s="229"/>
      <c r="K36" s="229"/>
      <c r="L36" s="229"/>
      <c r="M36" s="229"/>
    </row>
    <row r="37" spans="3:13" x14ac:dyDescent="0.25">
      <c r="C37" s="229"/>
      <c r="D37" s="229"/>
      <c r="E37" s="229"/>
      <c r="F37" s="229"/>
      <c r="G37" s="229"/>
      <c r="H37" s="229"/>
      <c r="I37" s="229"/>
      <c r="J37" s="229"/>
      <c r="K37" s="229"/>
      <c r="L37" s="229"/>
      <c r="M37" s="229"/>
    </row>
    <row r="38" spans="3:13" x14ac:dyDescent="0.25">
      <c r="C38" s="229"/>
      <c r="D38" s="229"/>
      <c r="E38" s="229"/>
      <c r="F38" s="229"/>
      <c r="G38" s="229"/>
      <c r="H38" s="229"/>
      <c r="I38" s="229"/>
      <c r="J38" s="229"/>
      <c r="K38" s="229"/>
      <c r="L38" s="229"/>
      <c r="M38" s="229"/>
    </row>
    <row r="39" spans="3:13" x14ac:dyDescent="0.25">
      <c r="C39" s="229"/>
      <c r="D39" s="229"/>
      <c r="E39" s="229"/>
      <c r="F39" s="229"/>
      <c r="G39" s="229"/>
      <c r="H39" s="229"/>
      <c r="I39" s="229"/>
      <c r="J39" s="229"/>
      <c r="K39" s="229"/>
      <c r="L39" s="229"/>
      <c r="M39" s="229"/>
    </row>
    <row r="40" spans="3:13" x14ac:dyDescent="0.25">
      <c r="C40" s="229"/>
      <c r="D40" s="229"/>
      <c r="E40" s="229"/>
      <c r="F40" s="229"/>
      <c r="G40" s="229"/>
      <c r="H40" s="229"/>
      <c r="I40" s="229"/>
      <c r="J40" s="229"/>
      <c r="K40" s="229"/>
      <c r="L40" s="229"/>
      <c r="M40" s="229"/>
    </row>
    <row r="41" spans="3:13" x14ac:dyDescent="0.25">
      <c r="C41" s="229"/>
      <c r="D41" s="229"/>
      <c r="E41" s="229"/>
      <c r="F41" s="229"/>
      <c r="G41" s="229"/>
      <c r="H41" s="229"/>
      <c r="I41" s="229"/>
      <c r="J41" s="229"/>
      <c r="K41" s="229"/>
      <c r="L41" s="229"/>
      <c r="M41" s="229"/>
    </row>
    <row r="42" spans="3:13" x14ac:dyDescent="0.25">
      <c r="C42" s="229"/>
      <c r="D42" s="229"/>
      <c r="E42" s="229"/>
      <c r="F42" s="229"/>
      <c r="G42" s="229"/>
      <c r="H42" s="229"/>
      <c r="I42" s="229"/>
      <c r="J42" s="229"/>
      <c r="K42" s="229"/>
      <c r="L42" s="229"/>
      <c r="M42" s="229"/>
    </row>
    <row r="43" spans="3:13" x14ac:dyDescent="0.25">
      <c r="C43" s="229"/>
      <c r="D43" s="229"/>
      <c r="E43" s="229"/>
      <c r="F43" s="229"/>
      <c r="G43" s="229"/>
      <c r="H43" s="229"/>
      <c r="I43" s="229"/>
      <c r="J43" s="229"/>
      <c r="K43" s="229"/>
      <c r="L43" s="229"/>
      <c r="M43" s="229"/>
    </row>
    <row r="44" spans="3:13" x14ac:dyDescent="0.25">
      <c r="C44" s="229"/>
      <c r="D44" s="229"/>
      <c r="E44" s="229"/>
      <c r="F44" s="229"/>
      <c r="G44" s="229"/>
      <c r="H44" s="229"/>
      <c r="I44" s="229"/>
      <c r="J44" s="229"/>
      <c r="K44" s="229"/>
      <c r="L44" s="229"/>
      <c r="M44" s="229"/>
    </row>
    <row r="45" spans="3:13" x14ac:dyDescent="0.25">
      <c r="C45" s="229"/>
      <c r="D45" s="229"/>
      <c r="E45" s="229"/>
      <c r="F45" s="229"/>
      <c r="G45" s="229"/>
      <c r="H45" s="229"/>
      <c r="I45" s="229"/>
      <c r="J45" s="229"/>
      <c r="K45" s="229"/>
      <c r="L45" s="229"/>
      <c r="M45" s="229"/>
    </row>
    <row r="46" spans="3:13" x14ac:dyDescent="0.25">
      <c r="C46" s="229"/>
      <c r="D46" s="229"/>
      <c r="E46" s="229"/>
      <c r="F46" s="229"/>
      <c r="G46" s="229"/>
      <c r="H46" s="229"/>
      <c r="I46" s="229"/>
      <c r="J46" s="229"/>
      <c r="K46" s="229"/>
      <c r="L46" s="229"/>
      <c r="M46" s="229"/>
    </row>
  </sheetData>
  <mergeCells count="1">
    <mergeCell ref="C30:M46"/>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92D050"/>
  </sheetPr>
  <dimension ref="B2:P31"/>
  <sheetViews>
    <sheetView showGridLines="0" topLeftCell="A49" zoomScale="120" zoomScaleNormal="120" workbookViewId="0">
      <selection activeCell="D8" sqref="D8"/>
    </sheetView>
  </sheetViews>
  <sheetFormatPr defaultRowHeight="15" x14ac:dyDescent="0.25"/>
  <cols>
    <col min="1" max="1" width="12.140625" customWidth="1"/>
    <col min="3" max="3" width="44.7109375" customWidth="1"/>
    <col min="4" max="4" width="29.28515625" customWidth="1"/>
    <col min="5" max="5" width="8.28515625" customWidth="1"/>
    <col min="8" max="8" width="37.140625" customWidth="1"/>
    <col min="9" max="9" width="10" customWidth="1"/>
  </cols>
  <sheetData>
    <row r="2" spans="2:16" x14ac:dyDescent="0.25">
      <c r="P2" t="s">
        <v>230</v>
      </c>
    </row>
    <row r="3" spans="2:16" x14ac:dyDescent="0.25">
      <c r="P3" t="s">
        <v>229</v>
      </c>
    </row>
    <row r="8" spans="2:16" ht="33.75" customHeight="1" thickBot="1" x14ac:dyDescent="0.3">
      <c r="B8" s="21" t="s">
        <v>116</v>
      </c>
      <c r="C8" s="19"/>
      <c r="D8" s="11"/>
    </row>
    <row r="9" spans="2:16" ht="15.75" customHeight="1" thickTop="1" x14ac:dyDescent="0.25">
      <c r="B9" s="20"/>
      <c r="C9" s="18" t="s">
        <v>35</v>
      </c>
      <c r="D9" s="173">
        <v>10000</v>
      </c>
      <c r="F9" s="230" t="s">
        <v>118</v>
      </c>
      <c r="G9" s="231"/>
      <c r="H9" s="232"/>
    </row>
    <row r="10" spans="2:16" ht="15.75" thickBot="1" x14ac:dyDescent="0.3">
      <c r="B10" s="20"/>
      <c r="C10" s="18" t="s">
        <v>36</v>
      </c>
      <c r="D10" s="174">
        <v>10000</v>
      </c>
      <c r="F10" s="233"/>
      <c r="G10" s="234"/>
      <c r="H10" s="235"/>
    </row>
    <row r="11" spans="2:16" ht="15.75" customHeight="1" thickTop="1" x14ac:dyDescent="0.25">
      <c r="B11" s="20"/>
      <c r="C11" s="18" t="s">
        <v>68</v>
      </c>
      <c r="D11" s="168" t="b">
        <v>1</v>
      </c>
      <c r="F11" s="230" t="s">
        <v>117</v>
      </c>
      <c r="G11" s="231"/>
      <c r="H11" s="232"/>
    </row>
    <row r="12" spans="2:16" ht="15.75" thickBot="1" x14ac:dyDescent="0.3">
      <c r="B12" s="20"/>
      <c r="C12" s="18" t="s">
        <v>67</v>
      </c>
      <c r="D12" s="169" t="b">
        <v>1</v>
      </c>
      <c r="F12" s="239"/>
      <c r="G12" s="240"/>
      <c r="H12" s="241"/>
    </row>
    <row r="13" spans="2:16" ht="34.5" customHeight="1" thickTop="1" thickBot="1" x14ac:dyDescent="0.3">
      <c r="B13" s="21" t="s">
        <v>71</v>
      </c>
    </row>
    <row r="14" spans="2:16" ht="15.75" customHeight="1" thickTop="1" x14ac:dyDescent="0.25">
      <c r="B14" s="20"/>
      <c r="C14" s="18" t="s">
        <v>136</v>
      </c>
      <c r="D14" s="167">
        <v>0</v>
      </c>
      <c r="F14" s="230" t="s">
        <v>119</v>
      </c>
      <c r="G14" s="231"/>
      <c r="H14" s="232"/>
    </row>
    <row r="15" spans="2:16" ht="15" customHeight="1" x14ac:dyDescent="0.25">
      <c r="B15" s="20"/>
      <c r="C15" s="18" t="s">
        <v>137</v>
      </c>
      <c r="D15" s="168">
        <v>2</v>
      </c>
      <c r="F15" s="239"/>
      <c r="G15" s="240"/>
      <c r="H15" s="241"/>
    </row>
    <row r="16" spans="2:16" ht="15" customHeight="1" x14ac:dyDescent="0.25">
      <c r="B16" s="20"/>
      <c r="C16" s="18" t="s">
        <v>269</v>
      </c>
      <c r="D16" s="168">
        <v>1</v>
      </c>
      <c r="F16" s="239"/>
      <c r="G16" s="240"/>
      <c r="H16" s="241"/>
    </row>
    <row r="17" spans="2:8" ht="15.75" customHeight="1" thickBot="1" x14ac:dyDescent="0.3">
      <c r="B17" s="20"/>
      <c r="C17" s="18" t="s">
        <v>270</v>
      </c>
      <c r="D17" s="169">
        <v>2</v>
      </c>
      <c r="F17" s="233"/>
      <c r="G17" s="234"/>
      <c r="H17" s="235"/>
    </row>
    <row r="18" spans="2:8" ht="33.75" customHeight="1" thickTop="1" thickBot="1" x14ac:dyDescent="0.3">
      <c r="B18" s="21" t="s">
        <v>115</v>
      </c>
    </row>
    <row r="19" spans="2:8" ht="35.25" customHeight="1" thickTop="1" thickBot="1" x14ac:dyDescent="0.3">
      <c r="C19" s="24" t="s">
        <v>34</v>
      </c>
      <c r="D19" s="170" t="s">
        <v>297</v>
      </c>
      <c r="E19" t="s">
        <v>82</v>
      </c>
      <c r="F19" s="236" t="s">
        <v>133</v>
      </c>
      <c r="G19" s="237"/>
      <c r="H19" s="238"/>
    </row>
    <row r="20" spans="2:8" ht="33" customHeight="1" thickTop="1" x14ac:dyDescent="0.25">
      <c r="C20" s="25" t="s">
        <v>48</v>
      </c>
      <c r="D20" s="170" t="s">
        <v>313</v>
      </c>
      <c r="F20" s="230" t="s">
        <v>138</v>
      </c>
      <c r="G20" s="231"/>
      <c r="H20" s="232"/>
    </row>
    <row r="21" spans="2:8" ht="33" customHeight="1" thickBot="1" x14ac:dyDescent="0.3">
      <c r="C21" s="24" t="s">
        <v>49</v>
      </c>
      <c r="D21" s="170" t="s">
        <v>314</v>
      </c>
      <c r="F21" s="233"/>
      <c r="G21" s="234"/>
      <c r="H21" s="235"/>
    </row>
    <row r="22" spans="2:8" ht="15.75" customHeight="1" thickTop="1" x14ac:dyDescent="0.25">
      <c r="C22" s="18" t="s">
        <v>56</v>
      </c>
      <c r="D22" s="171" t="s">
        <v>58</v>
      </c>
      <c r="F22" s="230" t="s">
        <v>120</v>
      </c>
      <c r="G22" s="231"/>
      <c r="H22" s="232"/>
    </row>
    <row r="23" spans="2:8" ht="15.75" thickBot="1" x14ac:dyDescent="0.3">
      <c r="C23" s="18" t="s">
        <v>57</v>
      </c>
      <c r="D23" s="171" t="s">
        <v>59</v>
      </c>
      <c r="F23" s="233"/>
      <c r="G23" s="234"/>
      <c r="H23" s="235"/>
    </row>
    <row r="24" spans="2:8" ht="15.75" thickTop="1" x14ac:dyDescent="0.25">
      <c r="C24" s="18" t="s">
        <v>51</v>
      </c>
      <c r="D24" s="171" t="s">
        <v>60</v>
      </c>
    </row>
    <row r="25" spans="2:8" x14ac:dyDescent="0.25">
      <c r="C25" s="18" t="s">
        <v>52</v>
      </c>
      <c r="D25" s="171" t="s">
        <v>61</v>
      </c>
    </row>
    <row r="26" spans="2:8" x14ac:dyDescent="0.25">
      <c r="C26" s="18" t="s">
        <v>50</v>
      </c>
      <c r="D26" s="171" t="s">
        <v>62</v>
      </c>
    </row>
    <row r="27" spans="2:8" x14ac:dyDescent="0.25">
      <c r="C27" s="18" t="s">
        <v>53</v>
      </c>
      <c r="D27" s="171" t="s">
        <v>63</v>
      </c>
    </row>
    <row r="28" spans="2:8" x14ac:dyDescent="0.25">
      <c r="C28" s="18" t="s">
        <v>55</v>
      </c>
      <c r="D28" s="171" t="s">
        <v>64</v>
      </c>
    </row>
    <row r="29" spans="2:8" ht="15.75" thickBot="1" x14ac:dyDescent="0.3">
      <c r="C29" s="18" t="s">
        <v>54</v>
      </c>
      <c r="D29" s="171" t="s">
        <v>65</v>
      </c>
    </row>
    <row r="30" spans="2:8" ht="15.75" customHeight="1" thickTop="1" thickBot="1" x14ac:dyDescent="0.3">
      <c r="C30" s="18" t="s">
        <v>272</v>
      </c>
      <c r="D30" s="176" t="b">
        <v>1</v>
      </c>
      <c r="F30" s="236" t="s">
        <v>273</v>
      </c>
      <c r="G30" s="237"/>
      <c r="H30" s="238"/>
    </row>
    <row r="31" spans="2:8" ht="15.75" thickTop="1" x14ac:dyDescent="0.25"/>
  </sheetData>
  <sheetProtection formatRows="0"/>
  <mergeCells count="7">
    <mergeCell ref="F9:H10"/>
    <mergeCell ref="F30:H30"/>
    <mergeCell ref="F11:H12"/>
    <mergeCell ref="F14:H17"/>
    <mergeCell ref="F19:H19"/>
    <mergeCell ref="F20:H21"/>
    <mergeCell ref="F22:H23"/>
  </mergeCells>
  <dataValidations count="1">
    <dataValidation type="list" allowBlank="1" showInputMessage="1" showErrorMessage="1" sqref="D11:D12 D30">
      <formula1>"True, False"</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C1:AH57"/>
  <sheetViews>
    <sheetView showGridLines="0" topLeftCell="B4" zoomScale="80" zoomScaleNormal="80" workbookViewId="0">
      <selection activeCell="J38" sqref="J38"/>
    </sheetView>
  </sheetViews>
  <sheetFormatPr defaultRowHeight="15" x14ac:dyDescent="0.25"/>
  <cols>
    <col min="1" max="1" width="46.42578125" customWidth="1"/>
    <col min="2" max="2" width="4.5703125" customWidth="1"/>
    <col min="4" max="4" width="29.5703125" customWidth="1"/>
    <col min="5" max="34" width="13.140625" customWidth="1"/>
  </cols>
  <sheetData>
    <row r="1" spans="3:34" ht="86.25" customHeight="1" thickBot="1" x14ac:dyDescent="0.3"/>
    <row r="2" spans="3:34" ht="15.75" thickBot="1" x14ac:dyDescent="0.3">
      <c r="C2" s="141">
        <f>COUNTIF(D7:D56,"&lt;&gt;")</f>
        <v>39</v>
      </c>
      <c r="D2" s="142" t="s">
        <v>14</v>
      </c>
      <c r="G2" s="60"/>
      <c r="H2" s="60"/>
    </row>
    <row r="3" spans="3:34" ht="19.5" thickBot="1" x14ac:dyDescent="0.35">
      <c r="C3" s="143">
        <f>COUNTIF(E5:AH5,"&lt;&gt;")</f>
        <v>10</v>
      </c>
      <c r="D3" s="142" t="s">
        <v>15</v>
      </c>
      <c r="E3" s="244" t="s">
        <v>231</v>
      </c>
      <c r="F3" s="245"/>
      <c r="G3" s="245"/>
      <c r="H3" s="245"/>
      <c r="I3" s="245"/>
      <c r="J3" s="245"/>
      <c r="K3" s="245"/>
      <c r="L3" s="245"/>
      <c r="M3" s="245"/>
      <c r="N3" s="245"/>
      <c r="O3" s="245"/>
      <c r="P3" s="245"/>
      <c r="Q3" s="245"/>
      <c r="R3" s="245"/>
      <c r="S3" s="245"/>
      <c r="T3" s="245"/>
      <c r="U3" s="245"/>
      <c r="V3" s="245"/>
      <c r="W3" s="245"/>
      <c r="X3" s="245"/>
      <c r="Y3" s="245"/>
      <c r="Z3" s="245"/>
      <c r="AA3" s="245"/>
      <c r="AB3" s="245"/>
      <c r="AC3" s="245"/>
      <c r="AD3" s="245"/>
      <c r="AE3" s="245"/>
      <c r="AF3" s="245"/>
      <c r="AG3" s="245"/>
      <c r="AH3" s="246"/>
    </row>
    <row r="4" spans="3:34" ht="15.75" thickBot="1" x14ac:dyDescent="0.3">
      <c r="C4" s="143">
        <f>COUNTIF(F7:F56,"&lt;&gt;")</f>
        <v>18</v>
      </c>
      <c r="D4" s="142" t="s">
        <v>114</v>
      </c>
      <c r="E4" s="242">
        <v>1</v>
      </c>
      <c r="F4" s="243"/>
      <c r="G4" s="242">
        <f>E4+1</f>
        <v>2</v>
      </c>
      <c r="H4" s="243"/>
      <c r="I4" s="242">
        <f>G4+1</f>
        <v>3</v>
      </c>
      <c r="J4" s="243"/>
      <c r="K4" s="242">
        <f>I4+1</f>
        <v>4</v>
      </c>
      <c r="L4" s="243"/>
      <c r="M4" s="242">
        <f>K4+1</f>
        <v>5</v>
      </c>
      <c r="N4" s="243"/>
      <c r="O4" s="242">
        <f>M4+1</f>
        <v>6</v>
      </c>
      <c r="P4" s="243"/>
      <c r="Q4" s="242">
        <f>O4+1</f>
        <v>7</v>
      </c>
      <c r="R4" s="243"/>
      <c r="S4" s="242">
        <f>Q4+1</f>
        <v>8</v>
      </c>
      <c r="T4" s="243"/>
      <c r="U4" s="242">
        <f>S4+1</f>
        <v>9</v>
      </c>
      <c r="V4" s="243"/>
      <c r="W4" s="242">
        <f>U4+1</f>
        <v>10</v>
      </c>
      <c r="X4" s="243"/>
      <c r="Y4" s="242">
        <f>W4+1</f>
        <v>11</v>
      </c>
      <c r="Z4" s="243"/>
      <c r="AA4" s="242">
        <f>Y4+1</f>
        <v>12</v>
      </c>
      <c r="AB4" s="243"/>
      <c r="AC4" s="242">
        <f>AA4+1</f>
        <v>13</v>
      </c>
      <c r="AD4" s="243"/>
      <c r="AE4" s="242">
        <f>AC4+1</f>
        <v>14</v>
      </c>
      <c r="AF4" s="243"/>
      <c r="AG4" s="242">
        <f>AE4+1</f>
        <v>15</v>
      </c>
      <c r="AH4" s="243"/>
    </row>
    <row r="5" spans="3:34" ht="19.5" customHeight="1" thickBot="1" x14ac:dyDescent="0.3">
      <c r="C5" s="254" t="s">
        <v>9</v>
      </c>
      <c r="D5" s="140" t="s">
        <v>241</v>
      </c>
      <c r="E5" s="252" t="s">
        <v>351</v>
      </c>
      <c r="F5" s="253"/>
      <c r="G5" s="250" t="s">
        <v>352</v>
      </c>
      <c r="H5" s="251"/>
      <c r="I5" s="250" t="s">
        <v>353</v>
      </c>
      <c r="J5" s="251"/>
      <c r="K5" s="250" t="s">
        <v>354</v>
      </c>
      <c r="L5" s="251"/>
      <c r="M5" s="250" t="s">
        <v>355</v>
      </c>
      <c r="N5" s="251"/>
      <c r="O5" s="250" t="s">
        <v>356</v>
      </c>
      <c r="P5" s="251"/>
      <c r="Q5" s="250" t="s">
        <v>357</v>
      </c>
      <c r="R5" s="251"/>
      <c r="S5" s="250" t="s">
        <v>358</v>
      </c>
      <c r="T5" s="251"/>
      <c r="U5" s="250" t="s">
        <v>359</v>
      </c>
      <c r="V5" s="251"/>
      <c r="W5" s="250" t="s">
        <v>360</v>
      </c>
      <c r="X5" s="251"/>
      <c r="Y5" s="250"/>
      <c r="Z5" s="251"/>
      <c r="AA5" s="250"/>
      <c r="AB5" s="251"/>
      <c r="AC5" s="250"/>
      <c r="AD5" s="251"/>
      <c r="AE5" s="250"/>
      <c r="AF5" s="251"/>
      <c r="AG5" s="250"/>
      <c r="AH5" s="251"/>
    </row>
    <row r="6" spans="3:34" ht="32.25" customHeight="1" thickBot="1" x14ac:dyDescent="0.3">
      <c r="C6" s="255"/>
      <c r="D6" s="140" t="s">
        <v>10</v>
      </c>
      <c r="E6" s="75" t="s">
        <v>11</v>
      </c>
      <c r="F6" s="76" t="s">
        <v>12</v>
      </c>
      <c r="G6" s="75" t="s">
        <v>11</v>
      </c>
      <c r="H6" s="76" t="s">
        <v>12</v>
      </c>
      <c r="I6" s="75" t="s">
        <v>11</v>
      </c>
      <c r="J6" s="76" t="s">
        <v>12</v>
      </c>
      <c r="K6" s="75" t="s">
        <v>11</v>
      </c>
      <c r="L6" s="76" t="s">
        <v>12</v>
      </c>
      <c r="M6" s="75" t="s">
        <v>11</v>
      </c>
      <c r="N6" s="76" t="s">
        <v>12</v>
      </c>
      <c r="O6" s="75" t="s">
        <v>11</v>
      </c>
      <c r="P6" s="76" t="s">
        <v>12</v>
      </c>
      <c r="Q6" s="75" t="s">
        <v>11</v>
      </c>
      <c r="R6" s="76" t="s">
        <v>12</v>
      </c>
      <c r="S6" s="75" t="s">
        <v>11</v>
      </c>
      <c r="T6" s="76" t="s">
        <v>12</v>
      </c>
      <c r="U6" s="75" t="s">
        <v>11</v>
      </c>
      <c r="V6" s="76" t="s">
        <v>12</v>
      </c>
      <c r="W6" s="75" t="s">
        <v>11</v>
      </c>
      <c r="X6" s="76" t="s">
        <v>12</v>
      </c>
      <c r="Y6" s="75" t="s">
        <v>11</v>
      </c>
      <c r="Z6" s="76" t="s">
        <v>12</v>
      </c>
      <c r="AA6" s="75" t="s">
        <v>11</v>
      </c>
      <c r="AB6" s="76" t="s">
        <v>12</v>
      </c>
      <c r="AC6" s="75" t="s">
        <v>11</v>
      </c>
      <c r="AD6" s="76" t="s">
        <v>12</v>
      </c>
      <c r="AE6" s="75" t="s">
        <v>11</v>
      </c>
      <c r="AF6" s="76" t="s">
        <v>12</v>
      </c>
      <c r="AG6" s="75" t="s">
        <v>11</v>
      </c>
      <c r="AH6" s="76" t="s">
        <v>12</v>
      </c>
    </row>
    <row r="7" spans="3:34" x14ac:dyDescent="0.25">
      <c r="C7" s="78">
        <v>1</v>
      </c>
      <c r="D7" s="61">
        <v>2</v>
      </c>
      <c r="E7" s="62"/>
      <c r="F7" s="63"/>
      <c r="G7" s="62">
        <v>47</v>
      </c>
      <c r="H7" s="63">
        <v>68</v>
      </c>
      <c r="I7" s="62"/>
      <c r="J7" s="63"/>
      <c r="K7" s="62"/>
      <c r="L7" s="63"/>
      <c r="M7" s="62"/>
      <c r="N7" s="63"/>
      <c r="O7" s="62"/>
      <c r="P7" s="63"/>
      <c r="Q7" s="62"/>
      <c r="R7" s="63"/>
      <c r="S7" s="62"/>
      <c r="T7" s="63"/>
      <c r="U7" s="62"/>
      <c r="V7" s="63"/>
      <c r="W7" s="62">
        <v>32</v>
      </c>
      <c r="X7" s="63">
        <v>68</v>
      </c>
      <c r="Y7" s="62"/>
      <c r="Z7" s="63"/>
      <c r="AA7" s="62"/>
      <c r="AB7" s="63"/>
      <c r="AC7" s="62"/>
      <c r="AD7" s="63"/>
      <c r="AE7" s="62"/>
      <c r="AF7" s="63"/>
      <c r="AG7" s="62"/>
      <c r="AH7" s="63"/>
    </row>
    <row r="8" spans="3:34" x14ac:dyDescent="0.25">
      <c r="C8" s="79">
        <v>2</v>
      </c>
      <c r="D8" s="61">
        <v>4</v>
      </c>
      <c r="E8" s="62">
        <v>35</v>
      </c>
      <c r="F8" s="63">
        <v>37</v>
      </c>
      <c r="G8" s="62"/>
      <c r="H8" s="63"/>
      <c r="I8" s="62"/>
      <c r="J8" s="63"/>
      <c r="K8" s="62">
        <v>35</v>
      </c>
      <c r="L8" s="63">
        <v>36</v>
      </c>
      <c r="M8" s="62"/>
      <c r="N8" s="63"/>
      <c r="O8" s="62"/>
      <c r="P8" s="63"/>
      <c r="Q8" s="62"/>
      <c r="R8" s="63"/>
      <c r="S8" s="62"/>
      <c r="T8" s="63"/>
      <c r="U8" s="62"/>
      <c r="V8" s="63"/>
      <c r="W8" s="62"/>
      <c r="X8" s="63"/>
      <c r="Y8" s="62"/>
      <c r="Z8" s="63"/>
      <c r="AA8" s="62"/>
      <c r="AB8" s="63"/>
      <c r="AC8" s="62"/>
      <c r="AD8" s="63"/>
      <c r="AE8" s="62"/>
      <c r="AF8" s="63"/>
      <c r="AG8" s="62"/>
      <c r="AH8" s="63"/>
    </row>
    <row r="9" spans="3:34" x14ac:dyDescent="0.25">
      <c r="C9" s="79">
        <v>3</v>
      </c>
      <c r="D9" s="61">
        <v>8</v>
      </c>
      <c r="E9" s="62"/>
      <c r="F9" s="63"/>
      <c r="G9" s="62">
        <v>21</v>
      </c>
      <c r="H9" s="63">
        <v>34</v>
      </c>
      <c r="I9" s="62">
        <v>30</v>
      </c>
      <c r="J9" s="63">
        <v>36</v>
      </c>
      <c r="K9" s="62"/>
      <c r="L9" s="63"/>
      <c r="M9" s="62"/>
      <c r="N9" s="63"/>
      <c r="O9" s="62"/>
      <c r="P9" s="63"/>
      <c r="Q9" s="62"/>
      <c r="R9" s="63"/>
      <c r="S9" s="62"/>
      <c r="T9" s="63"/>
      <c r="U9" s="62"/>
      <c r="V9" s="63"/>
      <c r="W9" s="62"/>
      <c r="X9" s="63"/>
      <c r="Y9" s="62"/>
      <c r="Z9" s="63"/>
      <c r="AA9" s="62"/>
      <c r="AB9" s="63"/>
      <c r="AC9" s="62"/>
      <c r="AD9" s="63"/>
      <c r="AE9" s="62"/>
      <c r="AF9" s="63"/>
      <c r="AG9" s="62"/>
      <c r="AH9" s="63"/>
    </row>
    <row r="10" spans="3:34" x14ac:dyDescent="0.25">
      <c r="C10" s="79">
        <v>4</v>
      </c>
      <c r="D10" s="61">
        <v>9</v>
      </c>
      <c r="E10" s="62"/>
      <c r="F10" s="63"/>
      <c r="G10" s="62">
        <v>31</v>
      </c>
      <c r="H10" s="63">
        <v>50</v>
      </c>
      <c r="I10" s="62">
        <v>46</v>
      </c>
      <c r="J10" s="63">
        <v>52</v>
      </c>
      <c r="K10" s="62"/>
      <c r="L10" s="63"/>
      <c r="M10" s="62"/>
      <c r="N10" s="63"/>
      <c r="O10" s="62"/>
      <c r="P10" s="63"/>
      <c r="Q10" s="62"/>
      <c r="R10" s="63"/>
      <c r="S10" s="62"/>
      <c r="T10" s="63"/>
      <c r="U10" s="62"/>
      <c r="V10" s="63"/>
      <c r="W10" s="62"/>
      <c r="X10" s="63"/>
      <c r="Y10" s="62"/>
      <c r="Z10" s="63"/>
      <c r="AA10" s="62"/>
      <c r="AB10" s="63"/>
      <c r="AC10" s="62"/>
      <c r="AD10" s="63"/>
      <c r="AE10" s="62"/>
      <c r="AF10" s="63"/>
      <c r="AG10" s="62"/>
      <c r="AH10" s="63"/>
    </row>
    <row r="11" spans="3:34" x14ac:dyDescent="0.25">
      <c r="C11" s="79">
        <v>5</v>
      </c>
      <c r="D11" s="61">
        <v>11</v>
      </c>
      <c r="E11" s="62"/>
      <c r="F11" s="63"/>
      <c r="G11" s="62">
        <v>20</v>
      </c>
      <c r="H11" s="63">
        <v>32</v>
      </c>
      <c r="I11" s="62">
        <v>27</v>
      </c>
      <c r="J11" s="63">
        <v>32</v>
      </c>
      <c r="K11" s="62"/>
      <c r="L11" s="63"/>
      <c r="M11" s="62"/>
      <c r="N11" s="63"/>
      <c r="O11" s="62"/>
      <c r="P11" s="63"/>
      <c r="Q11" s="62"/>
      <c r="R11" s="63"/>
      <c r="S11" s="62"/>
      <c r="T11" s="63"/>
      <c r="U11" s="62"/>
      <c r="V11" s="63"/>
      <c r="W11" s="62"/>
      <c r="X11" s="63"/>
      <c r="Y11" s="62"/>
      <c r="Z11" s="63"/>
      <c r="AA11" s="62"/>
      <c r="AB11" s="63"/>
      <c r="AC11" s="62"/>
      <c r="AD11" s="63"/>
      <c r="AE11" s="62"/>
      <c r="AF11" s="63"/>
      <c r="AG11" s="62"/>
      <c r="AH11" s="63"/>
    </row>
    <row r="12" spans="3:34" x14ac:dyDescent="0.25">
      <c r="C12" s="79">
        <v>6</v>
      </c>
      <c r="D12" s="61">
        <v>17</v>
      </c>
      <c r="E12" s="62"/>
      <c r="F12" s="63"/>
      <c r="G12" s="62">
        <v>19</v>
      </c>
      <c r="H12" s="63">
        <v>32</v>
      </c>
      <c r="I12" s="62"/>
      <c r="J12" s="63"/>
      <c r="K12" s="62"/>
      <c r="L12" s="63"/>
      <c r="M12" s="62"/>
      <c r="N12" s="63"/>
      <c r="O12" s="62"/>
      <c r="P12" s="63"/>
      <c r="Q12" s="62"/>
      <c r="R12" s="63"/>
      <c r="S12" s="62">
        <v>23</v>
      </c>
      <c r="T12" s="63">
        <v>31</v>
      </c>
      <c r="U12" s="62"/>
      <c r="V12" s="63"/>
      <c r="W12" s="62"/>
      <c r="X12" s="63"/>
      <c r="Y12" s="62"/>
      <c r="Z12" s="63"/>
      <c r="AA12" s="62"/>
      <c r="AB12" s="63"/>
      <c r="AC12" s="62"/>
      <c r="AD12" s="63"/>
      <c r="AE12" s="62"/>
      <c r="AF12" s="63"/>
      <c r="AG12" s="62"/>
      <c r="AH12" s="63"/>
    </row>
    <row r="13" spans="3:34" x14ac:dyDescent="0.25">
      <c r="C13" s="79">
        <v>7</v>
      </c>
      <c r="D13" s="61">
        <v>18</v>
      </c>
      <c r="E13" s="62"/>
      <c r="F13" s="63"/>
      <c r="G13" s="62">
        <v>22</v>
      </c>
      <c r="H13" s="63">
        <v>35</v>
      </c>
      <c r="I13" s="62"/>
      <c r="J13" s="63"/>
      <c r="K13" s="62"/>
      <c r="L13" s="63"/>
      <c r="M13" s="62">
        <v>30</v>
      </c>
      <c r="N13" s="63">
        <v>35</v>
      </c>
      <c r="O13" s="62"/>
      <c r="P13" s="63"/>
      <c r="Q13" s="62"/>
      <c r="R13" s="63"/>
      <c r="S13" s="62"/>
      <c r="T13" s="63"/>
      <c r="U13" s="62"/>
      <c r="V13" s="63"/>
      <c r="W13" s="62"/>
      <c r="X13" s="63"/>
      <c r="Y13" s="62"/>
      <c r="Z13" s="63"/>
      <c r="AA13" s="62"/>
      <c r="AB13" s="63"/>
      <c r="AC13" s="62"/>
      <c r="AD13" s="63"/>
      <c r="AE13" s="62"/>
      <c r="AF13" s="63"/>
      <c r="AG13" s="62"/>
      <c r="AH13" s="63"/>
    </row>
    <row r="14" spans="3:34" x14ac:dyDescent="0.25">
      <c r="C14" s="79">
        <v>8</v>
      </c>
      <c r="D14" s="61">
        <v>20</v>
      </c>
      <c r="E14" s="62">
        <v>107</v>
      </c>
      <c r="F14" s="63">
        <v>135</v>
      </c>
      <c r="G14" s="62"/>
      <c r="H14" s="63"/>
      <c r="I14" s="62"/>
      <c r="J14" s="63"/>
      <c r="K14" s="62"/>
      <c r="L14" s="63"/>
      <c r="M14" s="62"/>
      <c r="N14" s="63"/>
      <c r="O14" s="62"/>
      <c r="P14" s="63"/>
      <c r="Q14" s="62"/>
      <c r="R14" s="63"/>
      <c r="S14" s="62"/>
      <c r="T14" s="63"/>
      <c r="U14" s="62"/>
      <c r="V14" s="63"/>
      <c r="W14" s="62">
        <v>95</v>
      </c>
      <c r="X14" s="63">
        <v>270</v>
      </c>
      <c r="Y14" s="62"/>
      <c r="Z14" s="63"/>
      <c r="AA14" s="62"/>
      <c r="AB14" s="63"/>
      <c r="AC14" s="62"/>
      <c r="AD14" s="63"/>
      <c r="AE14" s="62"/>
      <c r="AF14" s="63"/>
      <c r="AG14" s="62"/>
      <c r="AH14" s="63"/>
    </row>
    <row r="15" spans="3:34" x14ac:dyDescent="0.25">
      <c r="C15" s="79">
        <v>9</v>
      </c>
      <c r="D15" s="61">
        <v>25</v>
      </c>
      <c r="E15" s="62"/>
      <c r="F15" s="63"/>
      <c r="G15" s="62">
        <v>32</v>
      </c>
      <c r="H15" s="63">
        <v>56</v>
      </c>
      <c r="I15" s="62"/>
      <c r="J15" s="63"/>
      <c r="K15" s="62"/>
      <c r="L15" s="63"/>
      <c r="M15" s="62"/>
      <c r="N15" s="63"/>
      <c r="O15" s="62"/>
      <c r="P15" s="63"/>
      <c r="Q15" s="62">
        <v>27</v>
      </c>
      <c r="R15" s="63">
        <v>55</v>
      </c>
      <c r="S15" s="62"/>
      <c r="T15" s="63"/>
      <c r="U15" s="62"/>
      <c r="V15" s="63"/>
      <c r="W15" s="62"/>
      <c r="X15" s="63"/>
      <c r="Y15" s="62"/>
      <c r="Z15" s="63"/>
      <c r="AA15" s="62"/>
      <c r="AB15" s="63"/>
      <c r="AC15" s="62"/>
      <c r="AD15" s="63"/>
      <c r="AE15" s="62"/>
      <c r="AF15" s="63"/>
      <c r="AG15" s="62"/>
      <c r="AH15" s="63"/>
    </row>
    <row r="16" spans="3:34" x14ac:dyDescent="0.25">
      <c r="C16" s="79">
        <v>10</v>
      </c>
      <c r="D16" s="61">
        <v>66</v>
      </c>
      <c r="E16" s="62">
        <v>55</v>
      </c>
      <c r="F16" s="63">
        <v>73</v>
      </c>
      <c r="G16" s="62">
        <v>46</v>
      </c>
      <c r="H16" s="63">
        <v>71</v>
      </c>
      <c r="I16" s="62"/>
      <c r="J16" s="63"/>
      <c r="K16" s="62"/>
      <c r="L16" s="63"/>
      <c r="M16" s="62"/>
      <c r="N16" s="63"/>
      <c r="O16" s="62"/>
      <c r="P16" s="63"/>
      <c r="Q16" s="62"/>
      <c r="R16" s="63"/>
      <c r="S16" s="62"/>
      <c r="T16" s="63"/>
      <c r="U16" s="62"/>
      <c r="V16" s="63"/>
      <c r="W16" s="62"/>
      <c r="X16" s="63"/>
      <c r="Y16" s="62"/>
      <c r="Z16" s="63"/>
      <c r="AA16" s="62"/>
      <c r="AB16" s="63"/>
      <c r="AC16" s="62"/>
      <c r="AD16" s="63"/>
      <c r="AE16" s="62"/>
      <c r="AF16" s="63"/>
      <c r="AG16" s="62"/>
      <c r="AH16" s="63"/>
    </row>
    <row r="17" spans="3:34" x14ac:dyDescent="0.25">
      <c r="C17" s="79">
        <v>11</v>
      </c>
      <c r="D17" s="93">
        <v>1</v>
      </c>
      <c r="E17" s="62">
        <v>7</v>
      </c>
      <c r="F17" s="63">
        <v>9</v>
      </c>
      <c r="G17" s="62"/>
      <c r="H17" s="63"/>
      <c r="I17" s="62">
        <v>10</v>
      </c>
      <c r="J17" s="63">
        <v>12</v>
      </c>
      <c r="K17" s="62"/>
      <c r="L17" s="63"/>
      <c r="M17" s="62"/>
      <c r="N17" s="63"/>
      <c r="O17" s="62"/>
      <c r="P17" s="63"/>
      <c r="Q17" s="62"/>
      <c r="R17" s="63"/>
      <c r="S17" s="62"/>
      <c r="T17" s="63"/>
      <c r="U17" s="62"/>
      <c r="V17" s="63"/>
      <c r="W17" s="62"/>
      <c r="X17" s="63"/>
      <c r="Y17" s="62"/>
      <c r="Z17" s="63"/>
      <c r="AA17" s="62"/>
      <c r="AB17" s="63"/>
      <c r="AC17" s="62"/>
      <c r="AD17" s="63"/>
      <c r="AE17" s="62"/>
      <c r="AF17" s="63"/>
      <c r="AG17" s="62"/>
      <c r="AH17" s="63"/>
    </row>
    <row r="18" spans="3:34" x14ac:dyDescent="0.25">
      <c r="C18" s="79">
        <v>12</v>
      </c>
      <c r="D18" s="61">
        <v>7</v>
      </c>
      <c r="E18" s="62"/>
      <c r="F18" s="63"/>
      <c r="G18" s="62"/>
      <c r="H18" s="63"/>
      <c r="I18" s="62">
        <v>38</v>
      </c>
      <c r="J18" s="63">
        <v>80</v>
      </c>
      <c r="K18" s="62">
        <v>45</v>
      </c>
      <c r="L18" s="63">
        <v>80</v>
      </c>
      <c r="M18" s="62"/>
      <c r="N18" s="63"/>
      <c r="O18" s="62"/>
      <c r="P18" s="63"/>
      <c r="Q18" s="62"/>
      <c r="R18" s="63"/>
      <c r="S18" s="62"/>
      <c r="T18" s="63"/>
      <c r="U18" s="62"/>
      <c r="V18" s="63"/>
      <c r="W18" s="62"/>
      <c r="X18" s="63"/>
      <c r="Y18" s="62"/>
      <c r="Z18" s="63"/>
      <c r="AA18" s="62"/>
      <c r="AB18" s="63"/>
      <c r="AC18" s="62"/>
      <c r="AD18" s="63"/>
      <c r="AE18" s="62"/>
      <c r="AF18" s="63"/>
      <c r="AG18" s="62"/>
      <c r="AH18" s="63"/>
    </row>
    <row r="19" spans="3:34" x14ac:dyDescent="0.25">
      <c r="C19" s="79">
        <v>13</v>
      </c>
      <c r="D19" s="61">
        <v>14</v>
      </c>
      <c r="E19" s="62">
        <v>11</v>
      </c>
      <c r="F19" s="63">
        <v>14</v>
      </c>
      <c r="G19" s="62"/>
      <c r="H19" s="63"/>
      <c r="I19" s="62"/>
      <c r="J19" s="63"/>
      <c r="K19" s="62"/>
      <c r="L19" s="63"/>
      <c r="M19" s="62"/>
      <c r="N19" s="63"/>
      <c r="O19" s="62"/>
      <c r="P19" s="63"/>
      <c r="Q19" s="62"/>
      <c r="R19" s="63"/>
      <c r="S19" s="62">
        <v>10</v>
      </c>
      <c r="T19" s="63">
        <v>18</v>
      </c>
      <c r="U19" s="62"/>
      <c r="V19" s="63"/>
      <c r="W19" s="62"/>
      <c r="X19" s="63"/>
      <c r="Y19" s="62"/>
      <c r="Z19" s="63"/>
      <c r="AA19" s="62"/>
      <c r="AB19" s="63"/>
      <c r="AC19" s="62"/>
      <c r="AD19" s="63"/>
      <c r="AE19" s="62"/>
      <c r="AF19" s="63"/>
      <c r="AG19" s="62"/>
      <c r="AH19" s="63"/>
    </row>
    <row r="20" spans="3:34" x14ac:dyDescent="0.25">
      <c r="C20" s="79">
        <v>14</v>
      </c>
      <c r="D20" s="61">
        <v>15</v>
      </c>
      <c r="E20" s="62">
        <v>18</v>
      </c>
      <c r="F20" s="63">
        <v>20</v>
      </c>
      <c r="G20" s="62"/>
      <c r="H20" s="63"/>
      <c r="I20" s="62"/>
      <c r="J20" s="63"/>
      <c r="K20" s="62"/>
      <c r="L20" s="63"/>
      <c r="M20" s="62"/>
      <c r="N20" s="63"/>
      <c r="O20" s="62"/>
      <c r="P20" s="63"/>
      <c r="Q20" s="62"/>
      <c r="R20" s="63"/>
      <c r="S20" s="62"/>
      <c r="T20" s="63"/>
      <c r="U20" s="62"/>
      <c r="V20" s="63"/>
      <c r="W20" s="62">
        <v>14</v>
      </c>
      <c r="X20" s="63">
        <v>19</v>
      </c>
      <c r="Y20" s="62"/>
      <c r="Z20" s="63"/>
      <c r="AA20" s="62"/>
      <c r="AB20" s="63"/>
      <c r="AC20" s="62"/>
      <c r="AD20" s="63"/>
      <c r="AE20" s="62"/>
      <c r="AF20" s="63"/>
      <c r="AG20" s="62"/>
      <c r="AH20" s="63"/>
    </row>
    <row r="21" spans="3:34" x14ac:dyDescent="0.25">
      <c r="C21" s="79">
        <v>15</v>
      </c>
      <c r="D21" s="61">
        <v>16</v>
      </c>
      <c r="E21" s="62">
        <v>8</v>
      </c>
      <c r="F21" s="63">
        <v>9</v>
      </c>
      <c r="G21" s="62"/>
      <c r="H21" s="63"/>
      <c r="I21" s="62"/>
      <c r="J21" s="63"/>
      <c r="K21" s="62"/>
      <c r="L21" s="63"/>
      <c r="M21" s="62"/>
      <c r="N21" s="63"/>
      <c r="O21" s="62"/>
      <c r="P21" s="63"/>
      <c r="Q21" s="62"/>
      <c r="R21" s="63"/>
      <c r="S21" s="62">
        <v>8</v>
      </c>
      <c r="T21" s="63">
        <v>9</v>
      </c>
      <c r="U21" s="62"/>
      <c r="V21" s="63"/>
      <c r="W21" s="62"/>
      <c r="X21" s="63"/>
      <c r="Y21" s="62"/>
      <c r="Z21" s="63"/>
      <c r="AA21" s="62"/>
      <c r="AB21" s="63"/>
      <c r="AC21" s="62"/>
      <c r="AD21" s="63"/>
      <c r="AE21" s="62"/>
      <c r="AF21" s="63"/>
      <c r="AG21" s="62"/>
      <c r="AH21" s="63"/>
    </row>
    <row r="22" spans="3:34" x14ac:dyDescent="0.25">
      <c r="C22" s="79">
        <v>16</v>
      </c>
      <c r="D22" s="61">
        <v>32</v>
      </c>
      <c r="E22" s="62"/>
      <c r="F22" s="63"/>
      <c r="G22" s="62"/>
      <c r="H22" s="63"/>
      <c r="I22" s="62">
        <v>31</v>
      </c>
      <c r="J22" s="63">
        <v>40</v>
      </c>
      <c r="K22" s="62">
        <v>29</v>
      </c>
      <c r="L22" s="63">
        <v>40</v>
      </c>
      <c r="M22" s="62"/>
      <c r="N22" s="63"/>
      <c r="O22" s="62"/>
      <c r="P22" s="63"/>
      <c r="Q22" s="62"/>
      <c r="R22" s="63"/>
      <c r="S22" s="62"/>
      <c r="T22" s="63"/>
      <c r="U22" s="62"/>
      <c r="V22" s="63"/>
      <c r="W22" s="62"/>
      <c r="X22" s="63"/>
      <c r="Y22" s="62"/>
      <c r="Z22" s="63"/>
      <c r="AA22" s="62"/>
      <c r="AB22" s="63"/>
      <c r="AC22" s="62"/>
      <c r="AD22" s="63"/>
      <c r="AE22" s="62"/>
      <c r="AF22" s="63"/>
      <c r="AG22" s="62"/>
      <c r="AH22" s="63"/>
    </row>
    <row r="23" spans="3:34" x14ac:dyDescent="0.25">
      <c r="C23" s="79">
        <v>17</v>
      </c>
      <c r="D23" s="61">
        <v>35</v>
      </c>
      <c r="E23" s="62">
        <v>15</v>
      </c>
      <c r="F23" s="63">
        <v>20</v>
      </c>
      <c r="G23" s="62">
        <v>16</v>
      </c>
      <c r="H23" s="63">
        <v>20</v>
      </c>
      <c r="I23" s="62"/>
      <c r="J23" s="63"/>
      <c r="K23" s="62"/>
      <c r="L23" s="63"/>
      <c r="M23" s="62"/>
      <c r="N23" s="63"/>
      <c r="O23" s="62"/>
      <c r="P23" s="63"/>
      <c r="Q23" s="62"/>
      <c r="R23" s="63"/>
      <c r="S23" s="62"/>
      <c r="T23" s="63"/>
      <c r="U23" s="62"/>
      <c r="V23" s="63"/>
      <c r="W23" s="62"/>
      <c r="X23" s="63"/>
      <c r="Y23" s="62"/>
      <c r="Z23" s="63"/>
      <c r="AA23" s="62"/>
      <c r="AB23" s="63"/>
      <c r="AC23" s="62"/>
      <c r="AD23" s="63"/>
      <c r="AE23" s="62"/>
      <c r="AF23" s="63"/>
      <c r="AG23" s="62"/>
      <c r="AH23" s="63"/>
    </row>
    <row r="24" spans="3:34" x14ac:dyDescent="0.25">
      <c r="C24" s="79">
        <v>18</v>
      </c>
      <c r="D24" s="61">
        <v>37</v>
      </c>
      <c r="E24" s="62">
        <v>14</v>
      </c>
      <c r="F24" s="63">
        <v>15</v>
      </c>
      <c r="G24" s="62">
        <v>14</v>
      </c>
      <c r="H24" s="63">
        <v>18</v>
      </c>
      <c r="I24" s="62"/>
      <c r="J24" s="63"/>
      <c r="K24" s="62"/>
      <c r="L24" s="63"/>
      <c r="M24" s="62"/>
      <c r="N24" s="63"/>
      <c r="O24" s="62"/>
      <c r="P24" s="63"/>
      <c r="Q24" s="62"/>
      <c r="R24" s="63"/>
      <c r="S24" s="62"/>
      <c r="T24" s="63"/>
      <c r="U24" s="62"/>
      <c r="V24" s="63"/>
      <c r="W24" s="62"/>
      <c r="X24" s="63"/>
      <c r="Y24" s="62"/>
      <c r="Z24" s="63"/>
      <c r="AA24" s="62"/>
      <c r="AB24" s="63"/>
      <c r="AC24" s="62"/>
      <c r="AD24" s="63"/>
      <c r="AE24" s="62"/>
      <c r="AF24" s="63"/>
      <c r="AG24" s="62"/>
      <c r="AH24" s="63"/>
    </row>
    <row r="25" spans="3:34" x14ac:dyDescent="0.25">
      <c r="C25" s="79">
        <v>19</v>
      </c>
      <c r="D25" s="61">
        <v>40</v>
      </c>
      <c r="E25" s="62"/>
      <c r="F25" s="63"/>
      <c r="G25" s="62"/>
      <c r="H25" s="63"/>
      <c r="I25" s="62">
        <v>8</v>
      </c>
      <c r="J25" s="63">
        <v>10</v>
      </c>
      <c r="K25" s="62"/>
      <c r="L25" s="63"/>
      <c r="M25" s="62"/>
      <c r="N25" s="63"/>
      <c r="O25" s="62"/>
      <c r="P25" s="63"/>
      <c r="Q25" s="62"/>
      <c r="R25" s="63"/>
      <c r="S25" s="62"/>
      <c r="T25" s="63"/>
      <c r="U25" s="62">
        <v>7</v>
      </c>
      <c r="V25" s="63">
        <v>10</v>
      </c>
      <c r="W25" s="62"/>
      <c r="X25" s="63"/>
      <c r="Y25" s="62"/>
      <c r="Z25" s="63"/>
      <c r="AA25" s="62"/>
      <c r="AB25" s="63"/>
      <c r="AC25" s="62"/>
      <c r="AD25" s="63"/>
      <c r="AE25" s="62"/>
      <c r="AF25" s="63"/>
      <c r="AG25" s="62"/>
      <c r="AH25" s="63"/>
    </row>
    <row r="26" spans="3:34" x14ac:dyDescent="0.25">
      <c r="C26" s="79">
        <v>20</v>
      </c>
      <c r="D26" s="61">
        <v>41</v>
      </c>
      <c r="E26" s="62"/>
      <c r="F26" s="63"/>
      <c r="G26" s="62"/>
      <c r="H26" s="63"/>
      <c r="I26" s="62">
        <v>11</v>
      </c>
      <c r="J26" s="63">
        <v>30</v>
      </c>
      <c r="K26" s="62"/>
      <c r="L26" s="63"/>
      <c r="M26" s="62"/>
      <c r="N26" s="63"/>
      <c r="O26" s="62">
        <v>21</v>
      </c>
      <c r="P26" s="63">
        <v>30</v>
      </c>
      <c r="Q26" s="62"/>
      <c r="R26" s="63"/>
      <c r="S26" s="62"/>
      <c r="T26" s="63"/>
      <c r="U26" s="62"/>
      <c r="V26" s="63"/>
      <c r="W26" s="62"/>
      <c r="X26" s="63"/>
      <c r="Y26" s="62"/>
      <c r="Z26" s="63"/>
      <c r="AA26" s="62"/>
      <c r="AB26" s="63"/>
      <c r="AC26" s="62"/>
      <c r="AD26" s="63"/>
      <c r="AE26" s="62"/>
      <c r="AF26" s="63"/>
      <c r="AG26" s="62"/>
      <c r="AH26" s="63"/>
    </row>
    <row r="27" spans="3:34" x14ac:dyDescent="0.25">
      <c r="C27" s="79">
        <v>21</v>
      </c>
      <c r="D27" s="61">
        <v>46</v>
      </c>
      <c r="E27" s="62"/>
      <c r="F27" s="63"/>
      <c r="G27" s="62"/>
      <c r="H27" s="63"/>
      <c r="I27" s="62">
        <v>25</v>
      </c>
      <c r="J27" s="63">
        <v>31</v>
      </c>
      <c r="K27" s="62"/>
      <c r="L27" s="63"/>
      <c r="M27" s="62"/>
      <c r="N27" s="63"/>
      <c r="O27" s="62"/>
      <c r="P27" s="63"/>
      <c r="Q27" s="62"/>
      <c r="R27" s="63"/>
      <c r="S27" s="62"/>
      <c r="T27" s="63"/>
      <c r="U27" s="62"/>
      <c r="V27" s="63"/>
      <c r="W27" s="62">
        <v>18</v>
      </c>
      <c r="X27" s="63">
        <v>31</v>
      </c>
      <c r="Y27" s="62"/>
      <c r="Z27" s="63"/>
      <c r="AA27" s="62"/>
      <c r="AB27" s="63"/>
      <c r="AC27" s="62"/>
      <c r="AD27" s="63"/>
      <c r="AE27" s="62"/>
      <c r="AF27" s="63"/>
      <c r="AG27" s="62"/>
      <c r="AH27" s="63"/>
    </row>
    <row r="28" spans="3:34" x14ac:dyDescent="0.25">
      <c r="C28" s="79">
        <v>22</v>
      </c>
      <c r="D28" s="61">
        <v>49</v>
      </c>
      <c r="E28" s="62">
        <v>45</v>
      </c>
      <c r="F28" s="63">
        <v>59</v>
      </c>
      <c r="G28" s="62">
        <v>45</v>
      </c>
      <c r="H28" s="63">
        <v>60</v>
      </c>
      <c r="I28" s="62"/>
      <c r="J28" s="63"/>
      <c r="K28" s="62"/>
      <c r="L28" s="63"/>
      <c r="M28" s="62"/>
      <c r="N28" s="63"/>
      <c r="O28" s="62"/>
      <c r="P28" s="63"/>
      <c r="Q28" s="62"/>
      <c r="R28" s="63"/>
      <c r="S28" s="62"/>
      <c r="T28" s="63"/>
      <c r="U28" s="62"/>
      <c r="V28" s="63"/>
      <c r="W28" s="62"/>
      <c r="X28" s="63"/>
      <c r="Y28" s="62"/>
      <c r="Z28" s="63"/>
      <c r="AA28" s="62"/>
      <c r="AB28" s="63"/>
      <c r="AC28" s="62"/>
      <c r="AD28" s="63"/>
      <c r="AE28" s="62"/>
      <c r="AF28" s="63"/>
      <c r="AG28" s="62"/>
      <c r="AH28" s="63"/>
    </row>
    <row r="29" spans="3:34" x14ac:dyDescent="0.25">
      <c r="C29" s="79">
        <v>23</v>
      </c>
      <c r="D29" s="61">
        <v>53</v>
      </c>
      <c r="E29" s="62">
        <v>49</v>
      </c>
      <c r="F29" s="63">
        <v>74</v>
      </c>
      <c r="G29" s="62">
        <v>52</v>
      </c>
      <c r="H29" s="63">
        <v>74</v>
      </c>
      <c r="I29" s="62"/>
      <c r="J29" s="63"/>
      <c r="K29" s="62"/>
      <c r="L29" s="63"/>
      <c r="M29" s="62"/>
      <c r="N29" s="63"/>
      <c r="O29" s="62"/>
      <c r="P29" s="63"/>
      <c r="Q29" s="62"/>
      <c r="R29" s="63"/>
      <c r="S29" s="62"/>
      <c r="T29" s="63"/>
      <c r="U29" s="62"/>
      <c r="V29" s="63"/>
      <c r="W29" s="62"/>
      <c r="X29" s="63"/>
      <c r="Y29" s="62"/>
      <c r="Z29" s="63"/>
      <c r="AA29" s="62"/>
      <c r="AB29" s="63"/>
      <c r="AC29" s="62"/>
      <c r="AD29" s="63"/>
      <c r="AE29" s="62"/>
      <c r="AF29" s="63"/>
      <c r="AG29" s="62"/>
      <c r="AH29" s="63"/>
    </row>
    <row r="30" spans="3:34" x14ac:dyDescent="0.25">
      <c r="C30" s="79">
        <v>24</v>
      </c>
      <c r="D30" s="61">
        <v>54</v>
      </c>
      <c r="E30" s="62"/>
      <c r="F30" s="63"/>
      <c r="G30" s="62"/>
      <c r="H30" s="63"/>
      <c r="I30" s="62">
        <v>29</v>
      </c>
      <c r="J30" s="63">
        <v>48</v>
      </c>
      <c r="K30" s="62"/>
      <c r="L30" s="63"/>
      <c r="M30" s="62"/>
      <c r="N30" s="63"/>
      <c r="O30" s="62"/>
      <c r="P30" s="63"/>
      <c r="Q30" s="62"/>
      <c r="R30" s="63"/>
      <c r="S30" s="62"/>
      <c r="T30" s="63"/>
      <c r="U30" s="62">
        <v>23</v>
      </c>
      <c r="V30" s="63">
        <v>35</v>
      </c>
      <c r="W30" s="62"/>
      <c r="X30" s="63"/>
      <c r="Y30" s="62"/>
      <c r="Z30" s="63"/>
      <c r="AA30" s="62"/>
      <c r="AB30" s="63"/>
      <c r="AC30" s="62"/>
      <c r="AD30" s="63"/>
      <c r="AE30" s="62"/>
      <c r="AF30" s="63"/>
      <c r="AG30" s="62"/>
      <c r="AH30" s="63"/>
    </row>
    <row r="31" spans="3:34" x14ac:dyDescent="0.25">
      <c r="C31" s="79">
        <v>25</v>
      </c>
      <c r="D31" s="61">
        <v>56</v>
      </c>
      <c r="E31" s="62"/>
      <c r="F31" s="63"/>
      <c r="G31" s="62"/>
      <c r="H31" s="63"/>
      <c r="I31" s="62">
        <v>20</v>
      </c>
      <c r="J31" s="63">
        <v>30</v>
      </c>
      <c r="K31" s="62"/>
      <c r="L31" s="63"/>
      <c r="M31" s="62"/>
      <c r="N31" s="63"/>
      <c r="O31" s="62">
        <v>24</v>
      </c>
      <c r="P31" s="63">
        <v>30</v>
      </c>
      <c r="Q31" s="62"/>
      <c r="R31" s="63"/>
      <c r="S31" s="62"/>
      <c r="T31" s="63"/>
      <c r="U31" s="62"/>
      <c r="V31" s="63"/>
      <c r="W31" s="62"/>
      <c r="X31" s="63"/>
      <c r="Y31" s="62"/>
      <c r="Z31" s="63"/>
      <c r="AA31" s="62"/>
      <c r="AB31" s="63"/>
      <c r="AC31" s="62"/>
      <c r="AD31" s="63"/>
      <c r="AE31" s="62"/>
      <c r="AF31" s="63"/>
      <c r="AG31" s="62"/>
      <c r="AH31" s="63"/>
    </row>
    <row r="32" spans="3:34" x14ac:dyDescent="0.25">
      <c r="C32" s="79">
        <v>26</v>
      </c>
      <c r="D32" s="61">
        <v>57</v>
      </c>
      <c r="E32" s="62">
        <v>21</v>
      </c>
      <c r="F32" s="63">
        <v>24</v>
      </c>
      <c r="G32" s="62">
        <v>16</v>
      </c>
      <c r="H32" s="63">
        <v>22</v>
      </c>
      <c r="I32" s="62"/>
      <c r="J32" s="63"/>
      <c r="K32" s="62"/>
      <c r="L32" s="63"/>
      <c r="M32" s="62"/>
      <c r="N32" s="63"/>
      <c r="O32" s="62"/>
      <c r="P32" s="63"/>
      <c r="Q32" s="62"/>
      <c r="R32" s="63"/>
      <c r="S32" s="62"/>
      <c r="T32" s="63"/>
      <c r="U32" s="62"/>
      <c r="V32" s="63"/>
      <c r="W32" s="62"/>
      <c r="X32" s="63"/>
      <c r="Y32" s="62"/>
      <c r="Z32" s="63"/>
      <c r="AA32" s="62"/>
      <c r="AB32" s="63"/>
      <c r="AC32" s="62"/>
      <c r="AD32" s="63"/>
      <c r="AE32" s="62"/>
      <c r="AF32" s="63"/>
      <c r="AG32" s="62"/>
      <c r="AH32" s="63"/>
    </row>
    <row r="33" spans="3:34" ht="15.75" customHeight="1" x14ac:dyDescent="0.25">
      <c r="C33" s="79">
        <v>27</v>
      </c>
      <c r="D33" s="61">
        <v>60</v>
      </c>
      <c r="E33" s="62"/>
      <c r="F33" s="63"/>
      <c r="G33" s="62"/>
      <c r="H33" s="63"/>
      <c r="I33" s="62">
        <v>27</v>
      </c>
      <c r="J33" s="63">
        <v>32</v>
      </c>
      <c r="K33" s="62"/>
      <c r="L33" s="63"/>
      <c r="M33" s="62"/>
      <c r="N33" s="63"/>
      <c r="O33" s="62"/>
      <c r="P33" s="63"/>
      <c r="Q33" s="62"/>
      <c r="R33" s="63"/>
      <c r="S33" s="62"/>
      <c r="T33" s="63"/>
      <c r="U33" s="62"/>
      <c r="V33" s="63"/>
      <c r="W33" s="62">
        <v>13</v>
      </c>
      <c r="X33" s="63">
        <v>32</v>
      </c>
      <c r="Y33" s="62"/>
      <c r="Z33" s="63"/>
      <c r="AA33" s="62"/>
      <c r="AB33" s="63"/>
      <c r="AC33" s="62"/>
      <c r="AD33" s="63"/>
      <c r="AE33" s="62"/>
      <c r="AF33" s="63"/>
      <c r="AG33" s="62"/>
      <c r="AH33" s="63"/>
    </row>
    <row r="34" spans="3:34" x14ac:dyDescent="0.25">
      <c r="C34" s="79">
        <v>28</v>
      </c>
      <c r="D34" s="61">
        <v>62</v>
      </c>
      <c r="E34" s="62">
        <v>21</v>
      </c>
      <c r="F34" s="63">
        <v>24</v>
      </c>
      <c r="G34" s="62">
        <v>19</v>
      </c>
      <c r="H34" s="63">
        <v>23</v>
      </c>
      <c r="I34" s="62"/>
      <c r="J34" s="63"/>
      <c r="K34" s="62"/>
      <c r="L34" s="63"/>
      <c r="M34" s="62"/>
      <c r="N34" s="63"/>
      <c r="O34" s="62"/>
      <c r="P34" s="63"/>
      <c r="Q34" s="62"/>
      <c r="R34" s="63"/>
      <c r="S34" s="62"/>
      <c r="T34" s="63"/>
      <c r="U34" s="62"/>
      <c r="V34" s="63"/>
      <c r="W34" s="62"/>
      <c r="X34" s="63"/>
      <c r="Y34" s="62"/>
      <c r="Z34" s="63"/>
      <c r="AA34" s="62"/>
      <c r="AB34" s="63"/>
      <c r="AC34" s="62"/>
      <c r="AD34" s="63"/>
      <c r="AE34" s="62"/>
      <c r="AF34" s="63"/>
      <c r="AG34" s="62"/>
      <c r="AH34" s="63"/>
    </row>
    <row r="35" spans="3:34" x14ac:dyDescent="0.25">
      <c r="C35" s="79">
        <v>29</v>
      </c>
      <c r="D35" s="61">
        <v>63</v>
      </c>
      <c r="E35" s="62">
        <v>15</v>
      </c>
      <c r="F35" s="63">
        <v>19</v>
      </c>
      <c r="G35" s="62">
        <v>11</v>
      </c>
      <c r="H35" s="63">
        <v>16</v>
      </c>
      <c r="I35" s="62"/>
      <c r="J35" s="63"/>
      <c r="K35" s="62"/>
      <c r="L35" s="63"/>
      <c r="M35" s="62"/>
      <c r="N35" s="63"/>
      <c r="O35" s="62"/>
      <c r="P35" s="63"/>
      <c r="Q35" s="62"/>
      <c r="R35" s="63"/>
      <c r="S35" s="62"/>
      <c r="T35" s="63"/>
      <c r="U35" s="62"/>
      <c r="V35" s="63"/>
      <c r="W35" s="62"/>
      <c r="X35" s="63"/>
      <c r="Y35" s="62"/>
      <c r="Z35" s="63"/>
      <c r="AA35" s="62"/>
      <c r="AB35" s="63"/>
      <c r="AC35" s="62"/>
      <c r="AD35" s="63"/>
      <c r="AE35" s="62"/>
      <c r="AF35" s="63"/>
      <c r="AG35" s="62"/>
      <c r="AH35" s="63"/>
    </row>
    <row r="36" spans="3:34" x14ac:dyDescent="0.25">
      <c r="C36" s="79">
        <v>30</v>
      </c>
      <c r="D36" s="61">
        <v>65</v>
      </c>
      <c r="E36" s="62">
        <v>16</v>
      </c>
      <c r="F36" s="63">
        <v>18</v>
      </c>
      <c r="G36" s="62"/>
      <c r="H36" s="63"/>
      <c r="I36" s="62">
        <v>14</v>
      </c>
      <c r="J36" s="63">
        <v>16</v>
      </c>
      <c r="K36" s="62"/>
      <c r="L36" s="63"/>
      <c r="M36" s="62"/>
      <c r="N36" s="63"/>
      <c r="O36" s="62"/>
      <c r="P36" s="63"/>
      <c r="Q36" s="62"/>
      <c r="R36" s="63"/>
      <c r="S36" s="62"/>
      <c r="T36" s="63"/>
      <c r="U36" s="62"/>
      <c r="V36" s="63"/>
      <c r="W36" s="62"/>
      <c r="X36" s="63"/>
      <c r="Y36" s="62"/>
      <c r="Z36" s="63"/>
      <c r="AA36" s="62"/>
      <c r="AB36" s="63"/>
      <c r="AC36" s="62"/>
      <c r="AD36" s="63"/>
      <c r="AE36" s="62"/>
      <c r="AF36" s="63"/>
      <c r="AG36" s="62"/>
      <c r="AH36" s="63"/>
    </row>
    <row r="37" spans="3:34" x14ac:dyDescent="0.25">
      <c r="C37" s="79">
        <v>31</v>
      </c>
      <c r="D37" s="61">
        <v>67</v>
      </c>
      <c r="E37" s="62"/>
      <c r="F37" s="63"/>
      <c r="G37" s="62"/>
      <c r="H37" s="63"/>
      <c r="I37" s="62"/>
      <c r="J37" s="63"/>
      <c r="K37" s="62">
        <v>55</v>
      </c>
      <c r="L37" s="63">
        <v>67</v>
      </c>
      <c r="M37" s="62"/>
      <c r="N37" s="63"/>
      <c r="O37" s="62">
        <v>45</v>
      </c>
      <c r="P37" s="63">
        <v>62</v>
      </c>
      <c r="Q37" s="62"/>
      <c r="R37" s="63"/>
      <c r="S37" s="62"/>
      <c r="T37" s="63"/>
      <c r="U37" s="62"/>
      <c r="V37" s="63"/>
      <c r="W37" s="62"/>
      <c r="X37" s="63"/>
      <c r="Y37" s="62"/>
      <c r="Z37" s="63"/>
      <c r="AA37" s="62"/>
      <c r="AB37" s="63"/>
      <c r="AC37" s="62"/>
      <c r="AD37" s="63"/>
      <c r="AE37" s="62"/>
      <c r="AF37" s="63"/>
      <c r="AG37" s="62"/>
      <c r="AH37" s="63"/>
    </row>
    <row r="38" spans="3:34" x14ac:dyDescent="0.25">
      <c r="C38" s="79">
        <v>32</v>
      </c>
      <c r="D38" s="61">
        <v>26</v>
      </c>
      <c r="E38" s="62">
        <v>47</v>
      </c>
      <c r="F38" s="63">
        <v>69</v>
      </c>
      <c r="G38" s="62"/>
      <c r="H38" s="63"/>
      <c r="I38" s="62"/>
      <c r="J38" s="63"/>
      <c r="K38" s="62"/>
      <c r="L38" s="63"/>
      <c r="M38" s="62"/>
      <c r="N38" s="63"/>
      <c r="O38" s="62"/>
      <c r="P38" s="63"/>
      <c r="Q38" s="62"/>
      <c r="R38" s="63"/>
      <c r="S38" s="62"/>
      <c r="T38" s="63"/>
      <c r="U38" s="62">
        <v>51</v>
      </c>
      <c r="V38" s="63">
        <v>71</v>
      </c>
      <c r="W38" s="62"/>
      <c r="X38" s="63"/>
      <c r="Y38" s="62"/>
      <c r="Z38" s="63"/>
      <c r="AA38" s="62"/>
      <c r="AB38" s="63"/>
      <c r="AC38" s="62"/>
      <c r="AD38" s="63"/>
      <c r="AE38" s="62"/>
      <c r="AF38" s="63"/>
      <c r="AG38" s="62"/>
      <c r="AH38" s="63"/>
    </row>
    <row r="39" spans="3:34" x14ac:dyDescent="0.25">
      <c r="C39" s="79">
        <v>33</v>
      </c>
      <c r="D39" s="61">
        <v>30</v>
      </c>
      <c r="E39" s="62"/>
      <c r="F39" s="63"/>
      <c r="G39" s="62"/>
      <c r="H39" s="63"/>
      <c r="I39" s="62"/>
      <c r="J39" s="63"/>
      <c r="K39" s="62"/>
      <c r="L39" s="63"/>
      <c r="M39" s="62"/>
      <c r="N39" s="63"/>
      <c r="O39" s="62"/>
      <c r="P39" s="63"/>
      <c r="Q39" s="62"/>
      <c r="R39" s="63"/>
      <c r="S39" s="62"/>
      <c r="T39" s="63"/>
      <c r="U39" s="62">
        <v>7</v>
      </c>
      <c r="V39" s="63">
        <v>12</v>
      </c>
      <c r="W39" s="62">
        <v>2</v>
      </c>
      <c r="X39" s="63">
        <v>11</v>
      </c>
      <c r="Y39" s="62"/>
      <c r="Z39" s="63"/>
      <c r="AA39" s="62"/>
      <c r="AB39" s="63"/>
      <c r="AC39" s="62"/>
      <c r="AD39" s="63"/>
      <c r="AE39" s="62"/>
      <c r="AF39" s="63"/>
      <c r="AG39" s="62"/>
      <c r="AH39" s="63"/>
    </row>
    <row r="40" spans="3:34" x14ac:dyDescent="0.25">
      <c r="C40" s="79">
        <v>34</v>
      </c>
      <c r="D40" s="61">
        <v>31</v>
      </c>
      <c r="E40" s="62"/>
      <c r="F40" s="63"/>
      <c r="G40" s="62"/>
      <c r="H40" s="63"/>
      <c r="I40" s="62"/>
      <c r="J40" s="63"/>
      <c r="K40" s="62"/>
      <c r="L40" s="63"/>
      <c r="M40" s="62"/>
      <c r="N40" s="63"/>
      <c r="O40" s="62"/>
      <c r="P40" s="63"/>
      <c r="Q40" s="62"/>
      <c r="R40" s="63"/>
      <c r="S40" s="62"/>
      <c r="T40" s="63"/>
      <c r="U40" s="62">
        <v>8</v>
      </c>
      <c r="V40" s="63">
        <v>11</v>
      </c>
      <c r="W40" s="62">
        <v>2</v>
      </c>
      <c r="X40" s="63">
        <v>10</v>
      </c>
      <c r="Y40" s="62"/>
      <c r="Z40" s="63"/>
      <c r="AA40" s="62"/>
      <c r="AB40" s="63"/>
      <c r="AC40" s="62"/>
      <c r="AD40" s="63"/>
      <c r="AE40" s="62"/>
      <c r="AF40" s="63"/>
      <c r="AG40" s="62"/>
      <c r="AH40" s="63"/>
    </row>
    <row r="41" spans="3:34" x14ac:dyDescent="0.25">
      <c r="C41" s="79">
        <v>35</v>
      </c>
      <c r="D41" s="61">
        <v>29</v>
      </c>
      <c r="E41" s="62"/>
      <c r="F41" s="63"/>
      <c r="G41" s="62"/>
      <c r="H41" s="63"/>
      <c r="I41" s="62"/>
      <c r="J41" s="63"/>
      <c r="K41" s="62"/>
      <c r="L41" s="63"/>
      <c r="M41" s="62"/>
      <c r="N41" s="63"/>
      <c r="O41" s="62"/>
      <c r="P41" s="63"/>
      <c r="Q41" s="62"/>
      <c r="R41" s="63"/>
      <c r="S41" s="62"/>
      <c r="T41" s="63"/>
      <c r="U41" s="62">
        <v>12</v>
      </c>
      <c r="V41" s="63">
        <v>24</v>
      </c>
      <c r="W41" s="62">
        <v>1</v>
      </c>
      <c r="X41" s="63">
        <v>23</v>
      </c>
      <c r="Y41" s="62"/>
      <c r="Z41" s="63"/>
      <c r="AA41" s="62"/>
      <c r="AB41" s="63"/>
      <c r="AC41" s="62"/>
      <c r="AD41" s="63"/>
      <c r="AE41" s="62"/>
      <c r="AF41" s="63"/>
      <c r="AG41" s="62"/>
      <c r="AH41" s="63"/>
    </row>
    <row r="42" spans="3:34" x14ac:dyDescent="0.25">
      <c r="C42" s="79">
        <v>36</v>
      </c>
      <c r="D42" s="61">
        <v>36</v>
      </c>
      <c r="E42" s="62">
        <v>47</v>
      </c>
      <c r="F42" s="63">
        <v>64</v>
      </c>
      <c r="G42" s="62"/>
      <c r="H42" s="63"/>
      <c r="I42" s="62"/>
      <c r="J42" s="63"/>
      <c r="K42" s="62"/>
      <c r="L42" s="63"/>
      <c r="M42" s="62"/>
      <c r="N42" s="63"/>
      <c r="O42" s="62"/>
      <c r="P42" s="63"/>
      <c r="Q42" s="62"/>
      <c r="R42" s="63"/>
      <c r="S42" s="62"/>
      <c r="T42" s="63"/>
      <c r="U42" s="62">
        <v>28</v>
      </c>
      <c r="V42" s="63">
        <v>63</v>
      </c>
      <c r="W42" s="62"/>
      <c r="X42" s="63"/>
      <c r="Y42" s="62"/>
      <c r="Z42" s="63"/>
      <c r="AA42" s="62"/>
      <c r="AB42" s="63"/>
      <c r="AC42" s="62"/>
      <c r="AD42" s="63"/>
      <c r="AE42" s="62"/>
      <c r="AF42" s="63"/>
      <c r="AG42" s="62"/>
      <c r="AH42" s="63"/>
    </row>
    <row r="43" spans="3:34" x14ac:dyDescent="0.25">
      <c r="C43" s="79">
        <v>37</v>
      </c>
      <c r="D43" s="61">
        <v>45</v>
      </c>
      <c r="E43" s="62"/>
      <c r="F43" s="63"/>
      <c r="G43" s="62"/>
      <c r="H43" s="63"/>
      <c r="I43" s="62"/>
      <c r="J43" s="63"/>
      <c r="K43" s="62"/>
      <c r="L43" s="63"/>
      <c r="M43" s="62"/>
      <c r="N43" s="63"/>
      <c r="O43" s="62"/>
      <c r="P43" s="63"/>
      <c r="Q43" s="62"/>
      <c r="R43" s="63"/>
      <c r="S43" s="62"/>
      <c r="T43" s="63"/>
      <c r="U43" s="62">
        <v>13</v>
      </c>
      <c r="V43" s="63">
        <v>15</v>
      </c>
      <c r="W43" s="62">
        <v>3</v>
      </c>
      <c r="X43" s="63">
        <v>15</v>
      </c>
      <c r="Y43" s="62"/>
      <c r="Z43" s="63"/>
      <c r="AA43" s="62"/>
      <c r="AB43" s="63"/>
      <c r="AC43" s="62"/>
      <c r="AD43" s="63"/>
      <c r="AE43" s="62"/>
      <c r="AF43" s="63"/>
      <c r="AG43" s="62"/>
      <c r="AH43" s="63"/>
    </row>
    <row r="44" spans="3:34" x14ac:dyDescent="0.25">
      <c r="C44" s="79">
        <v>38</v>
      </c>
      <c r="D44" s="61">
        <v>55</v>
      </c>
      <c r="E44" s="62"/>
      <c r="F44" s="63"/>
      <c r="G44" s="62"/>
      <c r="H44" s="63"/>
      <c r="I44" s="62"/>
      <c r="J44" s="63"/>
      <c r="K44" s="62"/>
      <c r="L44" s="63"/>
      <c r="M44" s="62"/>
      <c r="N44" s="63"/>
      <c r="O44" s="62"/>
      <c r="P44" s="63"/>
      <c r="Q44" s="62"/>
      <c r="R44" s="63"/>
      <c r="S44" s="62"/>
      <c r="T44" s="63"/>
      <c r="U44" s="62">
        <v>17</v>
      </c>
      <c r="V44" s="63">
        <v>22</v>
      </c>
      <c r="W44" s="62">
        <v>5</v>
      </c>
      <c r="X44" s="63">
        <v>21</v>
      </c>
      <c r="Y44" s="62"/>
      <c r="Z44" s="63"/>
      <c r="AA44" s="62"/>
      <c r="AB44" s="63"/>
      <c r="AC44" s="62"/>
      <c r="AD44" s="63"/>
      <c r="AE44" s="62"/>
      <c r="AF44" s="63"/>
      <c r="AG44" s="62"/>
      <c r="AH44" s="63"/>
    </row>
    <row r="45" spans="3:34" x14ac:dyDescent="0.25">
      <c r="C45" s="79">
        <v>39</v>
      </c>
      <c r="D45" s="61">
        <v>59</v>
      </c>
      <c r="E45" s="62">
        <v>7</v>
      </c>
      <c r="F45" s="63">
        <v>9</v>
      </c>
      <c r="G45" s="62"/>
      <c r="H45" s="63"/>
      <c r="I45" s="62"/>
      <c r="J45" s="63"/>
      <c r="K45" s="62"/>
      <c r="L45" s="63"/>
      <c r="M45" s="62"/>
      <c r="N45" s="63"/>
      <c r="O45" s="62"/>
      <c r="P45" s="63"/>
      <c r="Q45" s="62"/>
      <c r="R45" s="63"/>
      <c r="S45" s="62"/>
      <c r="T45" s="63"/>
      <c r="U45" s="62">
        <v>7</v>
      </c>
      <c r="V45" s="63">
        <v>10</v>
      </c>
      <c r="W45" s="62"/>
      <c r="X45" s="63"/>
      <c r="Y45" s="62"/>
      <c r="Z45" s="63"/>
      <c r="AA45" s="62"/>
      <c r="AB45" s="63"/>
      <c r="AC45" s="62"/>
      <c r="AD45" s="63"/>
      <c r="AE45" s="62"/>
      <c r="AF45" s="63"/>
      <c r="AG45" s="62"/>
      <c r="AH45" s="63"/>
    </row>
    <row r="46" spans="3:34" x14ac:dyDescent="0.25">
      <c r="C46" s="79">
        <v>40</v>
      </c>
      <c r="D46" s="61"/>
      <c r="E46" s="62"/>
      <c r="F46" s="63"/>
      <c r="G46" s="62"/>
      <c r="H46" s="63"/>
      <c r="I46" s="62"/>
      <c r="J46" s="63"/>
      <c r="K46" s="62"/>
      <c r="L46" s="63"/>
      <c r="M46" s="62"/>
      <c r="N46" s="63"/>
      <c r="O46" s="62"/>
      <c r="P46" s="63"/>
      <c r="Q46" s="62"/>
      <c r="R46" s="63"/>
      <c r="S46" s="62"/>
      <c r="T46" s="63"/>
      <c r="U46" s="62"/>
      <c r="V46" s="63"/>
      <c r="W46" s="62"/>
      <c r="X46" s="63"/>
      <c r="Y46" s="62"/>
      <c r="Z46" s="63"/>
      <c r="AA46" s="62"/>
      <c r="AB46" s="63"/>
      <c r="AC46" s="62"/>
      <c r="AD46" s="63"/>
      <c r="AE46" s="62"/>
      <c r="AF46" s="63"/>
      <c r="AG46" s="62"/>
      <c r="AH46" s="63"/>
    </row>
    <row r="47" spans="3:34" x14ac:dyDescent="0.25">
      <c r="C47" s="79">
        <v>41</v>
      </c>
      <c r="D47" s="61"/>
      <c r="E47" s="62"/>
      <c r="F47" s="63"/>
      <c r="G47" s="62"/>
      <c r="H47" s="63"/>
      <c r="I47" s="62"/>
      <c r="J47" s="63"/>
      <c r="K47" s="62"/>
      <c r="L47" s="63"/>
      <c r="M47" s="62"/>
      <c r="N47" s="63"/>
      <c r="O47" s="62"/>
      <c r="P47" s="63"/>
      <c r="Q47" s="62"/>
      <c r="R47" s="63"/>
      <c r="S47" s="62"/>
      <c r="T47" s="63"/>
      <c r="U47" s="62"/>
      <c r="V47" s="63"/>
      <c r="W47" s="62"/>
      <c r="X47" s="63"/>
      <c r="Y47" s="62"/>
      <c r="Z47" s="63"/>
      <c r="AA47" s="62"/>
      <c r="AB47" s="63"/>
      <c r="AC47" s="62"/>
      <c r="AD47" s="63"/>
      <c r="AE47" s="62"/>
      <c r="AF47" s="63"/>
      <c r="AG47" s="62"/>
      <c r="AH47" s="63"/>
    </row>
    <row r="48" spans="3:34" x14ac:dyDescent="0.25">
      <c r="C48" s="79">
        <v>42</v>
      </c>
      <c r="D48" s="61"/>
      <c r="E48" s="62"/>
      <c r="F48" s="63"/>
      <c r="G48" s="62"/>
      <c r="H48" s="63"/>
      <c r="I48" s="62"/>
      <c r="J48" s="63"/>
      <c r="K48" s="62"/>
      <c r="L48" s="63"/>
      <c r="M48" s="62"/>
      <c r="N48" s="63"/>
      <c r="O48" s="62"/>
      <c r="P48" s="63"/>
      <c r="Q48" s="62"/>
      <c r="R48" s="63"/>
      <c r="S48" s="62"/>
      <c r="T48" s="63"/>
      <c r="U48" s="62"/>
      <c r="V48" s="63"/>
      <c r="W48" s="62"/>
      <c r="X48" s="63"/>
      <c r="Y48" s="62"/>
      <c r="Z48" s="63"/>
      <c r="AA48" s="62"/>
      <c r="AB48" s="63"/>
      <c r="AC48" s="62"/>
      <c r="AD48" s="63"/>
      <c r="AE48" s="62"/>
      <c r="AF48" s="63"/>
      <c r="AG48" s="62"/>
      <c r="AH48" s="63"/>
    </row>
    <row r="49" spans="3:34" x14ac:dyDescent="0.25">
      <c r="C49" s="79">
        <v>43</v>
      </c>
      <c r="D49" s="61"/>
      <c r="E49" s="62"/>
      <c r="F49" s="63"/>
      <c r="G49" s="62"/>
      <c r="H49" s="63"/>
      <c r="I49" s="62"/>
      <c r="J49" s="63"/>
      <c r="K49" s="62"/>
      <c r="L49" s="63"/>
      <c r="M49" s="62"/>
      <c r="N49" s="63"/>
      <c r="O49" s="62"/>
      <c r="P49" s="63"/>
      <c r="Q49" s="62"/>
      <c r="R49" s="63"/>
      <c r="S49" s="62"/>
      <c r="T49" s="63"/>
      <c r="U49" s="62"/>
      <c r="V49" s="63"/>
      <c r="W49" s="62"/>
      <c r="X49" s="63"/>
      <c r="Y49" s="62"/>
      <c r="Z49" s="63"/>
      <c r="AA49" s="62"/>
      <c r="AB49" s="63"/>
      <c r="AC49" s="62"/>
      <c r="AD49" s="63"/>
      <c r="AE49" s="62"/>
      <c r="AF49" s="63"/>
      <c r="AG49" s="62"/>
      <c r="AH49" s="63"/>
    </row>
    <row r="50" spans="3:34" x14ac:dyDescent="0.25">
      <c r="C50" s="79">
        <v>44</v>
      </c>
      <c r="D50" s="61"/>
      <c r="E50" s="62"/>
      <c r="F50" s="63"/>
      <c r="G50" s="62"/>
      <c r="H50" s="63"/>
      <c r="I50" s="62"/>
      <c r="J50" s="63"/>
      <c r="K50" s="62"/>
      <c r="L50" s="63"/>
      <c r="M50" s="62"/>
      <c r="N50" s="63"/>
      <c r="O50" s="62"/>
      <c r="P50" s="63"/>
      <c r="Q50" s="62"/>
      <c r="R50" s="63"/>
      <c r="S50" s="62"/>
      <c r="T50" s="63"/>
      <c r="U50" s="62"/>
      <c r="V50" s="63"/>
      <c r="W50" s="62"/>
      <c r="X50" s="63"/>
      <c r="Y50" s="62"/>
      <c r="Z50" s="63"/>
      <c r="AA50" s="62"/>
      <c r="AB50" s="63"/>
      <c r="AC50" s="62"/>
      <c r="AD50" s="63"/>
      <c r="AE50" s="62"/>
      <c r="AF50" s="63"/>
      <c r="AG50" s="62"/>
      <c r="AH50" s="63"/>
    </row>
    <row r="51" spans="3:34" x14ac:dyDescent="0.25">
      <c r="C51" s="79">
        <v>45</v>
      </c>
      <c r="D51" s="61"/>
      <c r="E51" s="62"/>
      <c r="F51" s="63"/>
      <c r="G51" s="62"/>
      <c r="H51" s="63"/>
      <c r="I51" s="62"/>
      <c r="J51" s="63"/>
      <c r="K51" s="62"/>
      <c r="L51" s="63"/>
      <c r="M51" s="62"/>
      <c r="N51" s="63"/>
      <c r="O51" s="62"/>
      <c r="P51" s="63"/>
      <c r="Q51" s="62"/>
      <c r="R51" s="63"/>
      <c r="S51" s="62"/>
      <c r="T51" s="63"/>
      <c r="U51" s="62"/>
      <c r="V51" s="63"/>
      <c r="W51" s="62"/>
      <c r="X51" s="63"/>
      <c r="Y51" s="62"/>
      <c r="Z51" s="63"/>
      <c r="AA51" s="62"/>
      <c r="AB51" s="63"/>
      <c r="AC51" s="62"/>
      <c r="AD51" s="63"/>
      <c r="AE51" s="62"/>
      <c r="AF51" s="63"/>
      <c r="AG51" s="62"/>
      <c r="AH51" s="63"/>
    </row>
    <row r="52" spans="3:34" ht="15.75" customHeight="1" x14ac:dyDescent="0.25">
      <c r="C52" s="79">
        <v>46</v>
      </c>
      <c r="D52" s="61"/>
      <c r="E52" s="62"/>
      <c r="F52" s="63"/>
      <c r="G52" s="62"/>
      <c r="H52" s="63"/>
      <c r="I52" s="62"/>
      <c r="J52" s="63"/>
      <c r="K52" s="62"/>
      <c r="L52" s="63"/>
      <c r="M52" s="62"/>
      <c r="N52" s="63"/>
      <c r="O52" s="62"/>
      <c r="P52" s="63"/>
      <c r="Q52" s="62"/>
      <c r="R52" s="63"/>
      <c r="S52" s="62"/>
      <c r="T52" s="63"/>
      <c r="U52" s="62"/>
      <c r="V52" s="63"/>
      <c r="W52" s="62"/>
      <c r="X52" s="63"/>
      <c r="Y52" s="62"/>
      <c r="Z52" s="63"/>
      <c r="AA52" s="62"/>
      <c r="AB52" s="63"/>
      <c r="AC52" s="62"/>
      <c r="AD52" s="63"/>
      <c r="AE52" s="62"/>
      <c r="AF52" s="63"/>
      <c r="AG52" s="62"/>
      <c r="AH52" s="63"/>
    </row>
    <row r="53" spans="3:34" x14ac:dyDescent="0.25">
      <c r="C53" s="79">
        <v>47</v>
      </c>
      <c r="D53" s="61"/>
      <c r="E53" s="62"/>
      <c r="F53" s="63"/>
      <c r="G53" s="62"/>
      <c r="H53" s="63"/>
      <c r="I53" s="62"/>
      <c r="J53" s="63"/>
      <c r="K53" s="62"/>
      <c r="L53" s="63"/>
      <c r="M53" s="62"/>
      <c r="N53" s="63"/>
      <c r="O53" s="62"/>
      <c r="P53" s="63"/>
      <c r="Q53" s="62"/>
      <c r="R53" s="63"/>
      <c r="S53" s="62"/>
      <c r="T53" s="63"/>
      <c r="U53" s="62"/>
      <c r="V53" s="63"/>
      <c r="W53" s="62"/>
      <c r="X53" s="63"/>
      <c r="Y53" s="62"/>
      <c r="Z53" s="63"/>
      <c r="AA53" s="62"/>
      <c r="AB53" s="63"/>
      <c r="AC53" s="62"/>
      <c r="AD53" s="63"/>
      <c r="AE53" s="62"/>
      <c r="AF53" s="63"/>
      <c r="AG53" s="62"/>
      <c r="AH53" s="63"/>
    </row>
    <row r="54" spans="3:34" x14ac:dyDescent="0.25">
      <c r="C54" s="79">
        <v>48</v>
      </c>
      <c r="D54" s="61"/>
      <c r="E54" s="62"/>
      <c r="F54" s="63"/>
      <c r="G54" s="62"/>
      <c r="H54" s="63"/>
      <c r="I54" s="62"/>
      <c r="J54" s="63"/>
      <c r="K54" s="62"/>
      <c r="L54" s="63"/>
      <c r="M54" s="62"/>
      <c r="N54" s="63"/>
      <c r="O54" s="62"/>
      <c r="P54" s="63"/>
      <c r="Q54" s="62"/>
      <c r="R54" s="63"/>
      <c r="S54" s="62"/>
      <c r="T54" s="63"/>
      <c r="U54" s="62"/>
      <c r="V54" s="63"/>
      <c r="W54" s="62"/>
      <c r="X54" s="63"/>
      <c r="Y54" s="62"/>
      <c r="Z54" s="63"/>
      <c r="AA54" s="62"/>
      <c r="AB54" s="63"/>
      <c r="AC54" s="62"/>
      <c r="AD54" s="63"/>
      <c r="AE54" s="62"/>
      <c r="AF54" s="63"/>
      <c r="AG54" s="62"/>
      <c r="AH54" s="63"/>
    </row>
    <row r="55" spans="3:34" x14ac:dyDescent="0.25">
      <c r="C55" s="79">
        <v>49</v>
      </c>
      <c r="D55" s="61"/>
      <c r="E55" s="62"/>
      <c r="F55" s="63"/>
      <c r="G55" s="62"/>
      <c r="H55" s="63"/>
      <c r="I55" s="62"/>
      <c r="J55" s="63"/>
      <c r="K55" s="62"/>
      <c r="L55" s="63"/>
      <c r="M55" s="62"/>
      <c r="N55" s="63"/>
      <c r="O55" s="62"/>
      <c r="P55" s="63"/>
      <c r="Q55" s="62"/>
      <c r="R55" s="63"/>
      <c r="S55" s="62"/>
      <c r="T55" s="63"/>
      <c r="U55" s="62"/>
      <c r="V55" s="63"/>
      <c r="W55" s="62"/>
      <c r="X55" s="63"/>
      <c r="Y55" s="62"/>
      <c r="Z55" s="63"/>
      <c r="AA55" s="62"/>
      <c r="AB55" s="63"/>
      <c r="AC55" s="62"/>
      <c r="AD55" s="63"/>
      <c r="AE55" s="62"/>
      <c r="AF55" s="63"/>
      <c r="AG55" s="62"/>
      <c r="AH55" s="63"/>
    </row>
    <row r="56" spans="3:34" ht="15.75" thickBot="1" x14ac:dyDescent="0.3">
      <c r="C56" s="80">
        <v>50</v>
      </c>
      <c r="D56" s="61"/>
      <c r="E56" s="62"/>
      <c r="F56" s="63"/>
      <c r="G56" s="62"/>
      <c r="H56" s="63"/>
      <c r="I56" s="62"/>
      <c r="J56" s="63"/>
      <c r="K56" s="62"/>
      <c r="L56" s="63"/>
      <c r="M56" s="62"/>
      <c r="N56" s="63"/>
      <c r="O56" s="62"/>
      <c r="P56" s="63"/>
      <c r="Q56" s="62"/>
      <c r="R56" s="63"/>
      <c r="S56" s="62"/>
      <c r="T56" s="63"/>
      <c r="U56" s="62"/>
      <c r="V56" s="63"/>
      <c r="W56" s="62"/>
      <c r="X56" s="63"/>
      <c r="Y56" s="62"/>
      <c r="Z56" s="63"/>
      <c r="AA56" s="62"/>
      <c r="AB56" s="63"/>
      <c r="AC56" s="62"/>
      <c r="AD56" s="63"/>
      <c r="AE56" s="62"/>
      <c r="AF56" s="63"/>
      <c r="AG56" s="62"/>
      <c r="AH56" s="63"/>
    </row>
    <row r="57" spans="3:34" ht="15.75" thickBot="1" x14ac:dyDescent="0.3">
      <c r="C57" s="77">
        <f>MIN(patient_totals)</f>
        <v>35</v>
      </c>
      <c r="D57" s="77">
        <f>SUM(patient_totals)</f>
        <v>3018</v>
      </c>
      <c r="E57" s="247">
        <f>IF(SUM(F7:F56)=0,"",SUM(F7:F56))</f>
        <v>692</v>
      </c>
      <c r="F57" s="248"/>
      <c r="G57" s="247">
        <f>IF(SUM(H7:H56)=0,"",SUM(H7:H56))</f>
        <v>611</v>
      </c>
      <c r="H57" s="248"/>
      <c r="I57" s="247">
        <f>IF(SUM(J7:J56)=0,"",SUM(J7:J56))</f>
        <v>449</v>
      </c>
      <c r="J57" s="248"/>
      <c r="K57" s="247">
        <f>IF(SUM(L7:L56)=0,"",SUM(L7:L56))</f>
        <v>223</v>
      </c>
      <c r="L57" s="248"/>
      <c r="M57" s="247">
        <f>IF(SUM(N7:N56)=0,"",SUM(N7:N56))</f>
        <v>35</v>
      </c>
      <c r="N57" s="248"/>
      <c r="O57" s="247">
        <f>IF(SUM(P7:P56)=0,"",SUM(P7:P56))</f>
        <v>122</v>
      </c>
      <c r="P57" s="248"/>
      <c r="Q57" s="247">
        <f>IF(SUM(R7:R56)=0,"",SUM(R7:R56))</f>
        <v>55</v>
      </c>
      <c r="R57" s="248"/>
      <c r="S57" s="247">
        <f>IF(SUM(T7:T56)=0,"",SUM(T7:T56))</f>
        <v>58</v>
      </c>
      <c r="T57" s="248"/>
      <c r="U57" s="247">
        <f>IF(SUM(V7:V56)=0,"",SUM(V7:V56))</f>
        <v>273</v>
      </c>
      <c r="V57" s="248"/>
      <c r="W57" s="247">
        <f>IF(SUM(X7:X56)=0,"",SUM(X7:X56))</f>
        <v>500</v>
      </c>
      <c r="X57" s="248"/>
      <c r="Y57" s="247" t="str">
        <f>IF(SUM(Z7:Z56)=0,"",SUM(Z7:Z56))</f>
        <v/>
      </c>
      <c r="Z57" s="248"/>
      <c r="AA57" s="247" t="str">
        <f>IF(SUM(AB7:AB56)=0,"",SUM(AB7:AB56))</f>
        <v/>
      </c>
      <c r="AB57" s="248"/>
      <c r="AC57" s="247" t="str">
        <f>IF(SUM(AD7:AD56)=0,"",SUM(AD7:AD56))</f>
        <v/>
      </c>
      <c r="AD57" s="248"/>
      <c r="AE57" s="247" t="str">
        <f>IF(SUM(AF7:AF56)=0,"",SUM(AF7:AF56))</f>
        <v/>
      </c>
      <c r="AF57" s="248"/>
      <c r="AG57" s="249" t="str">
        <f>IF(SUM(AH7:AH56)=0,"",SUM(AH7:AH56))</f>
        <v/>
      </c>
      <c r="AH57" s="248"/>
    </row>
  </sheetData>
  <sheetProtection selectLockedCells="1"/>
  <mergeCells count="47">
    <mergeCell ref="C5:C6"/>
    <mergeCell ref="E4:F4"/>
    <mergeCell ref="G4:H4"/>
    <mergeCell ref="I4:J4"/>
    <mergeCell ref="O5:P5"/>
    <mergeCell ref="Q5:R5"/>
    <mergeCell ref="S5:T5"/>
    <mergeCell ref="E5:F5"/>
    <mergeCell ref="G5:H5"/>
    <mergeCell ref="I5:J5"/>
    <mergeCell ref="K5:L5"/>
    <mergeCell ref="M5:N5"/>
    <mergeCell ref="AA5:AB5"/>
    <mergeCell ref="AC5:AD5"/>
    <mergeCell ref="AE5:AF5"/>
    <mergeCell ref="AG5:AH5"/>
    <mergeCell ref="U5:V5"/>
    <mergeCell ref="W5:X5"/>
    <mergeCell ref="Y5:Z5"/>
    <mergeCell ref="E57:F57"/>
    <mergeCell ref="G57:H57"/>
    <mergeCell ref="I57:J57"/>
    <mergeCell ref="K57:L57"/>
    <mergeCell ref="M57:N57"/>
    <mergeCell ref="O57:P57"/>
    <mergeCell ref="Q57:R57"/>
    <mergeCell ref="S57:T57"/>
    <mergeCell ref="U57:V57"/>
    <mergeCell ref="W57:X57"/>
    <mergeCell ref="Y57:Z57"/>
    <mergeCell ref="AA57:AB57"/>
    <mergeCell ref="AC57:AD57"/>
    <mergeCell ref="AE57:AF57"/>
    <mergeCell ref="AG57:AH57"/>
    <mergeCell ref="AE4:AF4"/>
    <mergeCell ref="AG4:AH4"/>
    <mergeCell ref="E3:AH3"/>
    <mergeCell ref="U4:V4"/>
    <mergeCell ref="W4:X4"/>
    <mergeCell ref="Y4:Z4"/>
    <mergeCell ref="AA4:AB4"/>
    <mergeCell ref="AC4:AD4"/>
    <mergeCell ref="K4:L4"/>
    <mergeCell ref="M4:N4"/>
    <mergeCell ref="O4:P4"/>
    <mergeCell ref="Q4:R4"/>
    <mergeCell ref="S4:T4"/>
  </mergeCells>
  <conditionalFormatting sqref="D38:D56">
    <cfRule type="expression" dxfId="234" priority="283">
      <formula>$D37&lt;&gt;""</formula>
    </cfRule>
  </conditionalFormatting>
  <conditionalFormatting sqref="G5:H5">
    <cfRule type="expression" dxfId="233" priority="282">
      <formula>E$5&lt;&gt;""</formula>
    </cfRule>
  </conditionalFormatting>
  <conditionalFormatting sqref="I5:AH5">
    <cfRule type="expression" dxfId="232" priority="281">
      <formula>G$5&lt;&gt;""</formula>
    </cfRule>
  </conditionalFormatting>
  <conditionalFormatting sqref="E38:E56">
    <cfRule type="expression" dxfId="231" priority="276">
      <formula>AND($D38&lt;&gt;"",E$5&lt;&gt;"")</formula>
    </cfRule>
  </conditionalFormatting>
  <conditionalFormatting sqref="F38:F56">
    <cfRule type="expression" dxfId="230" priority="275">
      <formula>AND($D38&lt;&gt;"",E$5&lt;&gt;"")</formula>
    </cfRule>
  </conditionalFormatting>
  <conditionalFormatting sqref="Y7 AA7 AC7 AE7 AG7">
    <cfRule type="expression" dxfId="229" priority="272">
      <formula>AND($D7&lt;&gt;"",Y$5&lt;&gt;"")</formula>
    </cfRule>
  </conditionalFormatting>
  <conditionalFormatting sqref="Z7 AB7 AD7 AF7 AH7">
    <cfRule type="expression" dxfId="228" priority="271">
      <formula>AND($D7&lt;&gt;"",Y$5&lt;&gt;"")</formula>
    </cfRule>
  </conditionalFormatting>
  <conditionalFormatting sqref="G38:G56">
    <cfRule type="expression" dxfId="227" priority="270">
      <formula>AND($D38&lt;&gt;"",G$5&lt;&gt;"")</formula>
    </cfRule>
  </conditionalFormatting>
  <conditionalFormatting sqref="H38:H56">
    <cfRule type="expression" dxfId="226" priority="269">
      <formula>AND($D38&lt;&gt;"",G$5&lt;&gt;"")</formula>
    </cfRule>
  </conditionalFormatting>
  <conditionalFormatting sqref="O9:O11 Q9:Q11 S9:S11 U9:U13 W9:W13 Y9:Y56 AA9:AA56 AC9:AC56 AE9:AE56 AG9:AG56 K9:K11 M9:M11 K16:K17 I23:I24 W16:W18 K23:K24 M23:M24 S22:S24 Q22:Q24 O22:O24 W21:W26 U21:U24 M16:M17 S13 Q13 O13 O16:O17 Q16:Q17 S15:S17 U15:U18 U26 O28:O29 Q26 S26 M28:M29 K28:K29 I28:I29 S28:S29 Q28:Q29 U28:U29 W28:W32 U31:U32 Q31:Q32 S31:S32 I32 K32 M32 O32 O34:O56 M34:M56 K34:K36 I34:I35 S34:S56 Q34:Q56 U34:U56 W34:W56 I38:I56 K38:K56">
    <cfRule type="expression" dxfId="225" priority="268">
      <formula>AND($D9&lt;&gt;"",I$5&lt;&gt;"")</formula>
    </cfRule>
  </conditionalFormatting>
  <conditionalFormatting sqref="P9:P11 R9:R11 T9:T11 V9:V13 X9:X13 Z9:Z56 AB9:AB56 AD9:AD56 AF9:AF56 AH9:AH56 L9:L11 N9:N11 L16:L17 J23:J24 X16:X18 L23:L24 N23:N24 T22:T24 R22:R24 P22:P24 X21:X26 V21:V24 N16:N17 T13 R13 P13 P16:P17 R16:R17 T15:T17 V15:V18 V26 P28:P29 R26 T26 N28:N29 L28:L29 J28:J29 T28:T29 R28:R29 V28:V29 X28:X32 V31:V32 R31:R32 T31:T32 J32 L32 N32 P32 P34:P56 N34:N56 L34:L36 J34:J35 T34:T56 R34:R56 V34:V56 X34:X56 J38:J56 L38:L56">
    <cfRule type="expression" dxfId="224" priority="267">
      <formula>AND($D9&lt;&gt;"",I$5&lt;&gt;"")</formula>
    </cfRule>
  </conditionalFormatting>
  <conditionalFormatting sqref="M11 M16:M17">
    <cfRule type="expression" dxfId="223" priority="266">
      <formula>AND($D11&lt;&gt;"",M$5&lt;&gt;"")</formula>
    </cfRule>
  </conditionalFormatting>
  <conditionalFormatting sqref="N11 N16:N17">
    <cfRule type="expression" dxfId="222" priority="265">
      <formula>AND($D11&lt;&gt;"",M$5&lt;&gt;"")</formula>
    </cfRule>
  </conditionalFormatting>
  <conditionalFormatting sqref="K11">
    <cfRule type="expression" dxfId="221" priority="262">
      <formula>AND($D11&lt;&gt;"",K$5&lt;&gt;"")</formula>
    </cfRule>
  </conditionalFormatting>
  <conditionalFormatting sqref="L11">
    <cfRule type="expression" dxfId="220" priority="261">
      <formula>AND($D11&lt;&gt;"",K$5&lt;&gt;"")</formula>
    </cfRule>
  </conditionalFormatting>
  <conditionalFormatting sqref="K11">
    <cfRule type="expression" dxfId="219" priority="260">
      <formula>AND($D11&lt;&gt;"",K$5&lt;&gt;"")</formula>
    </cfRule>
  </conditionalFormatting>
  <conditionalFormatting sqref="L11">
    <cfRule type="expression" dxfId="218" priority="259">
      <formula>AND($D11&lt;&gt;"",K$5&lt;&gt;"")</formula>
    </cfRule>
  </conditionalFormatting>
  <conditionalFormatting sqref="G5:H5">
    <cfRule type="expression" dxfId="217" priority="256">
      <formula>E$5&lt;&gt;""</formula>
    </cfRule>
  </conditionalFormatting>
  <conditionalFormatting sqref="I5:R5">
    <cfRule type="expression" dxfId="216" priority="255">
      <formula>G$5&lt;&gt;""</formula>
    </cfRule>
  </conditionalFormatting>
  <conditionalFormatting sqref="G5:H5">
    <cfRule type="expression" dxfId="215" priority="254">
      <formula>E$5&lt;&gt;""</formula>
    </cfRule>
  </conditionalFormatting>
  <conditionalFormatting sqref="I5:R5">
    <cfRule type="expression" dxfId="214" priority="253">
      <formula>G$5&lt;&gt;""</formula>
    </cfRule>
  </conditionalFormatting>
  <conditionalFormatting sqref="W15">
    <cfRule type="expression" dxfId="213" priority="240">
      <formula>AND($D15&lt;&gt;"",W$5&lt;&gt;"")</formula>
    </cfRule>
  </conditionalFormatting>
  <conditionalFormatting sqref="X15">
    <cfRule type="expression" dxfId="212" priority="239">
      <formula>AND($D15&lt;&gt;"",W$5&lt;&gt;"")</formula>
    </cfRule>
  </conditionalFormatting>
  <conditionalFormatting sqref="I16">
    <cfRule type="expression" dxfId="211" priority="236">
      <formula>AND($D16&lt;&gt;"",I$5&lt;&gt;"")</formula>
    </cfRule>
  </conditionalFormatting>
  <conditionalFormatting sqref="J16">
    <cfRule type="expression" dxfId="210" priority="235">
      <formula>AND($D16&lt;&gt;"",I$5&lt;&gt;"")</formula>
    </cfRule>
  </conditionalFormatting>
  <conditionalFormatting sqref="M18 S18 Q18 O18">
    <cfRule type="expression" dxfId="209" priority="224">
      <formula>AND($D18&lt;&gt;"",M$5&lt;&gt;"")</formula>
    </cfRule>
  </conditionalFormatting>
  <conditionalFormatting sqref="N18 T18 R18 P18">
    <cfRule type="expression" dxfId="208" priority="223">
      <formula>AND($D18&lt;&gt;"",M$5&lt;&gt;"")</formula>
    </cfRule>
  </conditionalFormatting>
  <conditionalFormatting sqref="W19 U19">
    <cfRule type="expression" dxfId="207" priority="218">
      <formula>AND($D19&lt;&gt;"",U$5&lt;&gt;"")</formula>
    </cfRule>
  </conditionalFormatting>
  <conditionalFormatting sqref="X19 V19">
    <cfRule type="expression" dxfId="206" priority="217">
      <formula>AND($D19&lt;&gt;"",U$5&lt;&gt;"")</formula>
    </cfRule>
  </conditionalFormatting>
  <conditionalFormatting sqref="M22">
    <cfRule type="expression" dxfId="205" priority="204">
      <formula>AND($D22&lt;&gt;"",M$5&lt;&gt;"")</formula>
    </cfRule>
  </conditionalFormatting>
  <conditionalFormatting sqref="N22">
    <cfRule type="expression" dxfId="204" priority="203">
      <formula>AND($D22&lt;&gt;"",M$5&lt;&gt;"")</formula>
    </cfRule>
  </conditionalFormatting>
  <conditionalFormatting sqref="D7">
    <cfRule type="expression" dxfId="203" priority="202">
      <formula>$D6&lt;&gt;""</formula>
    </cfRule>
  </conditionalFormatting>
  <conditionalFormatting sqref="E7">
    <cfRule type="expression" dxfId="202" priority="201">
      <formula>AND($D7&lt;&gt;"",E$5&lt;&gt;"")</formula>
    </cfRule>
  </conditionalFormatting>
  <conditionalFormatting sqref="F7">
    <cfRule type="expression" dxfId="201" priority="200">
      <formula>AND($D7&lt;&gt;"",E$5&lt;&gt;"")</formula>
    </cfRule>
  </conditionalFormatting>
  <conditionalFormatting sqref="G7">
    <cfRule type="expression" dxfId="200" priority="199">
      <formula>AND($D7&lt;&gt;"",G$5&lt;&gt;"")</formula>
    </cfRule>
  </conditionalFormatting>
  <conditionalFormatting sqref="H7">
    <cfRule type="expression" dxfId="199" priority="198">
      <formula>AND($D7&lt;&gt;"",G$5&lt;&gt;"")</formula>
    </cfRule>
  </conditionalFormatting>
  <conditionalFormatting sqref="I7 O7 Q7 S7 U7 W7 K7 M7">
    <cfRule type="expression" dxfId="198" priority="197">
      <formula>AND($D7&lt;&gt;"",I$5&lt;&gt;"")</formula>
    </cfRule>
  </conditionalFormatting>
  <conditionalFormatting sqref="J7 P7 R7 T7 V7 X7 L7 N7">
    <cfRule type="expression" dxfId="197" priority="196">
      <formula>AND($D7&lt;&gt;"",I$5&lt;&gt;"")</formula>
    </cfRule>
  </conditionalFormatting>
  <conditionalFormatting sqref="M7">
    <cfRule type="expression" dxfId="196" priority="195">
      <formula>AND($D7&lt;&gt;"",M$5&lt;&gt;"")</formula>
    </cfRule>
  </conditionalFormatting>
  <conditionalFormatting sqref="N7">
    <cfRule type="expression" dxfId="195" priority="194">
      <formula>AND($D7&lt;&gt;"",M$5&lt;&gt;"")</formula>
    </cfRule>
  </conditionalFormatting>
  <conditionalFormatting sqref="D8">
    <cfRule type="expression" dxfId="194" priority="193">
      <formula>$D7&lt;&gt;""</formula>
    </cfRule>
  </conditionalFormatting>
  <conditionalFormatting sqref="E8">
    <cfRule type="expression" dxfId="193" priority="192">
      <formula>AND($D8&lt;&gt;"",E$5&lt;&gt;"")</formula>
    </cfRule>
  </conditionalFormatting>
  <conditionalFormatting sqref="F8">
    <cfRule type="expression" dxfId="192" priority="191">
      <formula>AND($D8&lt;&gt;"",E$5&lt;&gt;"")</formula>
    </cfRule>
  </conditionalFormatting>
  <conditionalFormatting sqref="G8">
    <cfRule type="expression" dxfId="191" priority="190">
      <formula>AND($D8&lt;&gt;"",G$5&lt;&gt;"")</formula>
    </cfRule>
  </conditionalFormatting>
  <conditionalFormatting sqref="H8">
    <cfRule type="expression" dxfId="190" priority="189">
      <formula>AND($D8&lt;&gt;"",G$5&lt;&gt;"")</formula>
    </cfRule>
  </conditionalFormatting>
  <conditionalFormatting sqref="I8 O8 Q8 S8 U8 W8 Y8 AA8 AC8 AE8 AG8 K8 M8">
    <cfRule type="expression" dxfId="189" priority="188">
      <formula>AND($D8&lt;&gt;"",I$5&lt;&gt;"")</formula>
    </cfRule>
  </conditionalFormatting>
  <conditionalFormatting sqref="J8 P8 R8 T8 V8 X8 Z8 AB8 AD8 AF8 AH8 L8 N8">
    <cfRule type="expression" dxfId="188" priority="187">
      <formula>AND($D8&lt;&gt;"",I$5&lt;&gt;"")</formula>
    </cfRule>
  </conditionalFormatting>
  <conditionalFormatting sqref="D9">
    <cfRule type="expression" dxfId="187" priority="186">
      <formula>$D8&lt;&gt;""</formula>
    </cfRule>
  </conditionalFormatting>
  <conditionalFormatting sqref="E9">
    <cfRule type="expression" dxfId="186" priority="185">
      <formula>AND($D9&lt;&gt;"",E$5&lt;&gt;"")</formula>
    </cfRule>
  </conditionalFormatting>
  <conditionalFormatting sqref="F9">
    <cfRule type="expression" dxfId="185" priority="184">
      <formula>AND($D9&lt;&gt;"",E$5&lt;&gt;"")</formula>
    </cfRule>
  </conditionalFormatting>
  <conditionalFormatting sqref="G9">
    <cfRule type="expression" dxfId="184" priority="183">
      <formula>AND($D9&lt;&gt;"",G$5&lt;&gt;"")</formula>
    </cfRule>
  </conditionalFormatting>
  <conditionalFormatting sqref="H9">
    <cfRule type="expression" dxfId="183" priority="182">
      <formula>AND($D9&lt;&gt;"",G$5&lt;&gt;"")</formula>
    </cfRule>
  </conditionalFormatting>
  <conditionalFormatting sqref="I9">
    <cfRule type="expression" dxfId="182" priority="181">
      <formula>AND($D9&lt;&gt;"",I$5&lt;&gt;"")</formula>
    </cfRule>
  </conditionalFormatting>
  <conditionalFormatting sqref="J9">
    <cfRule type="expression" dxfId="181" priority="180">
      <formula>AND($D9&lt;&gt;"",I$5&lt;&gt;"")</formula>
    </cfRule>
  </conditionalFormatting>
  <conditionalFormatting sqref="D10">
    <cfRule type="expression" dxfId="180" priority="179">
      <formula>$D9&lt;&gt;""</formula>
    </cfRule>
  </conditionalFormatting>
  <conditionalFormatting sqref="E10">
    <cfRule type="expression" dxfId="179" priority="178">
      <formula>AND($D10&lt;&gt;"",E$5&lt;&gt;"")</formula>
    </cfRule>
  </conditionalFormatting>
  <conditionalFormatting sqref="F10">
    <cfRule type="expression" dxfId="178" priority="177">
      <formula>AND($D10&lt;&gt;"",E$5&lt;&gt;"")</formula>
    </cfRule>
  </conditionalFormatting>
  <conditionalFormatting sqref="G10">
    <cfRule type="expression" dxfId="177" priority="176">
      <formula>AND($D10&lt;&gt;"",G$5&lt;&gt;"")</formula>
    </cfRule>
  </conditionalFormatting>
  <conditionalFormatting sqref="H10">
    <cfRule type="expression" dxfId="176" priority="175">
      <formula>AND($D10&lt;&gt;"",G$5&lt;&gt;"")</formula>
    </cfRule>
  </conditionalFormatting>
  <conditionalFormatting sqref="I10">
    <cfRule type="expression" dxfId="175" priority="174">
      <formula>AND($D10&lt;&gt;"",I$5&lt;&gt;"")</formula>
    </cfRule>
  </conditionalFormatting>
  <conditionalFormatting sqref="J10">
    <cfRule type="expression" dxfId="174" priority="173">
      <formula>AND($D10&lt;&gt;"",I$5&lt;&gt;"")</formula>
    </cfRule>
  </conditionalFormatting>
  <conditionalFormatting sqref="D11">
    <cfRule type="expression" dxfId="173" priority="172">
      <formula>$D10&lt;&gt;""</formula>
    </cfRule>
  </conditionalFormatting>
  <conditionalFormatting sqref="E11">
    <cfRule type="expression" dxfId="172" priority="171">
      <formula>AND($D11&lt;&gt;"",E$5&lt;&gt;"")</formula>
    </cfRule>
  </conditionalFormatting>
  <conditionalFormatting sqref="F11">
    <cfRule type="expression" dxfId="171" priority="170">
      <formula>AND($D11&lt;&gt;"",E$5&lt;&gt;"")</formula>
    </cfRule>
  </conditionalFormatting>
  <conditionalFormatting sqref="G11">
    <cfRule type="expression" dxfId="170" priority="169">
      <formula>AND($D11&lt;&gt;"",G$5&lt;&gt;"")</formula>
    </cfRule>
  </conditionalFormatting>
  <conditionalFormatting sqref="H11">
    <cfRule type="expression" dxfId="169" priority="168">
      <formula>AND($D11&lt;&gt;"",G$5&lt;&gt;"")</formula>
    </cfRule>
  </conditionalFormatting>
  <conditionalFormatting sqref="I11">
    <cfRule type="expression" dxfId="168" priority="167">
      <formula>AND($D11&lt;&gt;"",I$5&lt;&gt;"")</formula>
    </cfRule>
  </conditionalFormatting>
  <conditionalFormatting sqref="J11">
    <cfRule type="expression" dxfId="167" priority="166">
      <formula>AND($D11&lt;&gt;"",I$5&lt;&gt;"")</formula>
    </cfRule>
  </conditionalFormatting>
  <conditionalFormatting sqref="D12">
    <cfRule type="expression" dxfId="166" priority="165">
      <formula>$D11&lt;&gt;""</formula>
    </cfRule>
  </conditionalFormatting>
  <conditionalFormatting sqref="E12">
    <cfRule type="expression" dxfId="165" priority="164">
      <formula>AND($D12&lt;&gt;"",E$5&lt;&gt;"")</formula>
    </cfRule>
  </conditionalFormatting>
  <conditionalFormatting sqref="F12">
    <cfRule type="expression" dxfId="164" priority="163">
      <formula>AND($D12&lt;&gt;"",E$5&lt;&gt;"")</formula>
    </cfRule>
  </conditionalFormatting>
  <conditionalFormatting sqref="G12">
    <cfRule type="expression" dxfId="163" priority="162">
      <formula>AND($D12&lt;&gt;"",G$5&lt;&gt;"")</formula>
    </cfRule>
  </conditionalFormatting>
  <conditionalFormatting sqref="H12">
    <cfRule type="expression" dxfId="162" priority="161">
      <formula>AND($D12&lt;&gt;"",G$5&lt;&gt;"")</formula>
    </cfRule>
  </conditionalFormatting>
  <conditionalFormatting sqref="I12 K12 M12 S12 Q12 O12">
    <cfRule type="expression" dxfId="161" priority="160">
      <formula>AND($D12&lt;&gt;"",I$5&lt;&gt;"")</formula>
    </cfRule>
  </conditionalFormatting>
  <conditionalFormatting sqref="J12 L12 N12 T12 R12 P12">
    <cfRule type="expression" dxfId="160" priority="159">
      <formula>AND($D12&lt;&gt;"",I$5&lt;&gt;"")</formula>
    </cfRule>
  </conditionalFormatting>
  <conditionalFormatting sqref="D13">
    <cfRule type="expression" dxfId="159" priority="158">
      <formula>$D12&lt;&gt;""</formula>
    </cfRule>
  </conditionalFormatting>
  <conditionalFormatting sqref="E13">
    <cfRule type="expression" dxfId="158" priority="157">
      <formula>AND($D13&lt;&gt;"",E$5&lt;&gt;"")</formula>
    </cfRule>
  </conditionalFormatting>
  <conditionalFormatting sqref="F13">
    <cfRule type="expression" dxfId="157" priority="156">
      <formula>AND($D13&lt;&gt;"",E$5&lt;&gt;"")</formula>
    </cfRule>
  </conditionalFormatting>
  <conditionalFormatting sqref="G13">
    <cfRule type="expression" dxfId="156" priority="155">
      <formula>AND($D13&lt;&gt;"",G$5&lt;&gt;"")</formula>
    </cfRule>
  </conditionalFormatting>
  <conditionalFormatting sqref="H13">
    <cfRule type="expression" dxfId="155" priority="154">
      <formula>AND($D13&lt;&gt;"",G$5&lt;&gt;"")</formula>
    </cfRule>
  </conditionalFormatting>
  <conditionalFormatting sqref="I13 K13 M13">
    <cfRule type="expression" dxfId="154" priority="153">
      <formula>AND($D13&lt;&gt;"",I$5&lt;&gt;"")</formula>
    </cfRule>
  </conditionalFormatting>
  <conditionalFormatting sqref="J13 L13 N13">
    <cfRule type="expression" dxfId="153" priority="152">
      <formula>AND($D13&lt;&gt;"",I$5&lt;&gt;"")</formula>
    </cfRule>
  </conditionalFormatting>
  <conditionalFormatting sqref="D14">
    <cfRule type="expression" dxfId="152" priority="151">
      <formula>$D13&lt;&gt;""</formula>
    </cfRule>
  </conditionalFormatting>
  <conditionalFormatting sqref="E14">
    <cfRule type="expression" dxfId="151" priority="150">
      <formula>AND($D14&lt;&gt;"",E$5&lt;&gt;"")</formula>
    </cfRule>
  </conditionalFormatting>
  <conditionalFormatting sqref="F14">
    <cfRule type="expression" dxfId="150" priority="149">
      <formula>AND($D14&lt;&gt;"",E$5&lt;&gt;"")</formula>
    </cfRule>
  </conditionalFormatting>
  <conditionalFormatting sqref="G14">
    <cfRule type="expression" dxfId="149" priority="148">
      <formula>AND($D14&lt;&gt;"",G$5&lt;&gt;"")</formula>
    </cfRule>
  </conditionalFormatting>
  <conditionalFormatting sqref="H14">
    <cfRule type="expression" dxfId="148" priority="147">
      <formula>AND($D14&lt;&gt;"",G$5&lt;&gt;"")</formula>
    </cfRule>
  </conditionalFormatting>
  <conditionalFormatting sqref="I14 K14 M14 S14 Q14 O14 W14 U14">
    <cfRule type="expression" dxfId="147" priority="146">
      <formula>AND($D14&lt;&gt;"",I$5&lt;&gt;"")</formula>
    </cfRule>
  </conditionalFormatting>
  <conditionalFormatting sqref="J14 L14 N14 T14 R14 P14 X14 V14">
    <cfRule type="expression" dxfId="146" priority="145">
      <formula>AND($D14&lt;&gt;"",I$5&lt;&gt;"")</formula>
    </cfRule>
  </conditionalFormatting>
  <conditionalFormatting sqref="D15">
    <cfRule type="expression" dxfId="145" priority="144">
      <formula>$D14&lt;&gt;""</formula>
    </cfRule>
  </conditionalFormatting>
  <conditionalFormatting sqref="E15">
    <cfRule type="expression" dxfId="144" priority="143">
      <formula>AND($D15&lt;&gt;"",E$5&lt;&gt;"")</formula>
    </cfRule>
  </conditionalFormatting>
  <conditionalFormatting sqref="F15">
    <cfRule type="expression" dxfId="143" priority="142">
      <formula>AND($D15&lt;&gt;"",E$5&lt;&gt;"")</formula>
    </cfRule>
  </conditionalFormatting>
  <conditionalFormatting sqref="G15">
    <cfRule type="expression" dxfId="142" priority="141">
      <formula>AND($D15&lt;&gt;"",G$5&lt;&gt;"")</formula>
    </cfRule>
  </conditionalFormatting>
  <conditionalFormatting sqref="H15">
    <cfRule type="expression" dxfId="141" priority="140">
      <formula>AND($D15&lt;&gt;"",G$5&lt;&gt;"")</formula>
    </cfRule>
  </conditionalFormatting>
  <conditionalFormatting sqref="I15 K15 M15 Q15 O15">
    <cfRule type="expression" dxfId="140" priority="139">
      <formula>AND($D15&lt;&gt;"",I$5&lt;&gt;"")</formula>
    </cfRule>
  </conditionalFormatting>
  <conditionalFormatting sqref="J15 L15 N15 R15 P15">
    <cfRule type="expression" dxfId="139" priority="138">
      <formula>AND($D15&lt;&gt;"",I$5&lt;&gt;"")</formula>
    </cfRule>
  </conditionalFormatting>
  <conditionalFormatting sqref="D16">
    <cfRule type="expression" dxfId="138" priority="137">
      <formula>$D15&lt;&gt;""</formula>
    </cfRule>
  </conditionalFormatting>
  <conditionalFormatting sqref="E16">
    <cfRule type="expression" dxfId="137" priority="136">
      <formula>AND($D16&lt;&gt;"",E$5&lt;&gt;"")</formula>
    </cfRule>
  </conditionalFormatting>
  <conditionalFormatting sqref="F16">
    <cfRule type="expression" dxfId="136" priority="135">
      <formula>AND($D16&lt;&gt;"",E$5&lt;&gt;"")</formula>
    </cfRule>
  </conditionalFormatting>
  <conditionalFormatting sqref="G16">
    <cfRule type="expression" dxfId="135" priority="134">
      <formula>AND($D16&lt;&gt;"",G$5&lt;&gt;"")</formula>
    </cfRule>
  </conditionalFormatting>
  <conditionalFormatting sqref="H16">
    <cfRule type="expression" dxfId="134" priority="133">
      <formula>AND($D16&lt;&gt;"",G$5&lt;&gt;"")</formula>
    </cfRule>
  </conditionalFormatting>
  <conditionalFormatting sqref="E17">
    <cfRule type="expression" dxfId="133" priority="132">
      <formula>AND($D17&lt;&gt;"",E$5&lt;&gt;"")</formula>
    </cfRule>
  </conditionalFormatting>
  <conditionalFormatting sqref="F17">
    <cfRule type="expression" dxfId="132" priority="131">
      <formula>AND($D17&lt;&gt;"",E$5&lt;&gt;"")</formula>
    </cfRule>
  </conditionalFormatting>
  <conditionalFormatting sqref="G17">
    <cfRule type="expression" dxfId="131" priority="130">
      <formula>AND($D17&lt;&gt;"",G$5&lt;&gt;"")</formula>
    </cfRule>
  </conditionalFormatting>
  <conditionalFormatting sqref="H17">
    <cfRule type="expression" dxfId="130" priority="129">
      <formula>AND($D17&lt;&gt;"",G$5&lt;&gt;"")</formula>
    </cfRule>
  </conditionalFormatting>
  <conditionalFormatting sqref="I17">
    <cfRule type="expression" dxfId="129" priority="128">
      <formula>AND($D17&lt;&gt;"",I$5&lt;&gt;"")</formula>
    </cfRule>
  </conditionalFormatting>
  <conditionalFormatting sqref="J17">
    <cfRule type="expression" dxfId="128" priority="127">
      <formula>AND($D17&lt;&gt;"",I$5&lt;&gt;"")</formula>
    </cfRule>
  </conditionalFormatting>
  <conditionalFormatting sqref="D18">
    <cfRule type="expression" dxfId="127" priority="126">
      <formula>$D17&lt;&gt;""</formula>
    </cfRule>
  </conditionalFormatting>
  <conditionalFormatting sqref="E18">
    <cfRule type="expression" dxfId="126" priority="125">
      <formula>AND($D18&lt;&gt;"",E$5&lt;&gt;"")</formula>
    </cfRule>
  </conditionalFormatting>
  <conditionalFormatting sqref="F18">
    <cfRule type="expression" dxfId="125" priority="124">
      <formula>AND($D18&lt;&gt;"",E$5&lt;&gt;"")</formula>
    </cfRule>
  </conditionalFormatting>
  <conditionalFormatting sqref="G18">
    <cfRule type="expression" dxfId="124" priority="123">
      <formula>AND($D18&lt;&gt;"",G$5&lt;&gt;"")</formula>
    </cfRule>
  </conditionalFormatting>
  <conditionalFormatting sqref="H18">
    <cfRule type="expression" dxfId="123" priority="122">
      <formula>AND($D18&lt;&gt;"",G$5&lt;&gt;"")</formula>
    </cfRule>
  </conditionalFormatting>
  <conditionalFormatting sqref="K18 I18">
    <cfRule type="expression" dxfId="122" priority="121">
      <formula>AND($D18&lt;&gt;"",I$5&lt;&gt;"")</formula>
    </cfRule>
  </conditionalFormatting>
  <conditionalFormatting sqref="L18 J18">
    <cfRule type="expression" dxfId="121" priority="120">
      <formula>AND($D18&lt;&gt;"",I$5&lt;&gt;"")</formula>
    </cfRule>
  </conditionalFormatting>
  <conditionalFormatting sqref="D19">
    <cfRule type="expression" dxfId="120" priority="119">
      <formula>$D18&lt;&gt;""</formula>
    </cfRule>
  </conditionalFormatting>
  <conditionalFormatting sqref="E19">
    <cfRule type="expression" dxfId="119" priority="118">
      <formula>AND($D19&lt;&gt;"",E$5&lt;&gt;"")</formula>
    </cfRule>
  </conditionalFormatting>
  <conditionalFormatting sqref="F19">
    <cfRule type="expression" dxfId="118" priority="117">
      <formula>AND($D19&lt;&gt;"",E$5&lt;&gt;"")</formula>
    </cfRule>
  </conditionalFormatting>
  <conditionalFormatting sqref="G19">
    <cfRule type="expression" dxfId="117" priority="116">
      <formula>AND($D19&lt;&gt;"",G$5&lt;&gt;"")</formula>
    </cfRule>
  </conditionalFormatting>
  <conditionalFormatting sqref="H19">
    <cfRule type="expression" dxfId="116" priority="115">
      <formula>AND($D19&lt;&gt;"",G$5&lt;&gt;"")</formula>
    </cfRule>
  </conditionalFormatting>
  <conditionalFormatting sqref="I19 K19 M19 S19 Q19 O19">
    <cfRule type="expression" dxfId="115" priority="114">
      <formula>AND($D19&lt;&gt;"",I$5&lt;&gt;"")</formula>
    </cfRule>
  </conditionalFormatting>
  <conditionalFormatting sqref="J19 L19 N19 T19 R19 P19">
    <cfRule type="expression" dxfId="114" priority="113">
      <formula>AND($D19&lt;&gt;"",I$5&lt;&gt;"")</formula>
    </cfRule>
  </conditionalFormatting>
  <conditionalFormatting sqref="D20">
    <cfRule type="expression" dxfId="113" priority="112">
      <formula>$D19&lt;&gt;""</formula>
    </cfRule>
  </conditionalFormatting>
  <conditionalFormatting sqref="E20">
    <cfRule type="expression" dxfId="112" priority="111">
      <formula>AND($D20&lt;&gt;"",E$5&lt;&gt;"")</formula>
    </cfRule>
  </conditionalFormatting>
  <conditionalFormatting sqref="F20">
    <cfRule type="expression" dxfId="111" priority="110">
      <formula>AND($D20&lt;&gt;"",E$5&lt;&gt;"")</formula>
    </cfRule>
  </conditionalFormatting>
  <conditionalFormatting sqref="G20">
    <cfRule type="expression" dxfId="110" priority="109">
      <formula>AND($D20&lt;&gt;"",G$5&lt;&gt;"")</formula>
    </cfRule>
  </conditionalFormatting>
  <conditionalFormatting sqref="H20">
    <cfRule type="expression" dxfId="109" priority="108">
      <formula>AND($D20&lt;&gt;"",G$5&lt;&gt;"")</formula>
    </cfRule>
  </conditionalFormatting>
  <conditionalFormatting sqref="I20 K20 M20 S20 Q20 O20 W20 U20">
    <cfRule type="expression" dxfId="108" priority="107">
      <formula>AND($D20&lt;&gt;"",I$5&lt;&gt;"")</formula>
    </cfRule>
  </conditionalFormatting>
  <conditionalFormatting sqref="J20 L20 N20 T20 R20 P20 X20 V20">
    <cfRule type="expression" dxfId="107" priority="106">
      <formula>AND($D20&lt;&gt;"",I$5&lt;&gt;"")</formula>
    </cfRule>
  </conditionalFormatting>
  <conditionalFormatting sqref="D21">
    <cfRule type="expression" dxfId="106" priority="105">
      <formula>$D20&lt;&gt;""</formula>
    </cfRule>
  </conditionalFormatting>
  <conditionalFormatting sqref="E21">
    <cfRule type="expression" dxfId="105" priority="104">
      <formula>AND($D21&lt;&gt;"",E$5&lt;&gt;"")</formula>
    </cfRule>
  </conditionalFormatting>
  <conditionalFormatting sqref="F21">
    <cfRule type="expression" dxfId="104" priority="103">
      <formula>AND($D21&lt;&gt;"",E$5&lt;&gt;"")</formula>
    </cfRule>
  </conditionalFormatting>
  <conditionalFormatting sqref="G21">
    <cfRule type="expression" dxfId="103" priority="102">
      <formula>AND($D21&lt;&gt;"",G$5&lt;&gt;"")</formula>
    </cfRule>
  </conditionalFormatting>
  <conditionalFormatting sqref="H21">
    <cfRule type="expression" dxfId="102" priority="101">
      <formula>AND($D21&lt;&gt;"",G$5&lt;&gt;"")</formula>
    </cfRule>
  </conditionalFormatting>
  <conditionalFormatting sqref="I21 K21 M21 S21 Q21 O21">
    <cfRule type="expression" dxfId="101" priority="100">
      <formula>AND($D21&lt;&gt;"",I$5&lt;&gt;"")</formula>
    </cfRule>
  </conditionalFormatting>
  <conditionalFormatting sqref="J21 L21 N21 T21 R21 P21">
    <cfRule type="expression" dxfId="100" priority="99">
      <formula>AND($D21&lt;&gt;"",I$5&lt;&gt;"")</formula>
    </cfRule>
  </conditionalFormatting>
  <conditionalFormatting sqref="D22">
    <cfRule type="expression" dxfId="99" priority="98">
      <formula>$D21&lt;&gt;""</formula>
    </cfRule>
  </conditionalFormatting>
  <conditionalFormatting sqref="E22">
    <cfRule type="expression" dxfId="98" priority="97">
      <formula>AND($D22&lt;&gt;"",E$5&lt;&gt;"")</formula>
    </cfRule>
  </conditionalFormatting>
  <conditionalFormatting sqref="F22">
    <cfRule type="expression" dxfId="97" priority="96">
      <formula>AND($D22&lt;&gt;"",E$5&lt;&gt;"")</formula>
    </cfRule>
  </conditionalFormatting>
  <conditionalFormatting sqref="G22">
    <cfRule type="expression" dxfId="96" priority="95">
      <formula>AND($D22&lt;&gt;"",G$5&lt;&gt;"")</formula>
    </cfRule>
  </conditionalFormatting>
  <conditionalFormatting sqref="H22">
    <cfRule type="expression" dxfId="95" priority="94">
      <formula>AND($D22&lt;&gt;"",G$5&lt;&gt;"")</formula>
    </cfRule>
  </conditionalFormatting>
  <conditionalFormatting sqref="I22 K22">
    <cfRule type="expression" dxfId="94" priority="93">
      <formula>AND($D22&lt;&gt;"",I$5&lt;&gt;"")</formula>
    </cfRule>
  </conditionalFormatting>
  <conditionalFormatting sqref="J22 L22">
    <cfRule type="expression" dxfId="93" priority="92">
      <formula>AND($D22&lt;&gt;"",I$5&lt;&gt;"")</formula>
    </cfRule>
  </conditionalFormatting>
  <conditionalFormatting sqref="D23">
    <cfRule type="expression" dxfId="92" priority="91">
      <formula>$D22&lt;&gt;""</formula>
    </cfRule>
  </conditionalFormatting>
  <conditionalFormatting sqref="E23">
    <cfRule type="expression" dxfId="91" priority="90">
      <formula>AND($D23&lt;&gt;"",E$5&lt;&gt;"")</formula>
    </cfRule>
  </conditionalFormatting>
  <conditionalFormatting sqref="F23">
    <cfRule type="expression" dxfId="90" priority="89">
      <formula>AND($D23&lt;&gt;"",E$5&lt;&gt;"")</formula>
    </cfRule>
  </conditionalFormatting>
  <conditionalFormatting sqref="G23">
    <cfRule type="expression" dxfId="89" priority="88">
      <formula>AND($D23&lt;&gt;"",G$5&lt;&gt;"")</formula>
    </cfRule>
  </conditionalFormatting>
  <conditionalFormatting sqref="H23">
    <cfRule type="expression" dxfId="88" priority="87">
      <formula>AND($D23&lt;&gt;"",G$5&lt;&gt;"")</formula>
    </cfRule>
  </conditionalFormatting>
  <conditionalFormatting sqref="D24">
    <cfRule type="expression" dxfId="87" priority="86">
      <formula>$D23&lt;&gt;""</formula>
    </cfRule>
  </conditionalFormatting>
  <conditionalFormatting sqref="E24">
    <cfRule type="expression" dxfId="86" priority="85">
      <formula>AND($D24&lt;&gt;"",E$5&lt;&gt;"")</formula>
    </cfRule>
  </conditionalFormatting>
  <conditionalFormatting sqref="F24">
    <cfRule type="expression" dxfId="85" priority="84">
      <formula>AND($D24&lt;&gt;"",E$5&lt;&gt;"")</formula>
    </cfRule>
  </conditionalFormatting>
  <conditionalFormatting sqref="G24">
    <cfRule type="expression" dxfId="84" priority="83">
      <formula>AND($D24&lt;&gt;"",G$5&lt;&gt;"")</formula>
    </cfRule>
  </conditionalFormatting>
  <conditionalFormatting sqref="H24">
    <cfRule type="expression" dxfId="83" priority="82">
      <formula>AND($D24&lt;&gt;"",G$5&lt;&gt;"")</formula>
    </cfRule>
  </conditionalFormatting>
  <conditionalFormatting sqref="D25">
    <cfRule type="expression" dxfId="82" priority="81">
      <formula>$D24&lt;&gt;""</formula>
    </cfRule>
  </conditionalFormatting>
  <conditionalFormatting sqref="E25">
    <cfRule type="expression" dxfId="81" priority="80">
      <formula>AND($D25&lt;&gt;"",E$5&lt;&gt;"")</formula>
    </cfRule>
  </conditionalFormatting>
  <conditionalFormatting sqref="F25">
    <cfRule type="expression" dxfId="80" priority="79">
      <formula>AND($D25&lt;&gt;"",E$5&lt;&gt;"")</formula>
    </cfRule>
  </conditionalFormatting>
  <conditionalFormatting sqref="G25">
    <cfRule type="expression" dxfId="79" priority="78">
      <formula>AND($D25&lt;&gt;"",G$5&lt;&gt;"")</formula>
    </cfRule>
  </conditionalFormatting>
  <conditionalFormatting sqref="H25">
    <cfRule type="expression" dxfId="78" priority="77">
      <formula>AND($D25&lt;&gt;"",G$5&lt;&gt;"")</formula>
    </cfRule>
  </conditionalFormatting>
  <conditionalFormatting sqref="I25 K25 M25 S25 Q25 O25 U25">
    <cfRule type="expression" dxfId="77" priority="76">
      <formula>AND($D25&lt;&gt;"",I$5&lt;&gt;"")</formula>
    </cfRule>
  </conditionalFormatting>
  <conditionalFormatting sqref="J25 L25 N25 T25 R25 P25 V25">
    <cfRule type="expression" dxfId="76" priority="75">
      <formula>AND($D25&lt;&gt;"",I$5&lt;&gt;"")</formula>
    </cfRule>
  </conditionalFormatting>
  <conditionalFormatting sqref="D26">
    <cfRule type="expression" dxfId="75" priority="74">
      <formula>$D25&lt;&gt;""</formula>
    </cfRule>
  </conditionalFormatting>
  <conditionalFormatting sqref="E26">
    <cfRule type="expression" dxfId="74" priority="73">
      <formula>AND($D26&lt;&gt;"",E$5&lt;&gt;"")</formula>
    </cfRule>
  </conditionalFormatting>
  <conditionalFormatting sqref="F26">
    <cfRule type="expression" dxfId="73" priority="72">
      <formula>AND($D26&lt;&gt;"",E$5&lt;&gt;"")</formula>
    </cfRule>
  </conditionalFormatting>
  <conditionalFormatting sqref="G26">
    <cfRule type="expression" dxfId="72" priority="71">
      <formula>AND($D26&lt;&gt;"",G$5&lt;&gt;"")</formula>
    </cfRule>
  </conditionalFormatting>
  <conditionalFormatting sqref="H26">
    <cfRule type="expression" dxfId="71" priority="70">
      <formula>AND($D26&lt;&gt;"",G$5&lt;&gt;"")</formula>
    </cfRule>
  </conditionalFormatting>
  <conditionalFormatting sqref="I26 K26 M26 O26">
    <cfRule type="expression" dxfId="70" priority="69">
      <formula>AND($D26&lt;&gt;"",I$5&lt;&gt;"")</formula>
    </cfRule>
  </conditionalFormatting>
  <conditionalFormatting sqref="J26 L26 N26 P26">
    <cfRule type="expression" dxfId="69" priority="68">
      <formula>AND($D26&lt;&gt;"",I$5&lt;&gt;"")</formula>
    </cfRule>
  </conditionalFormatting>
  <conditionalFormatting sqref="D27">
    <cfRule type="expression" dxfId="68" priority="67">
      <formula>$D26&lt;&gt;""</formula>
    </cfRule>
  </conditionalFormatting>
  <conditionalFormatting sqref="E27">
    <cfRule type="expression" dxfId="67" priority="66">
      <formula>AND($D27&lt;&gt;"",E$5&lt;&gt;"")</formula>
    </cfRule>
  </conditionalFormatting>
  <conditionalFormatting sqref="F27">
    <cfRule type="expression" dxfId="66" priority="65">
      <formula>AND($D27&lt;&gt;"",E$5&lt;&gt;"")</formula>
    </cfRule>
  </conditionalFormatting>
  <conditionalFormatting sqref="G27">
    <cfRule type="expression" dxfId="65" priority="64">
      <formula>AND($D27&lt;&gt;"",G$5&lt;&gt;"")</formula>
    </cfRule>
  </conditionalFormatting>
  <conditionalFormatting sqref="H27">
    <cfRule type="expression" dxfId="64" priority="63">
      <formula>AND($D27&lt;&gt;"",G$5&lt;&gt;"")</formula>
    </cfRule>
  </conditionalFormatting>
  <conditionalFormatting sqref="I27 K27 M27 S27 Q27 O27 W27 U27">
    <cfRule type="expression" dxfId="63" priority="62">
      <formula>AND($D27&lt;&gt;"",I$5&lt;&gt;"")</formula>
    </cfRule>
  </conditionalFormatting>
  <conditionalFormatting sqref="J27 L27 N27 T27 R27 P27 X27 V27">
    <cfRule type="expression" dxfId="62" priority="61">
      <formula>AND($D27&lt;&gt;"",I$5&lt;&gt;"")</formula>
    </cfRule>
  </conditionalFormatting>
  <conditionalFormatting sqref="D28">
    <cfRule type="expression" dxfId="61" priority="60">
      <formula>$D27&lt;&gt;""</formula>
    </cfRule>
  </conditionalFormatting>
  <conditionalFormatting sqref="E28">
    <cfRule type="expression" dxfId="60" priority="59">
      <formula>AND($D28&lt;&gt;"",E$5&lt;&gt;"")</formula>
    </cfRule>
  </conditionalFormatting>
  <conditionalFormatting sqref="F28">
    <cfRule type="expression" dxfId="59" priority="58">
      <formula>AND($D28&lt;&gt;"",E$5&lt;&gt;"")</formula>
    </cfRule>
  </conditionalFormatting>
  <conditionalFormatting sqref="G28">
    <cfRule type="expression" dxfId="58" priority="57">
      <formula>AND($D28&lt;&gt;"",G$5&lt;&gt;"")</formula>
    </cfRule>
  </conditionalFormatting>
  <conditionalFormatting sqref="H28">
    <cfRule type="expression" dxfId="57" priority="56">
      <formula>AND($D28&lt;&gt;"",G$5&lt;&gt;"")</formula>
    </cfRule>
  </conditionalFormatting>
  <conditionalFormatting sqref="D29">
    <cfRule type="expression" dxfId="56" priority="55">
      <formula>$D28&lt;&gt;""</formula>
    </cfRule>
  </conditionalFormatting>
  <conditionalFormatting sqref="E29">
    <cfRule type="expression" dxfId="55" priority="54">
      <formula>AND($D29&lt;&gt;"",E$5&lt;&gt;"")</formula>
    </cfRule>
  </conditionalFormatting>
  <conditionalFormatting sqref="F29">
    <cfRule type="expression" dxfId="54" priority="53">
      <formula>AND($D29&lt;&gt;"",E$5&lt;&gt;"")</formula>
    </cfRule>
  </conditionalFormatting>
  <conditionalFormatting sqref="G29">
    <cfRule type="expression" dxfId="53" priority="52">
      <formula>AND($D29&lt;&gt;"",G$5&lt;&gt;"")</formula>
    </cfRule>
  </conditionalFormatting>
  <conditionalFormatting sqref="H29">
    <cfRule type="expression" dxfId="52" priority="51">
      <formula>AND($D29&lt;&gt;"",G$5&lt;&gt;"")</formula>
    </cfRule>
  </conditionalFormatting>
  <conditionalFormatting sqref="D30">
    <cfRule type="expression" dxfId="51" priority="50">
      <formula>$D29&lt;&gt;""</formula>
    </cfRule>
  </conditionalFormatting>
  <conditionalFormatting sqref="E30">
    <cfRule type="expression" dxfId="50" priority="49">
      <formula>AND($D30&lt;&gt;"",E$5&lt;&gt;"")</formula>
    </cfRule>
  </conditionalFormatting>
  <conditionalFormatting sqref="F30">
    <cfRule type="expression" dxfId="49" priority="48">
      <formula>AND($D30&lt;&gt;"",E$5&lt;&gt;"")</formula>
    </cfRule>
  </conditionalFormatting>
  <conditionalFormatting sqref="G30">
    <cfRule type="expression" dxfId="48" priority="47">
      <formula>AND($D30&lt;&gt;"",G$5&lt;&gt;"")</formula>
    </cfRule>
  </conditionalFormatting>
  <conditionalFormatting sqref="H30">
    <cfRule type="expression" dxfId="47" priority="46">
      <formula>AND($D30&lt;&gt;"",G$5&lt;&gt;"")</formula>
    </cfRule>
  </conditionalFormatting>
  <conditionalFormatting sqref="I30 K30 M30 S30 Q30 O30 U30">
    <cfRule type="expression" dxfId="46" priority="45">
      <formula>AND($D30&lt;&gt;"",I$5&lt;&gt;"")</formula>
    </cfRule>
  </conditionalFormatting>
  <conditionalFormatting sqref="J30 L30 N30 T30 R30 P30 V30">
    <cfRule type="expression" dxfId="45" priority="44">
      <formula>AND($D30&lt;&gt;"",I$5&lt;&gt;"")</formula>
    </cfRule>
  </conditionalFormatting>
  <conditionalFormatting sqref="D31">
    <cfRule type="expression" dxfId="44" priority="43">
      <formula>$D30&lt;&gt;""</formula>
    </cfRule>
  </conditionalFormatting>
  <conditionalFormatting sqref="E31">
    <cfRule type="expression" dxfId="43" priority="42">
      <formula>AND($D31&lt;&gt;"",E$5&lt;&gt;"")</formula>
    </cfRule>
  </conditionalFormatting>
  <conditionalFormatting sqref="F31">
    <cfRule type="expression" dxfId="42" priority="41">
      <formula>AND($D31&lt;&gt;"",E$5&lt;&gt;"")</formula>
    </cfRule>
  </conditionalFormatting>
  <conditionalFormatting sqref="G31">
    <cfRule type="expression" dxfId="41" priority="40">
      <formula>AND($D31&lt;&gt;"",G$5&lt;&gt;"")</formula>
    </cfRule>
  </conditionalFormatting>
  <conditionalFormatting sqref="H31">
    <cfRule type="expression" dxfId="40" priority="39">
      <formula>AND($D31&lt;&gt;"",G$5&lt;&gt;"")</formula>
    </cfRule>
  </conditionalFormatting>
  <conditionalFormatting sqref="I31 K31 M31 O31">
    <cfRule type="expression" dxfId="39" priority="38">
      <formula>AND($D31&lt;&gt;"",I$5&lt;&gt;"")</formula>
    </cfRule>
  </conditionalFormatting>
  <conditionalFormatting sqref="J31 L31 N31 P31">
    <cfRule type="expression" dxfId="38" priority="37">
      <formula>AND($D31&lt;&gt;"",I$5&lt;&gt;"")</formula>
    </cfRule>
  </conditionalFormatting>
  <conditionalFormatting sqref="D32">
    <cfRule type="expression" dxfId="37" priority="36">
      <formula>$D31&lt;&gt;""</formula>
    </cfRule>
  </conditionalFormatting>
  <conditionalFormatting sqref="E32">
    <cfRule type="expression" dxfId="36" priority="35">
      <formula>AND($D32&lt;&gt;"",E$5&lt;&gt;"")</formula>
    </cfRule>
  </conditionalFormatting>
  <conditionalFormatting sqref="F32">
    <cfRule type="expression" dxfId="35" priority="34">
      <formula>AND($D32&lt;&gt;"",E$5&lt;&gt;"")</formula>
    </cfRule>
  </conditionalFormatting>
  <conditionalFormatting sqref="G32">
    <cfRule type="expression" dxfId="34" priority="33">
      <formula>AND($D32&lt;&gt;"",G$5&lt;&gt;"")</formula>
    </cfRule>
  </conditionalFormatting>
  <conditionalFormatting sqref="H32">
    <cfRule type="expression" dxfId="33" priority="32">
      <formula>AND($D32&lt;&gt;"",G$5&lt;&gt;"")</formula>
    </cfRule>
  </conditionalFormatting>
  <conditionalFormatting sqref="D33">
    <cfRule type="expression" dxfId="32" priority="31">
      <formula>$D32&lt;&gt;""</formula>
    </cfRule>
  </conditionalFormatting>
  <conditionalFormatting sqref="E33">
    <cfRule type="expression" dxfId="31" priority="30">
      <formula>AND($D33&lt;&gt;"",E$5&lt;&gt;"")</formula>
    </cfRule>
  </conditionalFormatting>
  <conditionalFormatting sqref="F33">
    <cfRule type="expression" dxfId="30" priority="29">
      <formula>AND($D33&lt;&gt;"",E$5&lt;&gt;"")</formula>
    </cfRule>
  </conditionalFormatting>
  <conditionalFormatting sqref="G33">
    <cfRule type="expression" dxfId="29" priority="28">
      <formula>AND($D33&lt;&gt;"",G$5&lt;&gt;"")</formula>
    </cfRule>
  </conditionalFormatting>
  <conditionalFormatting sqref="H33">
    <cfRule type="expression" dxfId="28" priority="27">
      <formula>AND($D33&lt;&gt;"",G$5&lt;&gt;"")</formula>
    </cfRule>
  </conditionalFormatting>
  <conditionalFormatting sqref="I33 K33 M33 S33 Q33 O33 W33 U33">
    <cfRule type="expression" dxfId="27" priority="26">
      <formula>AND($D33&lt;&gt;"",I$5&lt;&gt;"")</formula>
    </cfRule>
  </conditionalFormatting>
  <conditionalFormatting sqref="J33 L33 N33 T33 R33 P33 X33 V33">
    <cfRule type="expression" dxfId="26" priority="25">
      <formula>AND($D33&lt;&gt;"",I$5&lt;&gt;"")</formula>
    </cfRule>
  </conditionalFormatting>
  <conditionalFormatting sqref="D34">
    <cfRule type="expression" dxfId="25" priority="24">
      <formula>$D33&lt;&gt;""</formula>
    </cfRule>
  </conditionalFormatting>
  <conditionalFormatting sqref="E34">
    <cfRule type="expression" dxfId="24" priority="23">
      <formula>AND($D34&lt;&gt;"",E$5&lt;&gt;"")</formula>
    </cfRule>
  </conditionalFormatting>
  <conditionalFormatting sqref="F34">
    <cfRule type="expression" dxfId="23" priority="22">
      <formula>AND($D34&lt;&gt;"",E$5&lt;&gt;"")</formula>
    </cfRule>
  </conditionalFormatting>
  <conditionalFormatting sqref="G34">
    <cfRule type="expression" dxfId="22" priority="21">
      <formula>AND($D34&lt;&gt;"",G$5&lt;&gt;"")</formula>
    </cfRule>
  </conditionalFormatting>
  <conditionalFormatting sqref="H34">
    <cfRule type="expression" dxfId="21" priority="20">
      <formula>AND($D34&lt;&gt;"",G$5&lt;&gt;"")</formula>
    </cfRule>
  </conditionalFormatting>
  <conditionalFormatting sqref="D35">
    <cfRule type="expression" dxfId="20" priority="19">
      <formula>$D34&lt;&gt;""</formula>
    </cfRule>
  </conditionalFormatting>
  <conditionalFormatting sqref="E35">
    <cfRule type="expression" dxfId="19" priority="18">
      <formula>AND($D35&lt;&gt;"",E$5&lt;&gt;"")</formula>
    </cfRule>
  </conditionalFormatting>
  <conditionalFormatting sqref="F35">
    <cfRule type="expression" dxfId="18" priority="17">
      <formula>AND($D35&lt;&gt;"",E$5&lt;&gt;"")</formula>
    </cfRule>
  </conditionalFormatting>
  <conditionalFormatting sqref="G35">
    <cfRule type="expression" dxfId="17" priority="16">
      <formula>AND($D35&lt;&gt;"",G$5&lt;&gt;"")</formula>
    </cfRule>
  </conditionalFormatting>
  <conditionalFormatting sqref="H35">
    <cfRule type="expression" dxfId="16" priority="15">
      <formula>AND($D35&lt;&gt;"",G$5&lt;&gt;"")</formula>
    </cfRule>
  </conditionalFormatting>
  <conditionalFormatting sqref="D36">
    <cfRule type="expression" dxfId="15" priority="14">
      <formula>$D35&lt;&gt;""</formula>
    </cfRule>
  </conditionalFormatting>
  <conditionalFormatting sqref="E36">
    <cfRule type="expression" dxfId="14" priority="13">
      <formula>AND($D36&lt;&gt;"",E$5&lt;&gt;"")</formula>
    </cfRule>
  </conditionalFormatting>
  <conditionalFormatting sqref="F36">
    <cfRule type="expression" dxfId="13" priority="12">
      <formula>AND($D36&lt;&gt;"",E$5&lt;&gt;"")</formula>
    </cfRule>
  </conditionalFormatting>
  <conditionalFormatting sqref="G36">
    <cfRule type="expression" dxfId="12" priority="11">
      <formula>AND($D36&lt;&gt;"",G$5&lt;&gt;"")</formula>
    </cfRule>
  </conditionalFormatting>
  <conditionalFormatting sqref="H36">
    <cfRule type="expression" dxfId="11" priority="10">
      <formula>AND($D36&lt;&gt;"",G$5&lt;&gt;"")</formula>
    </cfRule>
  </conditionalFormatting>
  <conditionalFormatting sqref="I36">
    <cfRule type="expression" dxfId="10" priority="9">
      <formula>AND($D36&lt;&gt;"",I$5&lt;&gt;"")</formula>
    </cfRule>
  </conditionalFormatting>
  <conditionalFormatting sqref="J36">
    <cfRule type="expression" dxfId="9" priority="8">
      <formula>AND($D36&lt;&gt;"",I$5&lt;&gt;"")</formula>
    </cfRule>
  </conditionalFormatting>
  <conditionalFormatting sqref="D37">
    <cfRule type="expression" dxfId="8" priority="7">
      <formula>$D36&lt;&gt;""</formula>
    </cfRule>
  </conditionalFormatting>
  <conditionalFormatting sqref="E37">
    <cfRule type="expression" dxfId="7" priority="6">
      <formula>AND($D37&lt;&gt;"",E$5&lt;&gt;"")</formula>
    </cfRule>
  </conditionalFormatting>
  <conditionalFormatting sqref="F37">
    <cfRule type="expression" dxfId="6" priority="5">
      <formula>AND($D37&lt;&gt;"",E$5&lt;&gt;"")</formula>
    </cfRule>
  </conditionalFormatting>
  <conditionalFormatting sqref="G37">
    <cfRule type="expression" dxfId="5" priority="4">
      <formula>AND($D37&lt;&gt;"",G$5&lt;&gt;"")</formula>
    </cfRule>
  </conditionalFormatting>
  <conditionalFormatting sqref="H37">
    <cfRule type="expression" dxfId="4" priority="3">
      <formula>AND($D37&lt;&gt;"",G$5&lt;&gt;"")</formula>
    </cfRule>
  </conditionalFormatting>
  <conditionalFormatting sqref="I37 K37">
    <cfRule type="expression" dxfId="3" priority="2">
      <formula>AND($D37&lt;&gt;"",I$5&lt;&gt;"")</formula>
    </cfRule>
  </conditionalFormatting>
  <conditionalFormatting sqref="J37 L37">
    <cfRule type="expression" dxfId="2" priority="1">
      <formula>AND($D37&lt;&gt;"",I$5&lt;&gt;"")</formula>
    </cfRule>
  </conditionalFormatting>
  <dataValidations count="1">
    <dataValidation type="custom" allowBlank="1" showInputMessage="1" showErrorMessage="1" sqref="D20">
      <formula1>D19&lt;&gt;""</formula1>
    </dataValidation>
  </dataValidations>
  <pageMargins left="0.7" right="0.7" top="0.75" bottom="0.75" header="0.3" footer="0.3"/>
  <pageSetup orientation="portrait" r:id="rId1"/>
  <customProperties>
    <customPr name="SSCSheetTrackingNo" r:id="rId2"/>
  </customProperties>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3:T59"/>
  <sheetViews>
    <sheetView showGridLines="0" workbookViewId="0">
      <selection activeCell="D6" sqref="D6:T53"/>
    </sheetView>
  </sheetViews>
  <sheetFormatPr defaultRowHeight="15" x14ac:dyDescent="0.25"/>
  <cols>
    <col min="2" max="2" width="14" customWidth="1"/>
    <col min="4" max="4" width="10.7109375" customWidth="1"/>
    <col min="5" max="5" width="39.42578125" customWidth="1"/>
  </cols>
  <sheetData>
    <row r="3" spans="2:20" ht="15.75" thickBot="1" x14ac:dyDescent="0.3">
      <c r="B3" t="s">
        <v>271</v>
      </c>
    </row>
    <row r="4" spans="2:20" ht="28.5" customHeight="1" x14ac:dyDescent="0.25">
      <c r="B4" s="19">
        <f>MAX(B5:B53)</f>
        <v>0.63047093152999878</v>
      </c>
      <c r="C4" s="28" t="s">
        <v>9</v>
      </c>
      <c r="D4" s="29" t="s">
        <v>139</v>
      </c>
      <c r="E4" s="30" t="s">
        <v>140</v>
      </c>
      <c r="F4" s="30">
        <v>1</v>
      </c>
      <c r="G4" s="30">
        <v>2</v>
      </c>
      <c r="H4" s="30">
        <v>3</v>
      </c>
      <c r="I4" s="30">
        <v>4</v>
      </c>
      <c r="J4" s="30">
        <v>5</v>
      </c>
      <c r="K4" s="30">
        <v>6</v>
      </c>
      <c r="L4" s="30">
        <v>7</v>
      </c>
      <c r="M4" s="30">
        <v>8</v>
      </c>
      <c r="N4" s="30">
        <v>9</v>
      </c>
      <c r="O4" s="30">
        <v>10</v>
      </c>
      <c r="P4" s="30">
        <v>11</v>
      </c>
      <c r="Q4" s="30">
        <v>12</v>
      </c>
      <c r="R4" s="30">
        <v>13</v>
      </c>
      <c r="S4" s="30">
        <v>14</v>
      </c>
      <c r="T4" s="33">
        <v>15</v>
      </c>
    </row>
    <row r="5" spans="2:20" x14ac:dyDescent="0.25">
      <c r="B5" s="31">
        <v>0.63047093152999878</v>
      </c>
      <c r="C5" s="26">
        <f>IF('WINBUGS data'!F17&lt;&gt;"",'WINBUGS data'!F17,"")</f>
        <v>1</v>
      </c>
      <c r="D5" s="31">
        <f>IFERROR(INDEX('WINBUGS data'!$F$17:$ZZ$65,MATCH(C5,'WINBUGS data'!$F$17:$F$65,0),MATCH("na[]",'WINBUGS data'!$F$16:$ZZ$16,0)),"")</f>
        <v>2</v>
      </c>
      <c r="E5" s="31" t="str">
        <f>CONCATENATE(IF(ISNUMBER(F5),F5,""),IF(ISNUMBER(G5),","&amp;G5,""),IF(ISNUMBER(H5),","&amp;H5,""),IF(ISNUMBER(I5),","&amp;I5,""),IF(ISNUMBER(J5),","&amp;J5,""),IF(ISNUMBER(K5),","&amp;K5,""),IF(ISNUMBER(L5),","&amp;L5,""),IF(ISNUMBER(M5),","&amp;M5,""),IF(ISNUMBER(N5),","&amp;N5,""),IF(ISNUMBER(O5),","&amp;O5,""),IF(ISNUMBER(P5),","&amp;P5,""),IF(ISNUMBER(Q5),","&amp;Q5,""),IF(ISNUMBER(R5),","&amp;R5,""),IF(ISNUMBER(S5),","&amp;S5,""),IF(ISNUMBER(T5),","&amp;T5,""))</f>
        <v>2,10</v>
      </c>
      <c r="F5" s="31">
        <f>IFERROR(INDEX('WINBUGS data'!$F$17:$ZZ$65,MATCH($C5,'WINBUGS data'!$F$17:$F$65,0),MATCH("t[,"&amp;F$4 &amp;"]",'WINBUGS data'!$F$16:$ZZ$16,0)),"")</f>
        <v>2</v>
      </c>
      <c r="G5" s="31">
        <f>IFERROR(INDEX('WINBUGS data'!$F$17:$ZZ$65,MATCH($C5,'WINBUGS data'!$F$17:$F$65,0),MATCH("t[,"&amp;G$4 &amp;"]",'WINBUGS data'!$F$16:$ZZ$16,0)),"")</f>
        <v>10</v>
      </c>
      <c r="H5" s="31" t="str">
        <f>IFERROR(INDEX('WINBUGS data'!$F$17:$ZZ$65,MATCH($C5,'WINBUGS data'!$F$17:$F$65,0),MATCH("t[,"&amp;H$4 &amp;"]",'WINBUGS data'!$F$16:$ZZ$16,0)),"")</f>
        <v>NA</v>
      </c>
      <c r="I5" s="31" t="str">
        <f>IFERROR(INDEX('WINBUGS data'!$F$17:$ZZ$65,MATCH($C5,'WINBUGS data'!$F$17:$F$65,0),MATCH("t[,"&amp;I$4 &amp;"]",'WINBUGS data'!$F$16:$ZZ$16,0)),"")</f>
        <v>NA</v>
      </c>
      <c r="J5" s="31" t="str">
        <f>IFERROR(INDEX('WINBUGS data'!$F$17:$ZZ$65,MATCH($C5,'WINBUGS data'!$F$17:$F$65,0),MATCH("t[,"&amp;J$4 &amp;"]",'WINBUGS data'!$F$16:$ZZ$16,0)),"")</f>
        <v>NA</v>
      </c>
      <c r="K5" s="31" t="str">
        <f>IFERROR(INDEX('WINBUGS data'!$F$17:$ZZ$65,MATCH($C5,'WINBUGS data'!$F$17:$F$65,0),MATCH("t[,"&amp;K$4 &amp;"]",'WINBUGS data'!$F$16:$ZZ$16,0)),"")</f>
        <v>NA</v>
      </c>
      <c r="L5" s="31" t="str">
        <f>IFERROR(INDEX('WINBUGS data'!$F$17:$ZZ$65,MATCH($C5,'WINBUGS data'!$F$17:$F$65,0),MATCH("t[,"&amp;L$4 &amp;"]",'WINBUGS data'!$F$16:$ZZ$16,0)),"")</f>
        <v>NA</v>
      </c>
      <c r="M5" s="31" t="str">
        <f>IFERROR(INDEX('WINBUGS data'!$F$17:$ZZ$65,MATCH($C5,'WINBUGS data'!$F$17:$F$65,0),MATCH("t[,"&amp;M$4 &amp;"]",'WINBUGS data'!$F$16:$ZZ$16,0)),"")</f>
        <v>NA</v>
      </c>
      <c r="N5" s="31" t="str">
        <f>IFERROR(INDEX('WINBUGS data'!$F$17:$ZZ$65,MATCH($C5,'WINBUGS data'!$F$17:$F$65,0),MATCH("t[,"&amp;N$4 &amp;"]",'WINBUGS data'!$F$16:$ZZ$16,0)),"")</f>
        <v>NA</v>
      </c>
      <c r="O5" s="31" t="str">
        <f>IFERROR(INDEX('WINBUGS data'!$F$17:$ZZ$65,MATCH($C5,'WINBUGS data'!$F$17:$F$65,0),MATCH("t[,"&amp;O$4 &amp;"]",'WINBUGS data'!$F$16:$ZZ$16,0)),"")</f>
        <v>NA</v>
      </c>
      <c r="P5" s="31" t="str">
        <f>IFERROR(INDEX('WINBUGS data'!$F$17:$ZZ$65,MATCH($C5,'WINBUGS data'!$F$17:$F$65,0),MATCH("t[,"&amp;P$4 &amp;"]",'WINBUGS data'!$F$16:$ZZ$16,0)),"")</f>
        <v/>
      </c>
      <c r="Q5" s="31" t="str">
        <f>IFERROR(INDEX('WINBUGS data'!$F$17:$ZZ$65,MATCH($C5,'WINBUGS data'!$F$17:$F$65,0),MATCH("t[,"&amp;Q$4 &amp;"]",'WINBUGS data'!$F$16:$ZZ$16,0)),"")</f>
        <v/>
      </c>
      <c r="R5" s="31" t="str">
        <f>IFERROR(INDEX('WINBUGS data'!$F$17:$ZZ$65,MATCH($C5,'WINBUGS data'!$F$17:$F$65,0),MATCH("t[,"&amp;R$4 &amp;"]",'WINBUGS data'!$F$16:$ZZ$16,0)),"")</f>
        <v/>
      </c>
      <c r="S5" s="31" t="str">
        <f>IFERROR(INDEX('WINBUGS data'!$F$17:$ZZ$65,MATCH($C5,'WINBUGS data'!$F$17:$F$65,0),MATCH("t[,"&amp;S$4 &amp;"]",'WINBUGS data'!$F$16:$ZZ$16,0)),"")</f>
        <v/>
      </c>
      <c r="T5" s="1" t="str">
        <f>IFERROR(INDEX('WINBUGS data'!$F$17:$ZZ$65,MATCH($C5,'WINBUGS data'!$F$17:$F$65,0),MATCH("t[,"&amp;T$4 &amp;"]",'WINBUGS data'!$F$16:$ZZ$16,0)),"")</f>
        <v/>
      </c>
    </row>
    <row r="6" spans="2:20" x14ac:dyDescent="0.25">
      <c r="B6" s="31">
        <v>0.44183275103569031</v>
      </c>
      <c r="C6" s="26">
        <f>IF('WINBUGS data'!F18&lt;&gt;"",'WINBUGS data'!F18,"")</f>
        <v>2</v>
      </c>
      <c r="D6" s="31">
        <f>IFERROR(INDEX('WINBUGS data'!$F$17:$ZZ$65,MATCH(C6,'WINBUGS data'!$F$17:$F$65,0),MATCH("na[]",'WINBUGS data'!$F$16:$ZZ$16,0)),"")</f>
        <v>2</v>
      </c>
      <c r="E6" s="31" t="str">
        <f t="shared" ref="E6:E53" si="0">CONCATENATE(IF(ISNUMBER(F6),F6,""),IF(ISNUMBER(G6),","&amp;G6,""),IF(ISNUMBER(H6),","&amp;H6,""),IF(ISNUMBER(I6),","&amp;I6,""),IF(ISNUMBER(J6),","&amp;J6,""),IF(ISNUMBER(K6),","&amp;K6,""),IF(ISNUMBER(L6),","&amp;L6,""),IF(ISNUMBER(M6),","&amp;M6,""),IF(ISNUMBER(N6),","&amp;N6,""),IF(ISNUMBER(O6),","&amp;O6,""),IF(ISNUMBER(P6),","&amp;P6,""),IF(ISNUMBER(Q6),","&amp;Q6,""),IF(ISNUMBER(R6),","&amp;R6,""),IF(ISNUMBER(S6),","&amp;S6,""),IF(ISNUMBER(T6),","&amp;T6,""))</f>
        <v>1,4</v>
      </c>
      <c r="F6" s="31">
        <f>IFERROR(INDEX('WINBUGS data'!$F$17:$ZZ$65,MATCH($C6,'WINBUGS data'!$F$17:$F$65,0),MATCH("t[,"&amp;F$4 &amp;"]",'WINBUGS data'!$F$16:$ZZ$16,0)),"")</f>
        <v>1</v>
      </c>
      <c r="G6" s="31">
        <f>IFERROR(INDEX('WINBUGS data'!$F$17:$ZZ$65,MATCH($C6,'WINBUGS data'!$F$17:$F$65,0),MATCH("t[,"&amp;G$4 &amp;"]",'WINBUGS data'!$F$16:$ZZ$16,0)),"")</f>
        <v>4</v>
      </c>
      <c r="H6" s="31" t="str">
        <f>IFERROR(INDEX('WINBUGS data'!$F$17:$ZZ$65,MATCH($C6,'WINBUGS data'!$F$17:$F$65,0),MATCH("t[,"&amp;H$4 &amp;"]",'WINBUGS data'!$F$16:$ZZ$16,0)),"")</f>
        <v>NA</v>
      </c>
      <c r="I6" s="31" t="str">
        <f>IFERROR(INDEX('WINBUGS data'!$F$17:$ZZ$65,MATCH($C6,'WINBUGS data'!$F$17:$F$65,0),MATCH("t[,"&amp;I$4 &amp;"]",'WINBUGS data'!$F$16:$ZZ$16,0)),"")</f>
        <v>NA</v>
      </c>
      <c r="J6" s="31" t="str">
        <f>IFERROR(INDEX('WINBUGS data'!$F$17:$ZZ$65,MATCH($C6,'WINBUGS data'!$F$17:$F$65,0),MATCH("t[,"&amp;J$4 &amp;"]",'WINBUGS data'!$F$16:$ZZ$16,0)),"")</f>
        <v>NA</v>
      </c>
      <c r="K6" s="31" t="str">
        <f>IFERROR(INDEX('WINBUGS data'!$F$17:$ZZ$65,MATCH($C6,'WINBUGS data'!$F$17:$F$65,0),MATCH("t[,"&amp;K$4 &amp;"]",'WINBUGS data'!$F$16:$ZZ$16,0)),"")</f>
        <v>NA</v>
      </c>
      <c r="L6" s="31" t="str">
        <f>IFERROR(INDEX('WINBUGS data'!$F$17:$ZZ$65,MATCH($C6,'WINBUGS data'!$F$17:$F$65,0),MATCH("t[,"&amp;L$4 &amp;"]",'WINBUGS data'!$F$16:$ZZ$16,0)),"")</f>
        <v>NA</v>
      </c>
      <c r="M6" s="31" t="str">
        <f>IFERROR(INDEX('WINBUGS data'!$F$17:$ZZ$65,MATCH($C6,'WINBUGS data'!$F$17:$F$65,0),MATCH("t[,"&amp;M$4 &amp;"]",'WINBUGS data'!$F$16:$ZZ$16,0)),"")</f>
        <v>NA</v>
      </c>
      <c r="N6" s="31" t="str">
        <f>IFERROR(INDEX('WINBUGS data'!$F$17:$ZZ$65,MATCH($C6,'WINBUGS data'!$F$17:$F$65,0),MATCH("t[,"&amp;N$4 &amp;"]",'WINBUGS data'!$F$16:$ZZ$16,0)),"")</f>
        <v>NA</v>
      </c>
      <c r="O6" s="31" t="str">
        <f>IFERROR(INDEX('WINBUGS data'!$F$17:$ZZ$65,MATCH($C6,'WINBUGS data'!$F$17:$F$65,0),MATCH("t[,"&amp;O$4 &amp;"]",'WINBUGS data'!$F$16:$ZZ$16,0)),"")</f>
        <v>NA</v>
      </c>
      <c r="P6" s="31" t="str">
        <f>IFERROR(INDEX('WINBUGS data'!$F$17:$ZZ$65,MATCH($C6,'WINBUGS data'!$F$17:$F$65,0),MATCH("t[,"&amp;P$4 &amp;"]",'WINBUGS data'!$F$16:$ZZ$16,0)),"")</f>
        <v/>
      </c>
      <c r="Q6" s="31" t="str">
        <f>IFERROR(INDEX('WINBUGS data'!$F$17:$ZZ$65,MATCH($C6,'WINBUGS data'!$F$17:$F$65,0),MATCH("t[,"&amp;Q$4 &amp;"]",'WINBUGS data'!$F$16:$ZZ$16,0)),"")</f>
        <v/>
      </c>
      <c r="R6" s="31" t="str">
        <f>IFERROR(INDEX('WINBUGS data'!$F$17:$ZZ$65,MATCH($C6,'WINBUGS data'!$F$17:$F$65,0),MATCH("t[,"&amp;R$4 &amp;"]",'WINBUGS data'!$F$16:$ZZ$16,0)),"")</f>
        <v/>
      </c>
      <c r="S6" s="31" t="str">
        <f>IFERROR(INDEX('WINBUGS data'!$F$17:$ZZ$65,MATCH($C6,'WINBUGS data'!$F$17:$F$65,0),MATCH("t[,"&amp;S$4 &amp;"]",'WINBUGS data'!$F$16:$ZZ$16,0)),"")</f>
        <v/>
      </c>
      <c r="T6" s="1" t="str">
        <f>IFERROR(INDEX('WINBUGS data'!$F$17:$ZZ$65,MATCH($C6,'WINBUGS data'!$F$17:$F$65,0),MATCH("t[,"&amp;T$4 &amp;"]",'WINBUGS data'!$F$16:$ZZ$16,0)),"")</f>
        <v/>
      </c>
    </row>
    <row r="7" spans="2:20" x14ac:dyDescent="0.25">
      <c r="B7" s="31">
        <v>0.32062622904777527</v>
      </c>
      <c r="C7" s="26">
        <f>IF('WINBUGS data'!F19&lt;&gt;"",'WINBUGS data'!F19,"")</f>
        <v>3</v>
      </c>
      <c r="D7" s="31">
        <f>IFERROR(INDEX('WINBUGS data'!$F$17:$ZZ$65,MATCH(C7,'WINBUGS data'!$F$17:$F$65,0),MATCH("na[]",'WINBUGS data'!$F$16:$ZZ$16,0)),"")</f>
        <v>2</v>
      </c>
      <c r="E7" s="31" t="str">
        <f t="shared" si="0"/>
        <v>2,3</v>
      </c>
      <c r="F7" s="31">
        <f>IFERROR(INDEX('WINBUGS data'!$F$17:$ZZ$65,MATCH($C7,'WINBUGS data'!$F$17:$F$65,0),MATCH("t[,"&amp;F$4 &amp;"]",'WINBUGS data'!$F$16:$ZZ$16,0)),"")</f>
        <v>2</v>
      </c>
      <c r="G7" s="31">
        <f>IFERROR(INDEX('WINBUGS data'!$F$17:$ZZ$65,MATCH($C7,'WINBUGS data'!$F$17:$F$65,0),MATCH("t[,"&amp;G$4 &amp;"]",'WINBUGS data'!$F$16:$ZZ$16,0)),"")</f>
        <v>3</v>
      </c>
      <c r="H7" s="31" t="str">
        <f>IFERROR(INDEX('WINBUGS data'!$F$17:$ZZ$65,MATCH($C7,'WINBUGS data'!$F$17:$F$65,0),MATCH("t[,"&amp;H$4 &amp;"]",'WINBUGS data'!$F$16:$ZZ$16,0)),"")</f>
        <v>NA</v>
      </c>
      <c r="I7" s="31" t="str">
        <f>IFERROR(INDEX('WINBUGS data'!$F$17:$ZZ$65,MATCH($C7,'WINBUGS data'!$F$17:$F$65,0),MATCH("t[,"&amp;I$4 &amp;"]",'WINBUGS data'!$F$16:$ZZ$16,0)),"")</f>
        <v>NA</v>
      </c>
      <c r="J7" s="31" t="str">
        <f>IFERROR(INDEX('WINBUGS data'!$F$17:$ZZ$65,MATCH($C7,'WINBUGS data'!$F$17:$F$65,0),MATCH("t[,"&amp;J$4 &amp;"]",'WINBUGS data'!$F$16:$ZZ$16,0)),"")</f>
        <v>NA</v>
      </c>
      <c r="K7" s="31" t="str">
        <f>IFERROR(INDEX('WINBUGS data'!$F$17:$ZZ$65,MATCH($C7,'WINBUGS data'!$F$17:$F$65,0),MATCH("t[,"&amp;K$4 &amp;"]",'WINBUGS data'!$F$16:$ZZ$16,0)),"")</f>
        <v>NA</v>
      </c>
      <c r="L7" s="31" t="str">
        <f>IFERROR(INDEX('WINBUGS data'!$F$17:$ZZ$65,MATCH($C7,'WINBUGS data'!$F$17:$F$65,0),MATCH("t[,"&amp;L$4 &amp;"]",'WINBUGS data'!$F$16:$ZZ$16,0)),"")</f>
        <v>NA</v>
      </c>
      <c r="M7" s="31" t="str">
        <f>IFERROR(INDEX('WINBUGS data'!$F$17:$ZZ$65,MATCH($C7,'WINBUGS data'!$F$17:$F$65,0),MATCH("t[,"&amp;M$4 &amp;"]",'WINBUGS data'!$F$16:$ZZ$16,0)),"")</f>
        <v>NA</v>
      </c>
      <c r="N7" s="31" t="str">
        <f>IFERROR(INDEX('WINBUGS data'!$F$17:$ZZ$65,MATCH($C7,'WINBUGS data'!$F$17:$F$65,0),MATCH("t[,"&amp;N$4 &amp;"]",'WINBUGS data'!$F$16:$ZZ$16,0)),"")</f>
        <v>NA</v>
      </c>
      <c r="O7" s="31" t="str">
        <f>IFERROR(INDEX('WINBUGS data'!$F$17:$ZZ$65,MATCH($C7,'WINBUGS data'!$F$17:$F$65,0),MATCH("t[,"&amp;O$4 &amp;"]",'WINBUGS data'!$F$16:$ZZ$16,0)),"")</f>
        <v>NA</v>
      </c>
      <c r="P7" s="31" t="str">
        <f>IFERROR(INDEX('WINBUGS data'!$F$17:$ZZ$65,MATCH($C7,'WINBUGS data'!$F$17:$F$65,0),MATCH("t[,"&amp;P$4 &amp;"]",'WINBUGS data'!$F$16:$ZZ$16,0)),"")</f>
        <v/>
      </c>
      <c r="Q7" s="31" t="str">
        <f>IFERROR(INDEX('WINBUGS data'!$F$17:$ZZ$65,MATCH($C7,'WINBUGS data'!$F$17:$F$65,0),MATCH("t[,"&amp;Q$4 &amp;"]",'WINBUGS data'!$F$16:$ZZ$16,0)),"")</f>
        <v/>
      </c>
      <c r="R7" s="31" t="str">
        <f>IFERROR(INDEX('WINBUGS data'!$F$17:$ZZ$65,MATCH($C7,'WINBUGS data'!$F$17:$F$65,0),MATCH("t[,"&amp;R$4 &amp;"]",'WINBUGS data'!$F$16:$ZZ$16,0)),"")</f>
        <v/>
      </c>
      <c r="S7" s="31" t="str">
        <f>IFERROR(INDEX('WINBUGS data'!$F$17:$ZZ$65,MATCH($C7,'WINBUGS data'!$F$17:$F$65,0),MATCH("t[,"&amp;S$4 &amp;"]",'WINBUGS data'!$F$16:$ZZ$16,0)),"")</f>
        <v/>
      </c>
      <c r="T7" s="1" t="str">
        <f>IFERROR(INDEX('WINBUGS data'!$F$17:$ZZ$65,MATCH($C7,'WINBUGS data'!$F$17:$F$65,0),MATCH("t[,"&amp;T$4 &amp;"]",'WINBUGS data'!$F$16:$ZZ$16,0)),"")</f>
        <v/>
      </c>
    </row>
    <row r="8" spans="2:20" x14ac:dyDescent="0.25">
      <c r="B8" s="31">
        <v>0.32062622904777527</v>
      </c>
      <c r="C8" s="26">
        <f>IF('WINBUGS data'!F20&lt;&gt;"",'WINBUGS data'!F20,"")</f>
        <v>4</v>
      </c>
      <c r="D8" s="31">
        <f>IFERROR(INDEX('WINBUGS data'!$F$17:$ZZ$65,MATCH(C8,'WINBUGS data'!$F$17:$F$65,0),MATCH("na[]",'WINBUGS data'!$F$16:$ZZ$16,0)),"")</f>
        <v>2</v>
      </c>
      <c r="E8" s="31" t="str">
        <f t="shared" si="0"/>
        <v>2,3</v>
      </c>
      <c r="F8" s="31">
        <f>IFERROR(INDEX('WINBUGS data'!$F$17:$ZZ$65,MATCH($C8,'WINBUGS data'!$F$17:$F$65,0),MATCH("t[,"&amp;F$4 &amp;"]",'WINBUGS data'!$F$16:$ZZ$16,0)),"")</f>
        <v>2</v>
      </c>
      <c r="G8" s="31">
        <f>IFERROR(INDEX('WINBUGS data'!$F$17:$ZZ$65,MATCH($C8,'WINBUGS data'!$F$17:$F$65,0),MATCH("t[,"&amp;G$4 &amp;"]",'WINBUGS data'!$F$16:$ZZ$16,0)),"")</f>
        <v>3</v>
      </c>
      <c r="H8" s="31" t="str">
        <f>IFERROR(INDEX('WINBUGS data'!$F$17:$ZZ$65,MATCH($C8,'WINBUGS data'!$F$17:$F$65,0),MATCH("t[,"&amp;H$4 &amp;"]",'WINBUGS data'!$F$16:$ZZ$16,0)),"")</f>
        <v>NA</v>
      </c>
      <c r="I8" s="31" t="str">
        <f>IFERROR(INDEX('WINBUGS data'!$F$17:$ZZ$65,MATCH($C8,'WINBUGS data'!$F$17:$F$65,0),MATCH("t[,"&amp;I$4 &amp;"]",'WINBUGS data'!$F$16:$ZZ$16,0)),"")</f>
        <v>NA</v>
      </c>
      <c r="J8" s="31" t="str">
        <f>IFERROR(INDEX('WINBUGS data'!$F$17:$ZZ$65,MATCH($C8,'WINBUGS data'!$F$17:$F$65,0),MATCH("t[,"&amp;J$4 &amp;"]",'WINBUGS data'!$F$16:$ZZ$16,0)),"")</f>
        <v>NA</v>
      </c>
      <c r="K8" s="31" t="str">
        <f>IFERROR(INDEX('WINBUGS data'!$F$17:$ZZ$65,MATCH($C8,'WINBUGS data'!$F$17:$F$65,0),MATCH("t[,"&amp;K$4 &amp;"]",'WINBUGS data'!$F$16:$ZZ$16,0)),"")</f>
        <v>NA</v>
      </c>
      <c r="L8" s="31" t="str">
        <f>IFERROR(INDEX('WINBUGS data'!$F$17:$ZZ$65,MATCH($C8,'WINBUGS data'!$F$17:$F$65,0),MATCH("t[,"&amp;L$4 &amp;"]",'WINBUGS data'!$F$16:$ZZ$16,0)),"")</f>
        <v>NA</v>
      </c>
      <c r="M8" s="31" t="str">
        <f>IFERROR(INDEX('WINBUGS data'!$F$17:$ZZ$65,MATCH($C8,'WINBUGS data'!$F$17:$F$65,0),MATCH("t[,"&amp;M$4 &amp;"]",'WINBUGS data'!$F$16:$ZZ$16,0)),"")</f>
        <v>NA</v>
      </c>
      <c r="N8" s="31" t="str">
        <f>IFERROR(INDEX('WINBUGS data'!$F$17:$ZZ$65,MATCH($C8,'WINBUGS data'!$F$17:$F$65,0),MATCH("t[,"&amp;N$4 &amp;"]",'WINBUGS data'!$F$16:$ZZ$16,0)),"")</f>
        <v>NA</v>
      </c>
      <c r="O8" s="31" t="str">
        <f>IFERROR(INDEX('WINBUGS data'!$F$17:$ZZ$65,MATCH($C8,'WINBUGS data'!$F$17:$F$65,0),MATCH("t[,"&amp;O$4 &amp;"]",'WINBUGS data'!$F$16:$ZZ$16,0)),"")</f>
        <v>NA</v>
      </c>
      <c r="P8" s="31" t="str">
        <f>IFERROR(INDEX('WINBUGS data'!$F$17:$ZZ$65,MATCH($C8,'WINBUGS data'!$F$17:$F$65,0),MATCH("t[,"&amp;P$4 &amp;"]",'WINBUGS data'!$F$16:$ZZ$16,0)),"")</f>
        <v/>
      </c>
      <c r="Q8" s="31" t="str">
        <f>IFERROR(INDEX('WINBUGS data'!$F$17:$ZZ$65,MATCH($C8,'WINBUGS data'!$F$17:$F$65,0),MATCH("t[,"&amp;Q$4 &amp;"]",'WINBUGS data'!$F$16:$ZZ$16,0)),"")</f>
        <v/>
      </c>
      <c r="R8" s="31" t="str">
        <f>IFERROR(INDEX('WINBUGS data'!$F$17:$ZZ$65,MATCH($C8,'WINBUGS data'!$F$17:$F$65,0),MATCH("t[,"&amp;R$4 &amp;"]",'WINBUGS data'!$F$16:$ZZ$16,0)),"")</f>
        <v/>
      </c>
      <c r="S8" s="31" t="str">
        <f>IFERROR(INDEX('WINBUGS data'!$F$17:$ZZ$65,MATCH($C8,'WINBUGS data'!$F$17:$F$65,0),MATCH("t[,"&amp;S$4 &amp;"]",'WINBUGS data'!$F$16:$ZZ$16,0)),"")</f>
        <v/>
      </c>
      <c r="T8" s="1" t="str">
        <f>IFERROR(INDEX('WINBUGS data'!$F$17:$ZZ$65,MATCH($C8,'WINBUGS data'!$F$17:$F$65,0),MATCH("t[,"&amp;T$4 &amp;"]",'WINBUGS data'!$F$16:$ZZ$16,0)),"")</f>
        <v/>
      </c>
    </row>
    <row r="9" spans="2:20" x14ac:dyDescent="0.25">
      <c r="B9" s="31">
        <v>0.36359062790870667</v>
      </c>
      <c r="C9" s="26">
        <f>IF('WINBUGS data'!F21&lt;&gt;"",'WINBUGS data'!F21,"")</f>
        <v>5</v>
      </c>
      <c r="D9" s="31">
        <f>IFERROR(INDEX('WINBUGS data'!$F$17:$ZZ$65,MATCH(C9,'WINBUGS data'!$F$17:$F$65,0),MATCH("na[]",'WINBUGS data'!$F$16:$ZZ$16,0)),"")</f>
        <v>2</v>
      </c>
      <c r="E9" s="31" t="str">
        <f t="shared" si="0"/>
        <v>2,3</v>
      </c>
      <c r="F9" s="31">
        <f>IFERROR(INDEX('WINBUGS data'!$F$17:$ZZ$65,MATCH($C9,'WINBUGS data'!$F$17:$F$65,0),MATCH("t[,"&amp;F$4 &amp;"]",'WINBUGS data'!$F$16:$ZZ$16,0)),"")</f>
        <v>2</v>
      </c>
      <c r="G9" s="31">
        <f>IFERROR(INDEX('WINBUGS data'!$F$17:$ZZ$65,MATCH($C9,'WINBUGS data'!$F$17:$F$65,0),MATCH("t[,"&amp;G$4 &amp;"]",'WINBUGS data'!$F$16:$ZZ$16,0)),"")</f>
        <v>3</v>
      </c>
      <c r="H9" s="31" t="str">
        <f>IFERROR(INDEX('WINBUGS data'!$F$17:$ZZ$65,MATCH($C9,'WINBUGS data'!$F$17:$F$65,0),MATCH("t[,"&amp;H$4 &amp;"]",'WINBUGS data'!$F$16:$ZZ$16,0)),"")</f>
        <v>NA</v>
      </c>
      <c r="I9" s="31" t="str">
        <f>IFERROR(INDEX('WINBUGS data'!$F$17:$ZZ$65,MATCH($C9,'WINBUGS data'!$F$17:$F$65,0),MATCH("t[,"&amp;I$4 &amp;"]",'WINBUGS data'!$F$16:$ZZ$16,0)),"")</f>
        <v>NA</v>
      </c>
      <c r="J9" s="31" t="str">
        <f>IFERROR(INDEX('WINBUGS data'!$F$17:$ZZ$65,MATCH($C9,'WINBUGS data'!$F$17:$F$65,0),MATCH("t[,"&amp;J$4 &amp;"]",'WINBUGS data'!$F$16:$ZZ$16,0)),"")</f>
        <v>NA</v>
      </c>
      <c r="K9" s="31" t="str">
        <f>IFERROR(INDEX('WINBUGS data'!$F$17:$ZZ$65,MATCH($C9,'WINBUGS data'!$F$17:$F$65,0),MATCH("t[,"&amp;K$4 &amp;"]",'WINBUGS data'!$F$16:$ZZ$16,0)),"")</f>
        <v>NA</v>
      </c>
      <c r="L9" s="31" t="str">
        <f>IFERROR(INDEX('WINBUGS data'!$F$17:$ZZ$65,MATCH($C9,'WINBUGS data'!$F$17:$F$65,0),MATCH("t[,"&amp;L$4 &amp;"]",'WINBUGS data'!$F$16:$ZZ$16,0)),"")</f>
        <v>NA</v>
      </c>
      <c r="M9" s="31" t="str">
        <f>IFERROR(INDEX('WINBUGS data'!$F$17:$ZZ$65,MATCH($C9,'WINBUGS data'!$F$17:$F$65,0),MATCH("t[,"&amp;M$4 &amp;"]",'WINBUGS data'!$F$16:$ZZ$16,0)),"")</f>
        <v>NA</v>
      </c>
      <c r="N9" s="31" t="str">
        <f>IFERROR(INDEX('WINBUGS data'!$F$17:$ZZ$65,MATCH($C9,'WINBUGS data'!$F$17:$F$65,0),MATCH("t[,"&amp;N$4 &amp;"]",'WINBUGS data'!$F$16:$ZZ$16,0)),"")</f>
        <v>NA</v>
      </c>
      <c r="O9" s="31" t="str">
        <f>IFERROR(INDEX('WINBUGS data'!$F$17:$ZZ$65,MATCH($C9,'WINBUGS data'!$F$17:$F$65,0),MATCH("t[,"&amp;O$4 &amp;"]",'WINBUGS data'!$F$16:$ZZ$16,0)),"")</f>
        <v>NA</v>
      </c>
      <c r="P9" s="31" t="str">
        <f>IFERROR(INDEX('WINBUGS data'!$F$17:$ZZ$65,MATCH($C9,'WINBUGS data'!$F$17:$F$65,0),MATCH("t[,"&amp;P$4 &amp;"]",'WINBUGS data'!$F$16:$ZZ$16,0)),"")</f>
        <v/>
      </c>
      <c r="Q9" s="31" t="str">
        <f>IFERROR(INDEX('WINBUGS data'!$F$17:$ZZ$65,MATCH($C9,'WINBUGS data'!$F$17:$F$65,0),MATCH("t[,"&amp;Q$4 &amp;"]",'WINBUGS data'!$F$16:$ZZ$16,0)),"")</f>
        <v/>
      </c>
      <c r="R9" s="31" t="str">
        <f>IFERROR(INDEX('WINBUGS data'!$F$17:$ZZ$65,MATCH($C9,'WINBUGS data'!$F$17:$F$65,0),MATCH("t[,"&amp;R$4 &amp;"]",'WINBUGS data'!$F$16:$ZZ$16,0)),"")</f>
        <v/>
      </c>
      <c r="S9" s="31" t="str">
        <f>IFERROR(INDEX('WINBUGS data'!$F$17:$ZZ$65,MATCH($C9,'WINBUGS data'!$F$17:$F$65,0),MATCH("t[,"&amp;S$4 &amp;"]",'WINBUGS data'!$F$16:$ZZ$16,0)),"")</f>
        <v/>
      </c>
      <c r="T9" s="1" t="str">
        <f>IFERROR(INDEX('WINBUGS data'!$F$17:$ZZ$65,MATCH($C9,'WINBUGS data'!$F$17:$F$65,0),MATCH("t[,"&amp;T$4 &amp;"]",'WINBUGS data'!$F$16:$ZZ$16,0)),"")</f>
        <v/>
      </c>
    </row>
    <row r="10" spans="2:20" x14ac:dyDescent="0.25">
      <c r="B10" s="31">
        <v>0.40371066331863403</v>
      </c>
      <c r="C10" s="26">
        <f>IF('WINBUGS data'!F22&lt;&gt;"",'WINBUGS data'!F22,"")</f>
        <v>6</v>
      </c>
      <c r="D10" s="31">
        <f>IFERROR(INDEX('WINBUGS data'!$F$17:$ZZ$65,MATCH(C10,'WINBUGS data'!$F$17:$F$65,0),MATCH("na[]",'WINBUGS data'!$F$16:$ZZ$16,0)),"")</f>
        <v>2</v>
      </c>
      <c r="E10" s="31" t="str">
        <f t="shared" si="0"/>
        <v>2,8</v>
      </c>
      <c r="F10" s="31">
        <f>IFERROR(INDEX('WINBUGS data'!$F$17:$ZZ$65,MATCH($C10,'WINBUGS data'!$F$17:$F$65,0),MATCH("t[,"&amp;F$4 &amp;"]",'WINBUGS data'!$F$16:$ZZ$16,0)),"")</f>
        <v>2</v>
      </c>
      <c r="G10" s="31">
        <f>IFERROR(INDEX('WINBUGS data'!$F$17:$ZZ$65,MATCH($C10,'WINBUGS data'!$F$17:$F$65,0),MATCH("t[,"&amp;G$4 &amp;"]",'WINBUGS data'!$F$16:$ZZ$16,0)),"")</f>
        <v>8</v>
      </c>
      <c r="H10" s="31" t="str">
        <f>IFERROR(INDEX('WINBUGS data'!$F$17:$ZZ$65,MATCH($C10,'WINBUGS data'!$F$17:$F$65,0),MATCH("t[,"&amp;H$4 &amp;"]",'WINBUGS data'!$F$16:$ZZ$16,0)),"")</f>
        <v>NA</v>
      </c>
      <c r="I10" s="31" t="str">
        <f>IFERROR(INDEX('WINBUGS data'!$F$17:$ZZ$65,MATCH($C10,'WINBUGS data'!$F$17:$F$65,0),MATCH("t[,"&amp;I$4 &amp;"]",'WINBUGS data'!$F$16:$ZZ$16,0)),"")</f>
        <v>NA</v>
      </c>
      <c r="J10" s="31" t="str">
        <f>IFERROR(INDEX('WINBUGS data'!$F$17:$ZZ$65,MATCH($C10,'WINBUGS data'!$F$17:$F$65,0),MATCH("t[,"&amp;J$4 &amp;"]",'WINBUGS data'!$F$16:$ZZ$16,0)),"")</f>
        <v>NA</v>
      </c>
      <c r="K10" s="31" t="str">
        <f>IFERROR(INDEX('WINBUGS data'!$F$17:$ZZ$65,MATCH($C10,'WINBUGS data'!$F$17:$F$65,0),MATCH("t[,"&amp;K$4 &amp;"]",'WINBUGS data'!$F$16:$ZZ$16,0)),"")</f>
        <v>NA</v>
      </c>
      <c r="L10" s="31" t="str">
        <f>IFERROR(INDEX('WINBUGS data'!$F$17:$ZZ$65,MATCH($C10,'WINBUGS data'!$F$17:$F$65,0),MATCH("t[,"&amp;L$4 &amp;"]",'WINBUGS data'!$F$16:$ZZ$16,0)),"")</f>
        <v>NA</v>
      </c>
      <c r="M10" s="31" t="str">
        <f>IFERROR(INDEX('WINBUGS data'!$F$17:$ZZ$65,MATCH($C10,'WINBUGS data'!$F$17:$F$65,0),MATCH("t[,"&amp;M$4 &amp;"]",'WINBUGS data'!$F$16:$ZZ$16,0)),"")</f>
        <v>NA</v>
      </c>
      <c r="N10" s="31" t="str">
        <f>IFERROR(INDEX('WINBUGS data'!$F$17:$ZZ$65,MATCH($C10,'WINBUGS data'!$F$17:$F$65,0),MATCH("t[,"&amp;N$4 &amp;"]",'WINBUGS data'!$F$16:$ZZ$16,0)),"")</f>
        <v>NA</v>
      </c>
      <c r="O10" s="31" t="str">
        <f>IFERROR(INDEX('WINBUGS data'!$F$17:$ZZ$65,MATCH($C10,'WINBUGS data'!$F$17:$F$65,0),MATCH("t[,"&amp;O$4 &amp;"]",'WINBUGS data'!$F$16:$ZZ$16,0)),"")</f>
        <v>NA</v>
      </c>
      <c r="P10" s="31" t="str">
        <f>IFERROR(INDEX('WINBUGS data'!$F$17:$ZZ$65,MATCH($C10,'WINBUGS data'!$F$17:$F$65,0),MATCH("t[,"&amp;P$4 &amp;"]",'WINBUGS data'!$F$16:$ZZ$16,0)),"")</f>
        <v/>
      </c>
      <c r="Q10" s="31" t="str">
        <f>IFERROR(INDEX('WINBUGS data'!$F$17:$ZZ$65,MATCH($C10,'WINBUGS data'!$F$17:$F$65,0),MATCH("t[,"&amp;Q$4 &amp;"]",'WINBUGS data'!$F$16:$ZZ$16,0)),"")</f>
        <v/>
      </c>
      <c r="R10" s="31" t="str">
        <f>IFERROR(INDEX('WINBUGS data'!$F$17:$ZZ$65,MATCH($C10,'WINBUGS data'!$F$17:$F$65,0),MATCH("t[,"&amp;R$4 &amp;"]",'WINBUGS data'!$F$16:$ZZ$16,0)),"")</f>
        <v/>
      </c>
      <c r="S10" s="31" t="str">
        <f>IFERROR(INDEX('WINBUGS data'!$F$17:$ZZ$65,MATCH($C10,'WINBUGS data'!$F$17:$F$65,0),MATCH("t[,"&amp;S$4 &amp;"]",'WINBUGS data'!$F$16:$ZZ$16,0)),"")</f>
        <v/>
      </c>
      <c r="T10" s="1" t="str">
        <f>IFERROR(INDEX('WINBUGS data'!$F$17:$ZZ$65,MATCH($C10,'WINBUGS data'!$F$17:$F$65,0),MATCH("t[,"&amp;T$4 &amp;"]",'WINBUGS data'!$F$16:$ZZ$16,0)),"")</f>
        <v/>
      </c>
    </row>
    <row r="11" spans="2:20" x14ac:dyDescent="0.25">
      <c r="B11" s="31">
        <v>0.41823282837867737</v>
      </c>
      <c r="C11" s="26">
        <f>IF('WINBUGS data'!F23&lt;&gt;"",'WINBUGS data'!F23,"")</f>
        <v>7</v>
      </c>
      <c r="D11" s="31">
        <f>IFERROR(INDEX('WINBUGS data'!$F$17:$ZZ$65,MATCH(C11,'WINBUGS data'!$F$17:$F$65,0),MATCH("na[]",'WINBUGS data'!$F$16:$ZZ$16,0)),"")</f>
        <v>2</v>
      </c>
      <c r="E11" s="31" t="str">
        <f t="shared" si="0"/>
        <v>2,5</v>
      </c>
      <c r="F11" s="31">
        <f>IFERROR(INDEX('WINBUGS data'!$F$17:$ZZ$65,MATCH($C11,'WINBUGS data'!$F$17:$F$65,0),MATCH("t[,"&amp;F$4 &amp;"]",'WINBUGS data'!$F$16:$ZZ$16,0)),"")</f>
        <v>2</v>
      </c>
      <c r="G11" s="31">
        <f>IFERROR(INDEX('WINBUGS data'!$F$17:$ZZ$65,MATCH($C11,'WINBUGS data'!$F$17:$F$65,0),MATCH("t[,"&amp;G$4 &amp;"]",'WINBUGS data'!$F$16:$ZZ$16,0)),"")</f>
        <v>5</v>
      </c>
      <c r="H11" s="31" t="str">
        <f>IFERROR(INDEX('WINBUGS data'!$F$17:$ZZ$65,MATCH($C11,'WINBUGS data'!$F$17:$F$65,0),MATCH("t[,"&amp;H$4 &amp;"]",'WINBUGS data'!$F$16:$ZZ$16,0)),"")</f>
        <v>NA</v>
      </c>
      <c r="I11" s="31" t="str">
        <f>IFERROR(INDEX('WINBUGS data'!$F$17:$ZZ$65,MATCH($C11,'WINBUGS data'!$F$17:$F$65,0),MATCH("t[,"&amp;I$4 &amp;"]",'WINBUGS data'!$F$16:$ZZ$16,0)),"")</f>
        <v>NA</v>
      </c>
      <c r="J11" s="31" t="str">
        <f>IFERROR(INDEX('WINBUGS data'!$F$17:$ZZ$65,MATCH($C11,'WINBUGS data'!$F$17:$F$65,0),MATCH("t[,"&amp;J$4 &amp;"]",'WINBUGS data'!$F$16:$ZZ$16,0)),"")</f>
        <v>NA</v>
      </c>
      <c r="K11" s="31" t="str">
        <f>IFERROR(INDEX('WINBUGS data'!$F$17:$ZZ$65,MATCH($C11,'WINBUGS data'!$F$17:$F$65,0),MATCH("t[,"&amp;K$4 &amp;"]",'WINBUGS data'!$F$16:$ZZ$16,0)),"")</f>
        <v>NA</v>
      </c>
      <c r="L11" s="31" t="str">
        <f>IFERROR(INDEX('WINBUGS data'!$F$17:$ZZ$65,MATCH($C11,'WINBUGS data'!$F$17:$F$65,0),MATCH("t[,"&amp;L$4 &amp;"]",'WINBUGS data'!$F$16:$ZZ$16,0)),"")</f>
        <v>NA</v>
      </c>
      <c r="M11" s="31" t="str">
        <f>IFERROR(INDEX('WINBUGS data'!$F$17:$ZZ$65,MATCH($C11,'WINBUGS data'!$F$17:$F$65,0),MATCH("t[,"&amp;M$4 &amp;"]",'WINBUGS data'!$F$16:$ZZ$16,0)),"")</f>
        <v>NA</v>
      </c>
      <c r="N11" s="31" t="str">
        <f>IFERROR(INDEX('WINBUGS data'!$F$17:$ZZ$65,MATCH($C11,'WINBUGS data'!$F$17:$F$65,0),MATCH("t[,"&amp;N$4 &amp;"]",'WINBUGS data'!$F$16:$ZZ$16,0)),"")</f>
        <v>NA</v>
      </c>
      <c r="O11" s="31" t="str">
        <f>IFERROR(INDEX('WINBUGS data'!$F$17:$ZZ$65,MATCH($C11,'WINBUGS data'!$F$17:$F$65,0),MATCH("t[,"&amp;O$4 &amp;"]",'WINBUGS data'!$F$16:$ZZ$16,0)),"")</f>
        <v>NA</v>
      </c>
      <c r="P11" s="31" t="str">
        <f>IFERROR(INDEX('WINBUGS data'!$F$17:$ZZ$65,MATCH($C11,'WINBUGS data'!$F$17:$F$65,0),MATCH("t[,"&amp;P$4 &amp;"]",'WINBUGS data'!$F$16:$ZZ$16,0)),"")</f>
        <v/>
      </c>
      <c r="Q11" s="31" t="str">
        <f>IFERROR(INDEX('WINBUGS data'!$F$17:$ZZ$65,MATCH($C11,'WINBUGS data'!$F$17:$F$65,0),MATCH("t[,"&amp;Q$4 &amp;"]",'WINBUGS data'!$F$16:$ZZ$16,0)),"")</f>
        <v/>
      </c>
      <c r="R11" s="31" t="str">
        <f>IFERROR(INDEX('WINBUGS data'!$F$17:$ZZ$65,MATCH($C11,'WINBUGS data'!$F$17:$F$65,0),MATCH("t[,"&amp;R$4 &amp;"]",'WINBUGS data'!$F$16:$ZZ$16,0)),"")</f>
        <v/>
      </c>
      <c r="S11" s="31" t="str">
        <f>IFERROR(INDEX('WINBUGS data'!$F$17:$ZZ$65,MATCH($C11,'WINBUGS data'!$F$17:$F$65,0),MATCH("t[,"&amp;S$4 &amp;"]",'WINBUGS data'!$F$16:$ZZ$16,0)),"")</f>
        <v/>
      </c>
      <c r="T11" s="1" t="str">
        <f>IFERROR(INDEX('WINBUGS data'!$F$17:$ZZ$65,MATCH($C11,'WINBUGS data'!$F$17:$F$65,0),MATCH("t[,"&amp;T$4 &amp;"]",'WINBUGS data'!$F$16:$ZZ$16,0)),"")</f>
        <v/>
      </c>
    </row>
    <row r="12" spans="2:20" x14ac:dyDescent="0.25">
      <c r="B12" s="31">
        <v>0.26826399564743042</v>
      </c>
      <c r="C12" s="26">
        <f>IF('WINBUGS data'!F24&lt;&gt;"",'WINBUGS data'!F24,"")</f>
        <v>8</v>
      </c>
      <c r="D12" s="31">
        <f>IFERROR(INDEX('WINBUGS data'!$F$17:$ZZ$65,MATCH(C12,'WINBUGS data'!$F$17:$F$65,0),MATCH("na[]",'WINBUGS data'!$F$16:$ZZ$16,0)),"")</f>
        <v>2</v>
      </c>
      <c r="E12" s="31" t="str">
        <f t="shared" si="0"/>
        <v>1,10</v>
      </c>
      <c r="F12" s="31">
        <f>IFERROR(INDEX('WINBUGS data'!$F$17:$ZZ$65,MATCH($C12,'WINBUGS data'!$F$17:$F$65,0),MATCH("t[,"&amp;F$4 &amp;"]",'WINBUGS data'!$F$16:$ZZ$16,0)),"")</f>
        <v>1</v>
      </c>
      <c r="G12" s="31">
        <f>IFERROR(INDEX('WINBUGS data'!$F$17:$ZZ$65,MATCH($C12,'WINBUGS data'!$F$17:$F$65,0),MATCH("t[,"&amp;G$4 &amp;"]",'WINBUGS data'!$F$16:$ZZ$16,0)),"")</f>
        <v>10</v>
      </c>
      <c r="H12" s="31" t="str">
        <f>IFERROR(INDEX('WINBUGS data'!$F$17:$ZZ$65,MATCH($C12,'WINBUGS data'!$F$17:$F$65,0),MATCH("t[,"&amp;H$4 &amp;"]",'WINBUGS data'!$F$16:$ZZ$16,0)),"")</f>
        <v>NA</v>
      </c>
      <c r="I12" s="31" t="str">
        <f>IFERROR(INDEX('WINBUGS data'!$F$17:$ZZ$65,MATCH($C12,'WINBUGS data'!$F$17:$F$65,0),MATCH("t[,"&amp;I$4 &amp;"]",'WINBUGS data'!$F$16:$ZZ$16,0)),"")</f>
        <v>NA</v>
      </c>
      <c r="J12" s="31" t="str">
        <f>IFERROR(INDEX('WINBUGS data'!$F$17:$ZZ$65,MATCH($C12,'WINBUGS data'!$F$17:$F$65,0),MATCH("t[,"&amp;J$4 &amp;"]",'WINBUGS data'!$F$16:$ZZ$16,0)),"")</f>
        <v>NA</v>
      </c>
      <c r="K12" s="31" t="str">
        <f>IFERROR(INDEX('WINBUGS data'!$F$17:$ZZ$65,MATCH($C12,'WINBUGS data'!$F$17:$F$65,0),MATCH("t[,"&amp;K$4 &amp;"]",'WINBUGS data'!$F$16:$ZZ$16,0)),"")</f>
        <v>NA</v>
      </c>
      <c r="L12" s="31" t="str">
        <f>IFERROR(INDEX('WINBUGS data'!$F$17:$ZZ$65,MATCH($C12,'WINBUGS data'!$F$17:$F$65,0),MATCH("t[,"&amp;L$4 &amp;"]",'WINBUGS data'!$F$16:$ZZ$16,0)),"")</f>
        <v>NA</v>
      </c>
      <c r="M12" s="31" t="str">
        <f>IFERROR(INDEX('WINBUGS data'!$F$17:$ZZ$65,MATCH($C12,'WINBUGS data'!$F$17:$F$65,0),MATCH("t[,"&amp;M$4 &amp;"]",'WINBUGS data'!$F$16:$ZZ$16,0)),"")</f>
        <v>NA</v>
      </c>
      <c r="N12" s="31" t="str">
        <f>IFERROR(INDEX('WINBUGS data'!$F$17:$ZZ$65,MATCH($C12,'WINBUGS data'!$F$17:$F$65,0),MATCH("t[,"&amp;N$4 &amp;"]",'WINBUGS data'!$F$16:$ZZ$16,0)),"")</f>
        <v>NA</v>
      </c>
      <c r="O12" s="31" t="str">
        <f>IFERROR(INDEX('WINBUGS data'!$F$17:$ZZ$65,MATCH($C12,'WINBUGS data'!$F$17:$F$65,0),MATCH("t[,"&amp;O$4 &amp;"]",'WINBUGS data'!$F$16:$ZZ$16,0)),"")</f>
        <v>NA</v>
      </c>
      <c r="P12" s="31" t="str">
        <f>IFERROR(INDEX('WINBUGS data'!$F$17:$ZZ$65,MATCH($C12,'WINBUGS data'!$F$17:$F$65,0),MATCH("t[,"&amp;P$4 &amp;"]",'WINBUGS data'!$F$16:$ZZ$16,0)),"")</f>
        <v/>
      </c>
      <c r="Q12" s="31" t="str">
        <f>IFERROR(INDEX('WINBUGS data'!$F$17:$ZZ$65,MATCH($C12,'WINBUGS data'!$F$17:$F$65,0),MATCH("t[,"&amp;Q$4 &amp;"]",'WINBUGS data'!$F$16:$ZZ$16,0)),"")</f>
        <v/>
      </c>
      <c r="R12" s="31" t="str">
        <f>IFERROR(INDEX('WINBUGS data'!$F$17:$ZZ$65,MATCH($C12,'WINBUGS data'!$F$17:$F$65,0),MATCH("t[,"&amp;R$4 &amp;"]",'WINBUGS data'!$F$16:$ZZ$16,0)),"")</f>
        <v/>
      </c>
      <c r="S12" s="31" t="str">
        <f>IFERROR(INDEX('WINBUGS data'!$F$17:$ZZ$65,MATCH($C12,'WINBUGS data'!$F$17:$F$65,0),MATCH("t[,"&amp;S$4 &amp;"]",'WINBUGS data'!$F$16:$ZZ$16,0)),"")</f>
        <v/>
      </c>
      <c r="T12" s="1" t="str">
        <f>IFERROR(INDEX('WINBUGS data'!$F$17:$ZZ$65,MATCH($C12,'WINBUGS data'!$F$17:$F$65,0),MATCH("t[,"&amp;T$4 &amp;"]",'WINBUGS data'!$F$16:$ZZ$16,0)),"")</f>
        <v/>
      </c>
    </row>
    <row r="13" spans="2:20" x14ac:dyDescent="0.25">
      <c r="B13" s="31">
        <v>0.25647997856140137</v>
      </c>
      <c r="C13" s="26">
        <f>IF('WINBUGS data'!F25&lt;&gt;"",'WINBUGS data'!F25,"")</f>
        <v>9</v>
      </c>
      <c r="D13" s="31">
        <f>IFERROR(INDEX('WINBUGS data'!$F$17:$ZZ$65,MATCH(C13,'WINBUGS data'!$F$17:$F$65,0),MATCH("na[]",'WINBUGS data'!$F$16:$ZZ$16,0)),"")</f>
        <v>2</v>
      </c>
      <c r="E13" s="31" t="str">
        <f t="shared" si="0"/>
        <v>2,7</v>
      </c>
      <c r="F13" s="31">
        <f>IFERROR(INDEX('WINBUGS data'!$F$17:$ZZ$65,MATCH($C13,'WINBUGS data'!$F$17:$F$65,0),MATCH("t[,"&amp;F$4 &amp;"]",'WINBUGS data'!$F$16:$ZZ$16,0)),"")</f>
        <v>2</v>
      </c>
      <c r="G13" s="31">
        <f>IFERROR(INDEX('WINBUGS data'!$F$17:$ZZ$65,MATCH($C13,'WINBUGS data'!$F$17:$F$65,0),MATCH("t[,"&amp;G$4 &amp;"]",'WINBUGS data'!$F$16:$ZZ$16,0)),"")</f>
        <v>7</v>
      </c>
      <c r="H13" s="31" t="str">
        <f>IFERROR(INDEX('WINBUGS data'!$F$17:$ZZ$65,MATCH($C13,'WINBUGS data'!$F$17:$F$65,0),MATCH("t[,"&amp;H$4 &amp;"]",'WINBUGS data'!$F$16:$ZZ$16,0)),"")</f>
        <v>NA</v>
      </c>
      <c r="I13" s="31" t="str">
        <f>IFERROR(INDEX('WINBUGS data'!$F$17:$ZZ$65,MATCH($C13,'WINBUGS data'!$F$17:$F$65,0),MATCH("t[,"&amp;I$4 &amp;"]",'WINBUGS data'!$F$16:$ZZ$16,0)),"")</f>
        <v>NA</v>
      </c>
      <c r="J13" s="31" t="str">
        <f>IFERROR(INDEX('WINBUGS data'!$F$17:$ZZ$65,MATCH($C13,'WINBUGS data'!$F$17:$F$65,0),MATCH("t[,"&amp;J$4 &amp;"]",'WINBUGS data'!$F$16:$ZZ$16,0)),"")</f>
        <v>NA</v>
      </c>
      <c r="K13" s="31" t="str">
        <f>IFERROR(INDEX('WINBUGS data'!$F$17:$ZZ$65,MATCH($C13,'WINBUGS data'!$F$17:$F$65,0),MATCH("t[,"&amp;K$4 &amp;"]",'WINBUGS data'!$F$16:$ZZ$16,0)),"")</f>
        <v>NA</v>
      </c>
      <c r="L13" s="31" t="str">
        <f>IFERROR(INDEX('WINBUGS data'!$F$17:$ZZ$65,MATCH($C13,'WINBUGS data'!$F$17:$F$65,0),MATCH("t[,"&amp;L$4 &amp;"]",'WINBUGS data'!$F$16:$ZZ$16,0)),"")</f>
        <v>NA</v>
      </c>
      <c r="M13" s="31" t="str">
        <f>IFERROR(INDEX('WINBUGS data'!$F$17:$ZZ$65,MATCH($C13,'WINBUGS data'!$F$17:$F$65,0),MATCH("t[,"&amp;M$4 &amp;"]",'WINBUGS data'!$F$16:$ZZ$16,0)),"")</f>
        <v>NA</v>
      </c>
      <c r="N13" s="31" t="str">
        <f>IFERROR(INDEX('WINBUGS data'!$F$17:$ZZ$65,MATCH($C13,'WINBUGS data'!$F$17:$F$65,0),MATCH("t[,"&amp;N$4 &amp;"]",'WINBUGS data'!$F$16:$ZZ$16,0)),"")</f>
        <v>NA</v>
      </c>
      <c r="O13" s="31" t="str">
        <f>IFERROR(INDEX('WINBUGS data'!$F$17:$ZZ$65,MATCH($C13,'WINBUGS data'!$F$17:$F$65,0),MATCH("t[,"&amp;O$4 &amp;"]",'WINBUGS data'!$F$16:$ZZ$16,0)),"")</f>
        <v>NA</v>
      </c>
      <c r="P13" s="31" t="str">
        <f>IFERROR(INDEX('WINBUGS data'!$F$17:$ZZ$65,MATCH($C13,'WINBUGS data'!$F$17:$F$65,0),MATCH("t[,"&amp;P$4 &amp;"]",'WINBUGS data'!$F$16:$ZZ$16,0)),"")</f>
        <v/>
      </c>
      <c r="Q13" s="31" t="str">
        <f>IFERROR(INDEX('WINBUGS data'!$F$17:$ZZ$65,MATCH($C13,'WINBUGS data'!$F$17:$F$65,0),MATCH("t[,"&amp;Q$4 &amp;"]",'WINBUGS data'!$F$16:$ZZ$16,0)),"")</f>
        <v/>
      </c>
      <c r="R13" s="31" t="str">
        <f>IFERROR(INDEX('WINBUGS data'!$F$17:$ZZ$65,MATCH($C13,'WINBUGS data'!$F$17:$F$65,0),MATCH("t[,"&amp;R$4 &amp;"]",'WINBUGS data'!$F$16:$ZZ$16,0)),"")</f>
        <v/>
      </c>
      <c r="S13" s="31" t="str">
        <f>IFERROR(INDEX('WINBUGS data'!$F$17:$ZZ$65,MATCH($C13,'WINBUGS data'!$F$17:$F$65,0),MATCH("t[,"&amp;S$4 &amp;"]",'WINBUGS data'!$F$16:$ZZ$16,0)),"")</f>
        <v/>
      </c>
      <c r="T13" s="1" t="str">
        <f>IFERROR(INDEX('WINBUGS data'!$F$17:$ZZ$65,MATCH($C13,'WINBUGS data'!$F$17:$F$65,0),MATCH("t[,"&amp;T$4 &amp;"]",'WINBUGS data'!$F$16:$ZZ$16,0)),"")</f>
        <v/>
      </c>
    </row>
    <row r="14" spans="2:20" x14ac:dyDescent="0.25">
      <c r="B14" s="31">
        <v>0.17627924680709839</v>
      </c>
      <c r="C14" s="26">
        <f>IF('WINBUGS data'!F26&lt;&gt;"",'WINBUGS data'!F26,"")</f>
        <v>10</v>
      </c>
      <c r="D14" s="31">
        <f>IFERROR(INDEX('WINBUGS data'!$F$17:$ZZ$65,MATCH(C14,'WINBUGS data'!$F$17:$F$65,0),MATCH("na[]",'WINBUGS data'!$F$16:$ZZ$16,0)),"")</f>
        <v>2</v>
      </c>
      <c r="E14" s="31" t="str">
        <f t="shared" si="0"/>
        <v>1,2</v>
      </c>
      <c r="F14" s="31">
        <f>IFERROR(INDEX('WINBUGS data'!$F$17:$ZZ$65,MATCH($C14,'WINBUGS data'!$F$17:$F$65,0),MATCH("t[,"&amp;F$4 &amp;"]",'WINBUGS data'!$F$16:$ZZ$16,0)),"")</f>
        <v>1</v>
      </c>
      <c r="G14" s="31">
        <f>IFERROR(INDEX('WINBUGS data'!$F$17:$ZZ$65,MATCH($C14,'WINBUGS data'!$F$17:$F$65,0),MATCH("t[,"&amp;G$4 &amp;"]",'WINBUGS data'!$F$16:$ZZ$16,0)),"")</f>
        <v>2</v>
      </c>
      <c r="H14" s="31" t="str">
        <f>IFERROR(INDEX('WINBUGS data'!$F$17:$ZZ$65,MATCH($C14,'WINBUGS data'!$F$17:$F$65,0),MATCH("t[,"&amp;H$4 &amp;"]",'WINBUGS data'!$F$16:$ZZ$16,0)),"")</f>
        <v>NA</v>
      </c>
      <c r="I14" s="31" t="str">
        <f>IFERROR(INDEX('WINBUGS data'!$F$17:$ZZ$65,MATCH($C14,'WINBUGS data'!$F$17:$F$65,0),MATCH("t[,"&amp;I$4 &amp;"]",'WINBUGS data'!$F$16:$ZZ$16,0)),"")</f>
        <v>NA</v>
      </c>
      <c r="J14" s="31" t="str">
        <f>IFERROR(INDEX('WINBUGS data'!$F$17:$ZZ$65,MATCH($C14,'WINBUGS data'!$F$17:$F$65,0),MATCH("t[,"&amp;J$4 &amp;"]",'WINBUGS data'!$F$16:$ZZ$16,0)),"")</f>
        <v>NA</v>
      </c>
      <c r="K14" s="31" t="str">
        <f>IFERROR(INDEX('WINBUGS data'!$F$17:$ZZ$65,MATCH($C14,'WINBUGS data'!$F$17:$F$65,0),MATCH("t[,"&amp;K$4 &amp;"]",'WINBUGS data'!$F$16:$ZZ$16,0)),"")</f>
        <v>NA</v>
      </c>
      <c r="L14" s="31" t="str">
        <f>IFERROR(INDEX('WINBUGS data'!$F$17:$ZZ$65,MATCH($C14,'WINBUGS data'!$F$17:$F$65,0),MATCH("t[,"&amp;L$4 &amp;"]",'WINBUGS data'!$F$16:$ZZ$16,0)),"")</f>
        <v>NA</v>
      </c>
      <c r="M14" s="31" t="str">
        <f>IFERROR(INDEX('WINBUGS data'!$F$17:$ZZ$65,MATCH($C14,'WINBUGS data'!$F$17:$F$65,0),MATCH("t[,"&amp;M$4 &amp;"]",'WINBUGS data'!$F$16:$ZZ$16,0)),"")</f>
        <v>NA</v>
      </c>
      <c r="N14" s="31" t="str">
        <f>IFERROR(INDEX('WINBUGS data'!$F$17:$ZZ$65,MATCH($C14,'WINBUGS data'!$F$17:$F$65,0),MATCH("t[,"&amp;N$4 &amp;"]",'WINBUGS data'!$F$16:$ZZ$16,0)),"")</f>
        <v>NA</v>
      </c>
      <c r="O14" s="31" t="str">
        <f>IFERROR(INDEX('WINBUGS data'!$F$17:$ZZ$65,MATCH($C14,'WINBUGS data'!$F$17:$F$65,0),MATCH("t[,"&amp;O$4 &amp;"]",'WINBUGS data'!$F$16:$ZZ$16,0)),"")</f>
        <v>NA</v>
      </c>
      <c r="P14" s="31" t="str">
        <f>IFERROR(INDEX('WINBUGS data'!$F$17:$ZZ$65,MATCH($C14,'WINBUGS data'!$F$17:$F$65,0),MATCH("t[,"&amp;P$4 &amp;"]",'WINBUGS data'!$F$16:$ZZ$16,0)),"")</f>
        <v/>
      </c>
      <c r="Q14" s="31" t="str">
        <f>IFERROR(INDEX('WINBUGS data'!$F$17:$ZZ$65,MATCH($C14,'WINBUGS data'!$F$17:$F$65,0),MATCH("t[,"&amp;Q$4 &amp;"]",'WINBUGS data'!$F$16:$ZZ$16,0)),"")</f>
        <v/>
      </c>
      <c r="R14" s="31" t="str">
        <f>IFERROR(INDEX('WINBUGS data'!$F$17:$ZZ$65,MATCH($C14,'WINBUGS data'!$F$17:$F$65,0),MATCH("t[,"&amp;R$4 &amp;"]",'WINBUGS data'!$F$16:$ZZ$16,0)),"")</f>
        <v/>
      </c>
      <c r="S14" s="31" t="str">
        <f>IFERROR(INDEX('WINBUGS data'!$F$17:$ZZ$65,MATCH($C14,'WINBUGS data'!$F$17:$F$65,0),MATCH("t[,"&amp;S$4 &amp;"]",'WINBUGS data'!$F$16:$ZZ$16,0)),"")</f>
        <v/>
      </c>
      <c r="T14" s="1" t="str">
        <f>IFERROR(INDEX('WINBUGS data'!$F$17:$ZZ$65,MATCH($C14,'WINBUGS data'!$F$17:$F$65,0),MATCH("t[,"&amp;T$4 &amp;"]",'WINBUGS data'!$F$16:$ZZ$16,0)),"")</f>
        <v/>
      </c>
    </row>
    <row r="15" spans="2:20" x14ac:dyDescent="0.25">
      <c r="B15" s="31">
        <v>0.39629256725311279</v>
      </c>
      <c r="C15" s="26">
        <f>IF('WINBUGS data'!F27&lt;&gt;"",'WINBUGS data'!F27,"")</f>
        <v>11</v>
      </c>
      <c r="D15" s="31">
        <f>IFERROR(INDEX('WINBUGS data'!$F$17:$ZZ$65,MATCH(C15,'WINBUGS data'!$F$17:$F$65,0),MATCH("na[]",'WINBUGS data'!$F$16:$ZZ$16,0)),"")</f>
        <v>2</v>
      </c>
      <c r="E15" s="31" t="str">
        <f t="shared" si="0"/>
        <v>1,3</v>
      </c>
      <c r="F15" s="31">
        <f>IFERROR(INDEX('WINBUGS data'!$F$17:$ZZ$65,MATCH($C15,'WINBUGS data'!$F$17:$F$65,0),MATCH("t[,"&amp;F$4 &amp;"]",'WINBUGS data'!$F$16:$ZZ$16,0)),"")</f>
        <v>1</v>
      </c>
      <c r="G15" s="31">
        <f>IFERROR(INDEX('WINBUGS data'!$F$17:$ZZ$65,MATCH($C15,'WINBUGS data'!$F$17:$F$65,0),MATCH("t[,"&amp;G$4 &amp;"]",'WINBUGS data'!$F$16:$ZZ$16,0)),"")</f>
        <v>3</v>
      </c>
      <c r="H15" s="31" t="str">
        <f>IFERROR(INDEX('WINBUGS data'!$F$17:$ZZ$65,MATCH($C15,'WINBUGS data'!$F$17:$F$65,0),MATCH("t[,"&amp;H$4 &amp;"]",'WINBUGS data'!$F$16:$ZZ$16,0)),"")</f>
        <v>NA</v>
      </c>
      <c r="I15" s="31" t="str">
        <f>IFERROR(INDEX('WINBUGS data'!$F$17:$ZZ$65,MATCH($C15,'WINBUGS data'!$F$17:$F$65,0),MATCH("t[,"&amp;I$4 &amp;"]",'WINBUGS data'!$F$16:$ZZ$16,0)),"")</f>
        <v>NA</v>
      </c>
      <c r="J15" s="31" t="str">
        <f>IFERROR(INDEX('WINBUGS data'!$F$17:$ZZ$65,MATCH($C15,'WINBUGS data'!$F$17:$F$65,0),MATCH("t[,"&amp;J$4 &amp;"]",'WINBUGS data'!$F$16:$ZZ$16,0)),"")</f>
        <v>NA</v>
      </c>
      <c r="K15" s="31" t="str">
        <f>IFERROR(INDEX('WINBUGS data'!$F$17:$ZZ$65,MATCH($C15,'WINBUGS data'!$F$17:$F$65,0),MATCH("t[,"&amp;K$4 &amp;"]",'WINBUGS data'!$F$16:$ZZ$16,0)),"")</f>
        <v>NA</v>
      </c>
      <c r="L15" s="31" t="str">
        <f>IFERROR(INDEX('WINBUGS data'!$F$17:$ZZ$65,MATCH($C15,'WINBUGS data'!$F$17:$F$65,0),MATCH("t[,"&amp;L$4 &amp;"]",'WINBUGS data'!$F$16:$ZZ$16,0)),"")</f>
        <v>NA</v>
      </c>
      <c r="M15" s="31" t="str">
        <f>IFERROR(INDEX('WINBUGS data'!$F$17:$ZZ$65,MATCH($C15,'WINBUGS data'!$F$17:$F$65,0),MATCH("t[,"&amp;M$4 &amp;"]",'WINBUGS data'!$F$16:$ZZ$16,0)),"")</f>
        <v>NA</v>
      </c>
      <c r="N15" s="31" t="str">
        <f>IFERROR(INDEX('WINBUGS data'!$F$17:$ZZ$65,MATCH($C15,'WINBUGS data'!$F$17:$F$65,0),MATCH("t[,"&amp;N$4 &amp;"]",'WINBUGS data'!$F$16:$ZZ$16,0)),"")</f>
        <v>NA</v>
      </c>
      <c r="O15" s="31" t="str">
        <f>IFERROR(INDEX('WINBUGS data'!$F$17:$ZZ$65,MATCH($C15,'WINBUGS data'!$F$17:$F$65,0),MATCH("t[,"&amp;O$4 &amp;"]",'WINBUGS data'!$F$16:$ZZ$16,0)),"")</f>
        <v>NA</v>
      </c>
      <c r="P15" s="31" t="str">
        <f>IFERROR(INDEX('WINBUGS data'!$F$17:$ZZ$65,MATCH($C15,'WINBUGS data'!$F$17:$F$65,0),MATCH("t[,"&amp;P$4 &amp;"]",'WINBUGS data'!$F$16:$ZZ$16,0)),"")</f>
        <v/>
      </c>
      <c r="Q15" s="31" t="str">
        <f>IFERROR(INDEX('WINBUGS data'!$F$17:$ZZ$65,MATCH($C15,'WINBUGS data'!$F$17:$F$65,0),MATCH("t[,"&amp;Q$4 &amp;"]",'WINBUGS data'!$F$16:$ZZ$16,0)),"")</f>
        <v/>
      </c>
      <c r="R15" s="31" t="str">
        <f>IFERROR(INDEX('WINBUGS data'!$F$17:$ZZ$65,MATCH($C15,'WINBUGS data'!$F$17:$F$65,0),MATCH("t[,"&amp;R$4 &amp;"]",'WINBUGS data'!$F$16:$ZZ$16,0)),"")</f>
        <v/>
      </c>
      <c r="S15" s="31" t="str">
        <f>IFERROR(INDEX('WINBUGS data'!$F$17:$ZZ$65,MATCH($C15,'WINBUGS data'!$F$17:$F$65,0),MATCH("t[,"&amp;S$4 &amp;"]",'WINBUGS data'!$F$16:$ZZ$16,0)),"")</f>
        <v/>
      </c>
      <c r="T15" s="1" t="str">
        <f>IFERROR(INDEX('WINBUGS data'!$F$17:$ZZ$65,MATCH($C15,'WINBUGS data'!$F$17:$F$65,0),MATCH("t[,"&amp;T$4 &amp;"]",'WINBUGS data'!$F$16:$ZZ$16,0)),"")</f>
        <v/>
      </c>
    </row>
    <row r="16" spans="2:20" x14ac:dyDescent="0.25">
      <c r="B16" s="31">
        <v>0.15415067970752716</v>
      </c>
      <c r="C16" s="26">
        <f>IF('WINBUGS data'!F28&lt;&gt;"",'WINBUGS data'!F28,"")</f>
        <v>12</v>
      </c>
      <c r="D16" s="31">
        <f>IFERROR(INDEX('WINBUGS data'!$F$17:$ZZ$65,MATCH(C16,'WINBUGS data'!$F$17:$F$65,0),MATCH("na[]",'WINBUGS data'!$F$16:$ZZ$16,0)),"")</f>
        <v>2</v>
      </c>
      <c r="E16" s="31" t="str">
        <f t="shared" si="0"/>
        <v>3,4</v>
      </c>
      <c r="F16" s="31">
        <f>IFERROR(INDEX('WINBUGS data'!$F$17:$ZZ$65,MATCH($C16,'WINBUGS data'!$F$17:$F$65,0),MATCH("t[,"&amp;F$4 &amp;"]",'WINBUGS data'!$F$16:$ZZ$16,0)),"")</f>
        <v>3</v>
      </c>
      <c r="G16" s="31">
        <f>IFERROR(INDEX('WINBUGS data'!$F$17:$ZZ$65,MATCH($C16,'WINBUGS data'!$F$17:$F$65,0),MATCH("t[,"&amp;G$4 &amp;"]",'WINBUGS data'!$F$16:$ZZ$16,0)),"")</f>
        <v>4</v>
      </c>
      <c r="H16" s="31" t="str">
        <f>IFERROR(INDEX('WINBUGS data'!$F$17:$ZZ$65,MATCH($C16,'WINBUGS data'!$F$17:$F$65,0),MATCH("t[,"&amp;H$4 &amp;"]",'WINBUGS data'!$F$16:$ZZ$16,0)),"")</f>
        <v>NA</v>
      </c>
      <c r="I16" s="31" t="str">
        <f>IFERROR(INDEX('WINBUGS data'!$F$17:$ZZ$65,MATCH($C16,'WINBUGS data'!$F$17:$F$65,0),MATCH("t[,"&amp;I$4 &amp;"]",'WINBUGS data'!$F$16:$ZZ$16,0)),"")</f>
        <v>NA</v>
      </c>
      <c r="J16" s="31" t="str">
        <f>IFERROR(INDEX('WINBUGS data'!$F$17:$ZZ$65,MATCH($C16,'WINBUGS data'!$F$17:$F$65,0),MATCH("t[,"&amp;J$4 &amp;"]",'WINBUGS data'!$F$16:$ZZ$16,0)),"")</f>
        <v>NA</v>
      </c>
      <c r="K16" s="31" t="str">
        <f>IFERROR(INDEX('WINBUGS data'!$F$17:$ZZ$65,MATCH($C16,'WINBUGS data'!$F$17:$F$65,0),MATCH("t[,"&amp;K$4 &amp;"]",'WINBUGS data'!$F$16:$ZZ$16,0)),"")</f>
        <v>NA</v>
      </c>
      <c r="L16" s="31" t="str">
        <f>IFERROR(INDEX('WINBUGS data'!$F$17:$ZZ$65,MATCH($C16,'WINBUGS data'!$F$17:$F$65,0),MATCH("t[,"&amp;L$4 &amp;"]",'WINBUGS data'!$F$16:$ZZ$16,0)),"")</f>
        <v>NA</v>
      </c>
      <c r="M16" s="31" t="str">
        <f>IFERROR(INDEX('WINBUGS data'!$F$17:$ZZ$65,MATCH($C16,'WINBUGS data'!$F$17:$F$65,0),MATCH("t[,"&amp;M$4 &amp;"]",'WINBUGS data'!$F$16:$ZZ$16,0)),"")</f>
        <v>NA</v>
      </c>
      <c r="N16" s="31" t="str">
        <f>IFERROR(INDEX('WINBUGS data'!$F$17:$ZZ$65,MATCH($C16,'WINBUGS data'!$F$17:$F$65,0),MATCH("t[,"&amp;N$4 &amp;"]",'WINBUGS data'!$F$16:$ZZ$16,0)),"")</f>
        <v>NA</v>
      </c>
      <c r="O16" s="31" t="str">
        <f>IFERROR(INDEX('WINBUGS data'!$F$17:$ZZ$65,MATCH($C16,'WINBUGS data'!$F$17:$F$65,0),MATCH("t[,"&amp;O$4 &amp;"]",'WINBUGS data'!$F$16:$ZZ$16,0)),"")</f>
        <v>NA</v>
      </c>
      <c r="P16" s="31" t="str">
        <f>IFERROR(INDEX('WINBUGS data'!$F$17:$ZZ$65,MATCH($C16,'WINBUGS data'!$F$17:$F$65,0),MATCH("t[,"&amp;P$4 &amp;"]",'WINBUGS data'!$F$16:$ZZ$16,0)),"")</f>
        <v/>
      </c>
      <c r="Q16" s="31" t="str">
        <f>IFERROR(INDEX('WINBUGS data'!$F$17:$ZZ$65,MATCH($C16,'WINBUGS data'!$F$17:$F$65,0),MATCH("t[,"&amp;Q$4 &amp;"]",'WINBUGS data'!$F$16:$ZZ$16,0)),"")</f>
        <v/>
      </c>
      <c r="R16" s="31" t="str">
        <f>IFERROR(INDEX('WINBUGS data'!$F$17:$ZZ$65,MATCH($C16,'WINBUGS data'!$F$17:$F$65,0),MATCH("t[,"&amp;R$4 &amp;"]",'WINBUGS data'!$F$16:$ZZ$16,0)),"")</f>
        <v/>
      </c>
      <c r="S16" s="31" t="str">
        <f>IFERROR(INDEX('WINBUGS data'!$F$17:$ZZ$65,MATCH($C16,'WINBUGS data'!$F$17:$F$65,0),MATCH("t[,"&amp;S$4 &amp;"]",'WINBUGS data'!$F$16:$ZZ$16,0)),"")</f>
        <v/>
      </c>
      <c r="T16" s="1" t="str">
        <f>IFERROR(INDEX('WINBUGS data'!$F$17:$ZZ$65,MATCH($C16,'WINBUGS data'!$F$17:$F$65,0),MATCH("t[,"&amp;T$4 &amp;"]",'WINBUGS data'!$F$16:$ZZ$16,0)),"")</f>
        <v/>
      </c>
    </row>
    <row r="17" spans="2:20" x14ac:dyDescent="0.25">
      <c r="B17" s="31"/>
      <c r="C17" s="26">
        <f>IF('WINBUGS data'!F29&lt;&gt;"",'WINBUGS data'!F29,"")</f>
        <v>13</v>
      </c>
      <c r="D17" s="31">
        <f>IFERROR(INDEX('WINBUGS data'!$F$17:$ZZ$65,MATCH(C17,'WINBUGS data'!$F$17:$F$65,0),MATCH("na[]",'WINBUGS data'!$F$16:$ZZ$16,0)),"")</f>
        <v>2</v>
      </c>
      <c r="E17" s="31" t="str">
        <f t="shared" si="0"/>
        <v>1,8</v>
      </c>
      <c r="F17" s="31">
        <f>IFERROR(INDEX('WINBUGS data'!$F$17:$ZZ$65,MATCH($C17,'WINBUGS data'!$F$17:$F$65,0),MATCH("t[,"&amp;F$4 &amp;"]",'WINBUGS data'!$F$16:$ZZ$16,0)),"")</f>
        <v>1</v>
      </c>
      <c r="G17" s="31">
        <f>IFERROR(INDEX('WINBUGS data'!$F$17:$ZZ$65,MATCH($C17,'WINBUGS data'!$F$17:$F$65,0),MATCH("t[,"&amp;G$4 &amp;"]",'WINBUGS data'!$F$16:$ZZ$16,0)),"")</f>
        <v>8</v>
      </c>
      <c r="H17" s="31" t="str">
        <f>IFERROR(INDEX('WINBUGS data'!$F$17:$ZZ$65,MATCH($C17,'WINBUGS data'!$F$17:$F$65,0),MATCH("t[,"&amp;H$4 &amp;"]",'WINBUGS data'!$F$16:$ZZ$16,0)),"")</f>
        <v>NA</v>
      </c>
      <c r="I17" s="31" t="str">
        <f>IFERROR(INDEX('WINBUGS data'!$F$17:$ZZ$65,MATCH($C17,'WINBUGS data'!$F$17:$F$65,0),MATCH("t[,"&amp;I$4 &amp;"]",'WINBUGS data'!$F$16:$ZZ$16,0)),"")</f>
        <v>NA</v>
      </c>
      <c r="J17" s="31" t="str">
        <f>IFERROR(INDEX('WINBUGS data'!$F$17:$ZZ$65,MATCH($C17,'WINBUGS data'!$F$17:$F$65,0),MATCH("t[,"&amp;J$4 &amp;"]",'WINBUGS data'!$F$16:$ZZ$16,0)),"")</f>
        <v>NA</v>
      </c>
      <c r="K17" s="31" t="str">
        <f>IFERROR(INDEX('WINBUGS data'!$F$17:$ZZ$65,MATCH($C17,'WINBUGS data'!$F$17:$F$65,0),MATCH("t[,"&amp;K$4 &amp;"]",'WINBUGS data'!$F$16:$ZZ$16,0)),"")</f>
        <v>NA</v>
      </c>
      <c r="L17" s="31" t="str">
        <f>IFERROR(INDEX('WINBUGS data'!$F$17:$ZZ$65,MATCH($C17,'WINBUGS data'!$F$17:$F$65,0),MATCH("t[,"&amp;L$4 &amp;"]",'WINBUGS data'!$F$16:$ZZ$16,0)),"")</f>
        <v>NA</v>
      </c>
      <c r="M17" s="31" t="str">
        <f>IFERROR(INDEX('WINBUGS data'!$F$17:$ZZ$65,MATCH($C17,'WINBUGS data'!$F$17:$F$65,0),MATCH("t[,"&amp;M$4 &amp;"]",'WINBUGS data'!$F$16:$ZZ$16,0)),"")</f>
        <v>NA</v>
      </c>
      <c r="N17" s="31" t="str">
        <f>IFERROR(INDEX('WINBUGS data'!$F$17:$ZZ$65,MATCH($C17,'WINBUGS data'!$F$17:$F$65,0),MATCH("t[,"&amp;N$4 &amp;"]",'WINBUGS data'!$F$16:$ZZ$16,0)),"")</f>
        <v>NA</v>
      </c>
      <c r="O17" s="31" t="str">
        <f>IFERROR(INDEX('WINBUGS data'!$F$17:$ZZ$65,MATCH($C17,'WINBUGS data'!$F$17:$F$65,0),MATCH("t[,"&amp;O$4 &amp;"]",'WINBUGS data'!$F$16:$ZZ$16,0)),"")</f>
        <v>NA</v>
      </c>
      <c r="P17" s="31" t="str">
        <f>IFERROR(INDEX('WINBUGS data'!$F$17:$ZZ$65,MATCH($C17,'WINBUGS data'!$F$17:$F$65,0),MATCH("t[,"&amp;P$4 &amp;"]",'WINBUGS data'!$F$16:$ZZ$16,0)),"")</f>
        <v/>
      </c>
      <c r="Q17" s="31" t="str">
        <f>IFERROR(INDEX('WINBUGS data'!$F$17:$ZZ$65,MATCH($C17,'WINBUGS data'!$F$17:$F$65,0),MATCH("t[,"&amp;Q$4 &amp;"]",'WINBUGS data'!$F$16:$ZZ$16,0)),"")</f>
        <v/>
      </c>
      <c r="R17" s="31" t="str">
        <f>IFERROR(INDEX('WINBUGS data'!$F$17:$ZZ$65,MATCH($C17,'WINBUGS data'!$F$17:$F$65,0),MATCH("t[,"&amp;R$4 &amp;"]",'WINBUGS data'!$F$16:$ZZ$16,0)),"")</f>
        <v/>
      </c>
      <c r="S17" s="31" t="str">
        <f>IFERROR(INDEX('WINBUGS data'!$F$17:$ZZ$65,MATCH($C17,'WINBUGS data'!$F$17:$F$65,0),MATCH("t[,"&amp;S$4 &amp;"]",'WINBUGS data'!$F$16:$ZZ$16,0)),"")</f>
        <v/>
      </c>
      <c r="T17" s="1" t="str">
        <f>IFERROR(INDEX('WINBUGS data'!$F$17:$ZZ$65,MATCH($C17,'WINBUGS data'!$F$17:$F$65,0),MATCH("t[,"&amp;T$4 &amp;"]",'WINBUGS data'!$F$16:$ZZ$16,0)),"")</f>
        <v/>
      </c>
    </row>
    <row r="18" spans="2:20" x14ac:dyDescent="0.25">
      <c r="B18" s="31"/>
      <c r="C18" s="26">
        <f>IF('WINBUGS data'!F30&lt;&gt;"",'WINBUGS data'!F30,"")</f>
        <v>14</v>
      </c>
      <c r="D18" s="31">
        <f>IFERROR(INDEX('WINBUGS data'!$F$17:$ZZ$65,MATCH(C18,'WINBUGS data'!$F$17:$F$65,0),MATCH("na[]",'WINBUGS data'!$F$16:$ZZ$16,0)),"")</f>
        <v>2</v>
      </c>
      <c r="E18" s="31" t="str">
        <f t="shared" si="0"/>
        <v>1,10</v>
      </c>
      <c r="F18" s="31">
        <f>IFERROR(INDEX('WINBUGS data'!$F$17:$ZZ$65,MATCH($C18,'WINBUGS data'!$F$17:$F$65,0),MATCH("t[,"&amp;F$4 &amp;"]",'WINBUGS data'!$F$16:$ZZ$16,0)),"")</f>
        <v>1</v>
      </c>
      <c r="G18" s="31">
        <f>IFERROR(INDEX('WINBUGS data'!$F$17:$ZZ$65,MATCH($C18,'WINBUGS data'!$F$17:$F$65,0),MATCH("t[,"&amp;G$4 &amp;"]",'WINBUGS data'!$F$16:$ZZ$16,0)),"")</f>
        <v>10</v>
      </c>
      <c r="H18" s="31" t="str">
        <f>IFERROR(INDEX('WINBUGS data'!$F$17:$ZZ$65,MATCH($C18,'WINBUGS data'!$F$17:$F$65,0),MATCH("t[,"&amp;H$4 &amp;"]",'WINBUGS data'!$F$16:$ZZ$16,0)),"")</f>
        <v>NA</v>
      </c>
      <c r="I18" s="31" t="str">
        <f>IFERROR(INDEX('WINBUGS data'!$F$17:$ZZ$65,MATCH($C18,'WINBUGS data'!$F$17:$F$65,0),MATCH("t[,"&amp;I$4 &amp;"]",'WINBUGS data'!$F$16:$ZZ$16,0)),"")</f>
        <v>NA</v>
      </c>
      <c r="J18" s="31" t="str">
        <f>IFERROR(INDEX('WINBUGS data'!$F$17:$ZZ$65,MATCH($C18,'WINBUGS data'!$F$17:$F$65,0),MATCH("t[,"&amp;J$4 &amp;"]",'WINBUGS data'!$F$16:$ZZ$16,0)),"")</f>
        <v>NA</v>
      </c>
      <c r="K18" s="31" t="str">
        <f>IFERROR(INDEX('WINBUGS data'!$F$17:$ZZ$65,MATCH($C18,'WINBUGS data'!$F$17:$F$65,0),MATCH("t[,"&amp;K$4 &amp;"]",'WINBUGS data'!$F$16:$ZZ$16,0)),"")</f>
        <v>NA</v>
      </c>
      <c r="L18" s="31" t="str">
        <f>IFERROR(INDEX('WINBUGS data'!$F$17:$ZZ$65,MATCH($C18,'WINBUGS data'!$F$17:$F$65,0),MATCH("t[,"&amp;L$4 &amp;"]",'WINBUGS data'!$F$16:$ZZ$16,0)),"")</f>
        <v>NA</v>
      </c>
      <c r="M18" s="31" t="str">
        <f>IFERROR(INDEX('WINBUGS data'!$F$17:$ZZ$65,MATCH($C18,'WINBUGS data'!$F$17:$F$65,0),MATCH("t[,"&amp;M$4 &amp;"]",'WINBUGS data'!$F$16:$ZZ$16,0)),"")</f>
        <v>NA</v>
      </c>
      <c r="N18" s="31" t="str">
        <f>IFERROR(INDEX('WINBUGS data'!$F$17:$ZZ$65,MATCH($C18,'WINBUGS data'!$F$17:$F$65,0),MATCH("t[,"&amp;N$4 &amp;"]",'WINBUGS data'!$F$16:$ZZ$16,0)),"")</f>
        <v>NA</v>
      </c>
      <c r="O18" s="31" t="str">
        <f>IFERROR(INDEX('WINBUGS data'!$F$17:$ZZ$65,MATCH($C18,'WINBUGS data'!$F$17:$F$65,0),MATCH("t[,"&amp;O$4 &amp;"]",'WINBUGS data'!$F$16:$ZZ$16,0)),"")</f>
        <v>NA</v>
      </c>
      <c r="P18" s="31" t="str">
        <f>IFERROR(INDEX('WINBUGS data'!$F$17:$ZZ$65,MATCH($C18,'WINBUGS data'!$F$17:$F$65,0),MATCH("t[,"&amp;P$4 &amp;"]",'WINBUGS data'!$F$16:$ZZ$16,0)),"")</f>
        <v/>
      </c>
      <c r="Q18" s="31" t="str">
        <f>IFERROR(INDEX('WINBUGS data'!$F$17:$ZZ$65,MATCH($C18,'WINBUGS data'!$F$17:$F$65,0),MATCH("t[,"&amp;Q$4 &amp;"]",'WINBUGS data'!$F$16:$ZZ$16,0)),"")</f>
        <v/>
      </c>
      <c r="R18" s="31" t="str">
        <f>IFERROR(INDEX('WINBUGS data'!$F$17:$ZZ$65,MATCH($C18,'WINBUGS data'!$F$17:$F$65,0),MATCH("t[,"&amp;R$4 &amp;"]",'WINBUGS data'!$F$16:$ZZ$16,0)),"")</f>
        <v/>
      </c>
      <c r="S18" s="31" t="str">
        <f>IFERROR(INDEX('WINBUGS data'!$F$17:$ZZ$65,MATCH($C18,'WINBUGS data'!$F$17:$F$65,0),MATCH("t[,"&amp;S$4 &amp;"]",'WINBUGS data'!$F$16:$ZZ$16,0)),"")</f>
        <v/>
      </c>
      <c r="T18" s="1" t="str">
        <f>IFERROR(INDEX('WINBUGS data'!$F$17:$ZZ$65,MATCH($C18,'WINBUGS data'!$F$17:$F$65,0),MATCH("t[,"&amp;T$4 &amp;"]",'WINBUGS data'!$F$16:$ZZ$16,0)),"")</f>
        <v/>
      </c>
    </row>
    <row r="19" spans="2:20" x14ac:dyDescent="0.25">
      <c r="B19" s="31"/>
      <c r="C19" s="26">
        <f>IF('WINBUGS data'!F31&lt;&gt;"",'WINBUGS data'!F31,"")</f>
        <v>15</v>
      </c>
      <c r="D19" s="31">
        <f>IFERROR(INDEX('WINBUGS data'!$F$17:$ZZ$65,MATCH(C19,'WINBUGS data'!$F$17:$F$65,0),MATCH("na[]",'WINBUGS data'!$F$16:$ZZ$16,0)),"")</f>
        <v>2</v>
      </c>
      <c r="E19" s="31" t="str">
        <f t="shared" si="0"/>
        <v>1,8</v>
      </c>
      <c r="F19" s="31">
        <f>IFERROR(INDEX('WINBUGS data'!$F$17:$ZZ$65,MATCH($C19,'WINBUGS data'!$F$17:$F$65,0),MATCH("t[,"&amp;F$4 &amp;"]",'WINBUGS data'!$F$16:$ZZ$16,0)),"")</f>
        <v>1</v>
      </c>
      <c r="G19" s="31">
        <f>IFERROR(INDEX('WINBUGS data'!$F$17:$ZZ$65,MATCH($C19,'WINBUGS data'!$F$17:$F$65,0),MATCH("t[,"&amp;G$4 &amp;"]",'WINBUGS data'!$F$16:$ZZ$16,0)),"")</f>
        <v>8</v>
      </c>
      <c r="H19" s="31" t="str">
        <f>IFERROR(INDEX('WINBUGS data'!$F$17:$ZZ$65,MATCH($C19,'WINBUGS data'!$F$17:$F$65,0),MATCH("t[,"&amp;H$4 &amp;"]",'WINBUGS data'!$F$16:$ZZ$16,0)),"")</f>
        <v>NA</v>
      </c>
      <c r="I19" s="31" t="str">
        <f>IFERROR(INDEX('WINBUGS data'!$F$17:$ZZ$65,MATCH($C19,'WINBUGS data'!$F$17:$F$65,0),MATCH("t[,"&amp;I$4 &amp;"]",'WINBUGS data'!$F$16:$ZZ$16,0)),"")</f>
        <v>NA</v>
      </c>
      <c r="J19" s="31" t="str">
        <f>IFERROR(INDEX('WINBUGS data'!$F$17:$ZZ$65,MATCH($C19,'WINBUGS data'!$F$17:$F$65,0),MATCH("t[,"&amp;J$4 &amp;"]",'WINBUGS data'!$F$16:$ZZ$16,0)),"")</f>
        <v>NA</v>
      </c>
      <c r="K19" s="31" t="str">
        <f>IFERROR(INDEX('WINBUGS data'!$F$17:$ZZ$65,MATCH($C19,'WINBUGS data'!$F$17:$F$65,0),MATCH("t[,"&amp;K$4 &amp;"]",'WINBUGS data'!$F$16:$ZZ$16,0)),"")</f>
        <v>NA</v>
      </c>
      <c r="L19" s="31" t="str">
        <f>IFERROR(INDEX('WINBUGS data'!$F$17:$ZZ$65,MATCH($C19,'WINBUGS data'!$F$17:$F$65,0),MATCH("t[,"&amp;L$4 &amp;"]",'WINBUGS data'!$F$16:$ZZ$16,0)),"")</f>
        <v>NA</v>
      </c>
      <c r="M19" s="31" t="str">
        <f>IFERROR(INDEX('WINBUGS data'!$F$17:$ZZ$65,MATCH($C19,'WINBUGS data'!$F$17:$F$65,0),MATCH("t[,"&amp;M$4 &amp;"]",'WINBUGS data'!$F$16:$ZZ$16,0)),"")</f>
        <v>NA</v>
      </c>
      <c r="N19" s="31" t="str">
        <f>IFERROR(INDEX('WINBUGS data'!$F$17:$ZZ$65,MATCH($C19,'WINBUGS data'!$F$17:$F$65,0),MATCH("t[,"&amp;N$4 &amp;"]",'WINBUGS data'!$F$16:$ZZ$16,0)),"")</f>
        <v>NA</v>
      </c>
      <c r="O19" s="31" t="str">
        <f>IFERROR(INDEX('WINBUGS data'!$F$17:$ZZ$65,MATCH($C19,'WINBUGS data'!$F$17:$F$65,0),MATCH("t[,"&amp;O$4 &amp;"]",'WINBUGS data'!$F$16:$ZZ$16,0)),"")</f>
        <v>NA</v>
      </c>
      <c r="P19" s="31" t="str">
        <f>IFERROR(INDEX('WINBUGS data'!$F$17:$ZZ$65,MATCH($C19,'WINBUGS data'!$F$17:$F$65,0),MATCH("t[,"&amp;P$4 &amp;"]",'WINBUGS data'!$F$16:$ZZ$16,0)),"")</f>
        <v/>
      </c>
      <c r="Q19" s="31" t="str">
        <f>IFERROR(INDEX('WINBUGS data'!$F$17:$ZZ$65,MATCH($C19,'WINBUGS data'!$F$17:$F$65,0),MATCH("t[,"&amp;Q$4 &amp;"]",'WINBUGS data'!$F$16:$ZZ$16,0)),"")</f>
        <v/>
      </c>
      <c r="R19" s="31" t="str">
        <f>IFERROR(INDEX('WINBUGS data'!$F$17:$ZZ$65,MATCH($C19,'WINBUGS data'!$F$17:$F$65,0),MATCH("t[,"&amp;R$4 &amp;"]",'WINBUGS data'!$F$16:$ZZ$16,0)),"")</f>
        <v/>
      </c>
      <c r="S19" s="31" t="str">
        <f>IFERROR(INDEX('WINBUGS data'!$F$17:$ZZ$65,MATCH($C19,'WINBUGS data'!$F$17:$F$65,0),MATCH("t[,"&amp;S$4 &amp;"]",'WINBUGS data'!$F$16:$ZZ$16,0)),"")</f>
        <v/>
      </c>
      <c r="T19" s="1" t="str">
        <f>IFERROR(INDEX('WINBUGS data'!$F$17:$ZZ$65,MATCH($C19,'WINBUGS data'!$F$17:$F$65,0),MATCH("t[,"&amp;T$4 &amp;"]",'WINBUGS data'!$F$16:$ZZ$16,0)),"")</f>
        <v/>
      </c>
    </row>
    <row r="20" spans="2:20" x14ac:dyDescent="0.25">
      <c r="B20" s="31"/>
      <c r="C20" s="26">
        <f>IF('WINBUGS data'!F32&lt;&gt;"",'WINBUGS data'!F32,"")</f>
        <v>16</v>
      </c>
      <c r="D20" s="31">
        <f>IFERROR(INDEX('WINBUGS data'!$F$17:$ZZ$65,MATCH(C20,'WINBUGS data'!$F$17:$F$65,0),MATCH("na[]",'WINBUGS data'!$F$16:$ZZ$16,0)),"")</f>
        <v>2</v>
      </c>
      <c r="E20" s="31" t="str">
        <f t="shared" si="0"/>
        <v>3,4</v>
      </c>
      <c r="F20" s="31">
        <f>IFERROR(INDEX('WINBUGS data'!$F$17:$ZZ$65,MATCH($C20,'WINBUGS data'!$F$17:$F$65,0),MATCH("t[,"&amp;F$4 &amp;"]",'WINBUGS data'!$F$16:$ZZ$16,0)),"")</f>
        <v>3</v>
      </c>
      <c r="G20" s="31">
        <f>IFERROR(INDEX('WINBUGS data'!$F$17:$ZZ$65,MATCH($C20,'WINBUGS data'!$F$17:$F$65,0),MATCH("t[,"&amp;G$4 &amp;"]",'WINBUGS data'!$F$16:$ZZ$16,0)),"")</f>
        <v>4</v>
      </c>
      <c r="H20" s="31" t="str">
        <f>IFERROR(INDEX('WINBUGS data'!$F$17:$ZZ$65,MATCH($C20,'WINBUGS data'!$F$17:$F$65,0),MATCH("t[,"&amp;H$4 &amp;"]",'WINBUGS data'!$F$16:$ZZ$16,0)),"")</f>
        <v>NA</v>
      </c>
      <c r="I20" s="31" t="str">
        <f>IFERROR(INDEX('WINBUGS data'!$F$17:$ZZ$65,MATCH($C20,'WINBUGS data'!$F$17:$F$65,0),MATCH("t[,"&amp;I$4 &amp;"]",'WINBUGS data'!$F$16:$ZZ$16,0)),"")</f>
        <v>NA</v>
      </c>
      <c r="J20" s="31" t="str">
        <f>IFERROR(INDEX('WINBUGS data'!$F$17:$ZZ$65,MATCH($C20,'WINBUGS data'!$F$17:$F$65,0),MATCH("t[,"&amp;J$4 &amp;"]",'WINBUGS data'!$F$16:$ZZ$16,0)),"")</f>
        <v>NA</v>
      </c>
      <c r="K20" s="31" t="str">
        <f>IFERROR(INDEX('WINBUGS data'!$F$17:$ZZ$65,MATCH($C20,'WINBUGS data'!$F$17:$F$65,0),MATCH("t[,"&amp;K$4 &amp;"]",'WINBUGS data'!$F$16:$ZZ$16,0)),"")</f>
        <v>NA</v>
      </c>
      <c r="L20" s="31" t="str">
        <f>IFERROR(INDEX('WINBUGS data'!$F$17:$ZZ$65,MATCH($C20,'WINBUGS data'!$F$17:$F$65,0),MATCH("t[,"&amp;L$4 &amp;"]",'WINBUGS data'!$F$16:$ZZ$16,0)),"")</f>
        <v>NA</v>
      </c>
      <c r="M20" s="31" t="str">
        <f>IFERROR(INDEX('WINBUGS data'!$F$17:$ZZ$65,MATCH($C20,'WINBUGS data'!$F$17:$F$65,0),MATCH("t[,"&amp;M$4 &amp;"]",'WINBUGS data'!$F$16:$ZZ$16,0)),"")</f>
        <v>NA</v>
      </c>
      <c r="N20" s="31" t="str">
        <f>IFERROR(INDEX('WINBUGS data'!$F$17:$ZZ$65,MATCH($C20,'WINBUGS data'!$F$17:$F$65,0),MATCH("t[,"&amp;N$4 &amp;"]",'WINBUGS data'!$F$16:$ZZ$16,0)),"")</f>
        <v>NA</v>
      </c>
      <c r="O20" s="31" t="str">
        <f>IFERROR(INDEX('WINBUGS data'!$F$17:$ZZ$65,MATCH($C20,'WINBUGS data'!$F$17:$F$65,0),MATCH("t[,"&amp;O$4 &amp;"]",'WINBUGS data'!$F$16:$ZZ$16,0)),"")</f>
        <v>NA</v>
      </c>
      <c r="P20" s="31" t="str">
        <f>IFERROR(INDEX('WINBUGS data'!$F$17:$ZZ$65,MATCH($C20,'WINBUGS data'!$F$17:$F$65,0),MATCH("t[,"&amp;P$4 &amp;"]",'WINBUGS data'!$F$16:$ZZ$16,0)),"")</f>
        <v/>
      </c>
      <c r="Q20" s="31" t="str">
        <f>IFERROR(INDEX('WINBUGS data'!$F$17:$ZZ$65,MATCH($C20,'WINBUGS data'!$F$17:$F$65,0),MATCH("t[,"&amp;Q$4 &amp;"]",'WINBUGS data'!$F$16:$ZZ$16,0)),"")</f>
        <v/>
      </c>
      <c r="R20" s="31" t="str">
        <f>IFERROR(INDEX('WINBUGS data'!$F$17:$ZZ$65,MATCH($C20,'WINBUGS data'!$F$17:$F$65,0),MATCH("t[,"&amp;R$4 &amp;"]",'WINBUGS data'!$F$16:$ZZ$16,0)),"")</f>
        <v/>
      </c>
      <c r="S20" s="31" t="str">
        <f>IFERROR(INDEX('WINBUGS data'!$F$17:$ZZ$65,MATCH($C20,'WINBUGS data'!$F$17:$F$65,0),MATCH("t[,"&amp;S$4 &amp;"]",'WINBUGS data'!$F$16:$ZZ$16,0)),"")</f>
        <v/>
      </c>
      <c r="T20" s="1" t="str">
        <f>IFERROR(INDEX('WINBUGS data'!$F$17:$ZZ$65,MATCH($C20,'WINBUGS data'!$F$17:$F$65,0),MATCH("t[,"&amp;T$4 &amp;"]",'WINBUGS data'!$F$16:$ZZ$16,0)),"")</f>
        <v/>
      </c>
    </row>
    <row r="21" spans="2:20" x14ac:dyDescent="0.25">
      <c r="B21" s="31"/>
      <c r="C21" s="26">
        <f>IF('WINBUGS data'!F33&lt;&gt;"",'WINBUGS data'!F33,"")</f>
        <v>17</v>
      </c>
      <c r="D21" s="31">
        <f>IFERROR(INDEX('WINBUGS data'!$F$17:$ZZ$65,MATCH(C21,'WINBUGS data'!$F$17:$F$65,0),MATCH("na[]",'WINBUGS data'!$F$16:$ZZ$16,0)),"")</f>
        <v>2</v>
      </c>
      <c r="E21" s="31" t="str">
        <f t="shared" si="0"/>
        <v>1,2</v>
      </c>
      <c r="F21" s="31">
        <f>IFERROR(INDEX('WINBUGS data'!$F$17:$ZZ$65,MATCH($C21,'WINBUGS data'!$F$17:$F$65,0),MATCH("t[,"&amp;F$4 &amp;"]",'WINBUGS data'!$F$16:$ZZ$16,0)),"")</f>
        <v>1</v>
      </c>
      <c r="G21" s="31">
        <f>IFERROR(INDEX('WINBUGS data'!$F$17:$ZZ$65,MATCH($C21,'WINBUGS data'!$F$17:$F$65,0),MATCH("t[,"&amp;G$4 &amp;"]",'WINBUGS data'!$F$16:$ZZ$16,0)),"")</f>
        <v>2</v>
      </c>
      <c r="H21" s="31" t="str">
        <f>IFERROR(INDEX('WINBUGS data'!$F$17:$ZZ$65,MATCH($C21,'WINBUGS data'!$F$17:$F$65,0),MATCH("t[,"&amp;H$4 &amp;"]",'WINBUGS data'!$F$16:$ZZ$16,0)),"")</f>
        <v>NA</v>
      </c>
      <c r="I21" s="31" t="str">
        <f>IFERROR(INDEX('WINBUGS data'!$F$17:$ZZ$65,MATCH($C21,'WINBUGS data'!$F$17:$F$65,0),MATCH("t[,"&amp;I$4 &amp;"]",'WINBUGS data'!$F$16:$ZZ$16,0)),"")</f>
        <v>NA</v>
      </c>
      <c r="J21" s="31" t="str">
        <f>IFERROR(INDEX('WINBUGS data'!$F$17:$ZZ$65,MATCH($C21,'WINBUGS data'!$F$17:$F$65,0),MATCH("t[,"&amp;J$4 &amp;"]",'WINBUGS data'!$F$16:$ZZ$16,0)),"")</f>
        <v>NA</v>
      </c>
      <c r="K21" s="31" t="str">
        <f>IFERROR(INDEX('WINBUGS data'!$F$17:$ZZ$65,MATCH($C21,'WINBUGS data'!$F$17:$F$65,0),MATCH("t[,"&amp;K$4 &amp;"]",'WINBUGS data'!$F$16:$ZZ$16,0)),"")</f>
        <v>NA</v>
      </c>
      <c r="L21" s="31" t="str">
        <f>IFERROR(INDEX('WINBUGS data'!$F$17:$ZZ$65,MATCH($C21,'WINBUGS data'!$F$17:$F$65,0),MATCH("t[,"&amp;L$4 &amp;"]",'WINBUGS data'!$F$16:$ZZ$16,0)),"")</f>
        <v>NA</v>
      </c>
      <c r="M21" s="31" t="str">
        <f>IFERROR(INDEX('WINBUGS data'!$F$17:$ZZ$65,MATCH($C21,'WINBUGS data'!$F$17:$F$65,0),MATCH("t[,"&amp;M$4 &amp;"]",'WINBUGS data'!$F$16:$ZZ$16,0)),"")</f>
        <v>NA</v>
      </c>
      <c r="N21" s="31" t="str">
        <f>IFERROR(INDEX('WINBUGS data'!$F$17:$ZZ$65,MATCH($C21,'WINBUGS data'!$F$17:$F$65,0),MATCH("t[,"&amp;N$4 &amp;"]",'WINBUGS data'!$F$16:$ZZ$16,0)),"")</f>
        <v>NA</v>
      </c>
      <c r="O21" s="31" t="str">
        <f>IFERROR(INDEX('WINBUGS data'!$F$17:$ZZ$65,MATCH($C21,'WINBUGS data'!$F$17:$F$65,0),MATCH("t[,"&amp;O$4 &amp;"]",'WINBUGS data'!$F$16:$ZZ$16,0)),"")</f>
        <v>NA</v>
      </c>
      <c r="P21" s="31" t="str">
        <f>IFERROR(INDEX('WINBUGS data'!$F$17:$ZZ$65,MATCH($C21,'WINBUGS data'!$F$17:$F$65,0),MATCH("t[,"&amp;P$4 &amp;"]",'WINBUGS data'!$F$16:$ZZ$16,0)),"")</f>
        <v/>
      </c>
      <c r="Q21" s="31" t="str">
        <f>IFERROR(INDEX('WINBUGS data'!$F$17:$ZZ$65,MATCH($C21,'WINBUGS data'!$F$17:$F$65,0),MATCH("t[,"&amp;Q$4 &amp;"]",'WINBUGS data'!$F$16:$ZZ$16,0)),"")</f>
        <v/>
      </c>
      <c r="R21" s="31" t="str">
        <f>IFERROR(INDEX('WINBUGS data'!$F$17:$ZZ$65,MATCH($C21,'WINBUGS data'!$F$17:$F$65,0),MATCH("t[,"&amp;R$4 &amp;"]",'WINBUGS data'!$F$16:$ZZ$16,0)),"")</f>
        <v/>
      </c>
      <c r="S21" s="31" t="str">
        <f>IFERROR(INDEX('WINBUGS data'!$F$17:$ZZ$65,MATCH($C21,'WINBUGS data'!$F$17:$F$65,0),MATCH("t[,"&amp;S$4 &amp;"]",'WINBUGS data'!$F$16:$ZZ$16,0)),"")</f>
        <v/>
      </c>
      <c r="T21" s="1" t="str">
        <f>IFERROR(INDEX('WINBUGS data'!$F$17:$ZZ$65,MATCH($C21,'WINBUGS data'!$F$17:$F$65,0),MATCH("t[,"&amp;T$4 &amp;"]",'WINBUGS data'!$F$16:$ZZ$16,0)),"")</f>
        <v/>
      </c>
    </row>
    <row r="22" spans="2:20" x14ac:dyDescent="0.25">
      <c r="B22" s="31"/>
      <c r="C22" s="26">
        <f>IF('WINBUGS data'!F34&lt;&gt;"",'WINBUGS data'!F34,"")</f>
        <v>18</v>
      </c>
      <c r="D22" s="31">
        <f>IFERROR(INDEX('WINBUGS data'!$F$17:$ZZ$65,MATCH(C22,'WINBUGS data'!$F$17:$F$65,0),MATCH("na[]",'WINBUGS data'!$F$16:$ZZ$16,0)),"")</f>
        <v>2</v>
      </c>
      <c r="E22" s="31" t="str">
        <f t="shared" si="0"/>
        <v>1,2</v>
      </c>
      <c r="F22" s="31">
        <f>IFERROR(INDEX('WINBUGS data'!$F$17:$ZZ$65,MATCH($C22,'WINBUGS data'!$F$17:$F$65,0),MATCH("t[,"&amp;F$4 &amp;"]",'WINBUGS data'!$F$16:$ZZ$16,0)),"")</f>
        <v>1</v>
      </c>
      <c r="G22" s="31">
        <f>IFERROR(INDEX('WINBUGS data'!$F$17:$ZZ$65,MATCH($C22,'WINBUGS data'!$F$17:$F$65,0),MATCH("t[,"&amp;G$4 &amp;"]",'WINBUGS data'!$F$16:$ZZ$16,0)),"")</f>
        <v>2</v>
      </c>
      <c r="H22" s="31" t="str">
        <f>IFERROR(INDEX('WINBUGS data'!$F$17:$ZZ$65,MATCH($C22,'WINBUGS data'!$F$17:$F$65,0),MATCH("t[,"&amp;H$4 &amp;"]",'WINBUGS data'!$F$16:$ZZ$16,0)),"")</f>
        <v>NA</v>
      </c>
      <c r="I22" s="31" t="str">
        <f>IFERROR(INDEX('WINBUGS data'!$F$17:$ZZ$65,MATCH($C22,'WINBUGS data'!$F$17:$F$65,0),MATCH("t[,"&amp;I$4 &amp;"]",'WINBUGS data'!$F$16:$ZZ$16,0)),"")</f>
        <v>NA</v>
      </c>
      <c r="J22" s="31" t="str">
        <f>IFERROR(INDEX('WINBUGS data'!$F$17:$ZZ$65,MATCH($C22,'WINBUGS data'!$F$17:$F$65,0),MATCH("t[,"&amp;J$4 &amp;"]",'WINBUGS data'!$F$16:$ZZ$16,0)),"")</f>
        <v>NA</v>
      </c>
      <c r="K22" s="31" t="str">
        <f>IFERROR(INDEX('WINBUGS data'!$F$17:$ZZ$65,MATCH($C22,'WINBUGS data'!$F$17:$F$65,0),MATCH("t[,"&amp;K$4 &amp;"]",'WINBUGS data'!$F$16:$ZZ$16,0)),"")</f>
        <v>NA</v>
      </c>
      <c r="L22" s="31" t="str">
        <f>IFERROR(INDEX('WINBUGS data'!$F$17:$ZZ$65,MATCH($C22,'WINBUGS data'!$F$17:$F$65,0),MATCH("t[,"&amp;L$4 &amp;"]",'WINBUGS data'!$F$16:$ZZ$16,0)),"")</f>
        <v>NA</v>
      </c>
      <c r="M22" s="31" t="str">
        <f>IFERROR(INDEX('WINBUGS data'!$F$17:$ZZ$65,MATCH($C22,'WINBUGS data'!$F$17:$F$65,0),MATCH("t[,"&amp;M$4 &amp;"]",'WINBUGS data'!$F$16:$ZZ$16,0)),"")</f>
        <v>NA</v>
      </c>
      <c r="N22" s="31" t="str">
        <f>IFERROR(INDEX('WINBUGS data'!$F$17:$ZZ$65,MATCH($C22,'WINBUGS data'!$F$17:$F$65,0),MATCH("t[,"&amp;N$4 &amp;"]",'WINBUGS data'!$F$16:$ZZ$16,0)),"")</f>
        <v>NA</v>
      </c>
      <c r="O22" s="31" t="str">
        <f>IFERROR(INDEX('WINBUGS data'!$F$17:$ZZ$65,MATCH($C22,'WINBUGS data'!$F$17:$F$65,0),MATCH("t[,"&amp;O$4 &amp;"]",'WINBUGS data'!$F$16:$ZZ$16,0)),"")</f>
        <v>NA</v>
      </c>
      <c r="P22" s="31" t="str">
        <f>IFERROR(INDEX('WINBUGS data'!$F$17:$ZZ$65,MATCH($C22,'WINBUGS data'!$F$17:$F$65,0),MATCH("t[,"&amp;P$4 &amp;"]",'WINBUGS data'!$F$16:$ZZ$16,0)),"")</f>
        <v/>
      </c>
      <c r="Q22" s="31" t="str">
        <f>IFERROR(INDEX('WINBUGS data'!$F$17:$ZZ$65,MATCH($C22,'WINBUGS data'!$F$17:$F$65,0),MATCH("t[,"&amp;Q$4 &amp;"]",'WINBUGS data'!$F$16:$ZZ$16,0)),"")</f>
        <v/>
      </c>
      <c r="R22" s="31" t="str">
        <f>IFERROR(INDEX('WINBUGS data'!$F$17:$ZZ$65,MATCH($C22,'WINBUGS data'!$F$17:$F$65,0),MATCH("t[,"&amp;R$4 &amp;"]",'WINBUGS data'!$F$16:$ZZ$16,0)),"")</f>
        <v/>
      </c>
      <c r="S22" s="31" t="str">
        <f>IFERROR(INDEX('WINBUGS data'!$F$17:$ZZ$65,MATCH($C22,'WINBUGS data'!$F$17:$F$65,0),MATCH("t[,"&amp;S$4 &amp;"]",'WINBUGS data'!$F$16:$ZZ$16,0)),"")</f>
        <v/>
      </c>
      <c r="T22" s="1" t="str">
        <f>IFERROR(INDEX('WINBUGS data'!$F$17:$ZZ$65,MATCH($C22,'WINBUGS data'!$F$17:$F$65,0),MATCH("t[,"&amp;T$4 &amp;"]",'WINBUGS data'!$F$16:$ZZ$16,0)),"")</f>
        <v/>
      </c>
    </row>
    <row r="23" spans="2:20" x14ac:dyDescent="0.25">
      <c r="B23" s="31"/>
      <c r="C23" s="26">
        <f>IF('WINBUGS data'!F35&lt;&gt;"",'WINBUGS data'!F35,"")</f>
        <v>19</v>
      </c>
      <c r="D23" s="31">
        <f>IFERROR(INDEX('WINBUGS data'!$F$17:$ZZ$65,MATCH(C23,'WINBUGS data'!$F$17:$F$65,0),MATCH("na[]",'WINBUGS data'!$F$16:$ZZ$16,0)),"")</f>
        <v>2</v>
      </c>
      <c r="E23" s="31" t="str">
        <f t="shared" si="0"/>
        <v>3,9</v>
      </c>
      <c r="F23" s="31">
        <f>IFERROR(INDEX('WINBUGS data'!$F$17:$ZZ$65,MATCH($C23,'WINBUGS data'!$F$17:$F$65,0),MATCH("t[,"&amp;F$4 &amp;"]",'WINBUGS data'!$F$16:$ZZ$16,0)),"")</f>
        <v>3</v>
      </c>
      <c r="G23" s="31">
        <f>IFERROR(INDEX('WINBUGS data'!$F$17:$ZZ$65,MATCH($C23,'WINBUGS data'!$F$17:$F$65,0),MATCH("t[,"&amp;G$4 &amp;"]",'WINBUGS data'!$F$16:$ZZ$16,0)),"")</f>
        <v>9</v>
      </c>
      <c r="H23" s="31" t="str">
        <f>IFERROR(INDEX('WINBUGS data'!$F$17:$ZZ$65,MATCH($C23,'WINBUGS data'!$F$17:$F$65,0),MATCH("t[,"&amp;H$4 &amp;"]",'WINBUGS data'!$F$16:$ZZ$16,0)),"")</f>
        <v>NA</v>
      </c>
      <c r="I23" s="31" t="str">
        <f>IFERROR(INDEX('WINBUGS data'!$F$17:$ZZ$65,MATCH($C23,'WINBUGS data'!$F$17:$F$65,0),MATCH("t[,"&amp;I$4 &amp;"]",'WINBUGS data'!$F$16:$ZZ$16,0)),"")</f>
        <v>NA</v>
      </c>
      <c r="J23" s="31" t="str">
        <f>IFERROR(INDEX('WINBUGS data'!$F$17:$ZZ$65,MATCH($C23,'WINBUGS data'!$F$17:$F$65,0),MATCH("t[,"&amp;J$4 &amp;"]",'WINBUGS data'!$F$16:$ZZ$16,0)),"")</f>
        <v>NA</v>
      </c>
      <c r="K23" s="31" t="str">
        <f>IFERROR(INDEX('WINBUGS data'!$F$17:$ZZ$65,MATCH($C23,'WINBUGS data'!$F$17:$F$65,0),MATCH("t[,"&amp;K$4 &amp;"]",'WINBUGS data'!$F$16:$ZZ$16,0)),"")</f>
        <v>NA</v>
      </c>
      <c r="L23" s="31" t="str">
        <f>IFERROR(INDEX('WINBUGS data'!$F$17:$ZZ$65,MATCH($C23,'WINBUGS data'!$F$17:$F$65,0),MATCH("t[,"&amp;L$4 &amp;"]",'WINBUGS data'!$F$16:$ZZ$16,0)),"")</f>
        <v>NA</v>
      </c>
      <c r="M23" s="31" t="str">
        <f>IFERROR(INDEX('WINBUGS data'!$F$17:$ZZ$65,MATCH($C23,'WINBUGS data'!$F$17:$F$65,0),MATCH("t[,"&amp;M$4 &amp;"]",'WINBUGS data'!$F$16:$ZZ$16,0)),"")</f>
        <v>NA</v>
      </c>
      <c r="N23" s="31" t="str">
        <f>IFERROR(INDEX('WINBUGS data'!$F$17:$ZZ$65,MATCH($C23,'WINBUGS data'!$F$17:$F$65,0),MATCH("t[,"&amp;N$4 &amp;"]",'WINBUGS data'!$F$16:$ZZ$16,0)),"")</f>
        <v>NA</v>
      </c>
      <c r="O23" s="31" t="str">
        <f>IFERROR(INDEX('WINBUGS data'!$F$17:$ZZ$65,MATCH($C23,'WINBUGS data'!$F$17:$F$65,0),MATCH("t[,"&amp;O$4 &amp;"]",'WINBUGS data'!$F$16:$ZZ$16,0)),"")</f>
        <v>NA</v>
      </c>
      <c r="P23" s="31" t="str">
        <f>IFERROR(INDEX('WINBUGS data'!$F$17:$ZZ$65,MATCH($C23,'WINBUGS data'!$F$17:$F$65,0),MATCH("t[,"&amp;P$4 &amp;"]",'WINBUGS data'!$F$16:$ZZ$16,0)),"")</f>
        <v/>
      </c>
      <c r="Q23" s="31" t="str">
        <f>IFERROR(INDEX('WINBUGS data'!$F$17:$ZZ$65,MATCH($C23,'WINBUGS data'!$F$17:$F$65,0),MATCH("t[,"&amp;Q$4 &amp;"]",'WINBUGS data'!$F$16:$ZZ$16,0)),"")</f>
        <v/>
      </c>
      <c r="R23" s="31" t="str">
        <f>IFERROR(INDEX('WINBUGS data'!$F$17:$ZZ$65,MATCH($C23,'WINBUGS data'!$F$17:$F$65,0),MATCH("t[,"&amp;R$4 &amp;"]",'WINBUGS data'!$F$16:$ZZ$16,0)),"")</f>
        <v/>
      </c>
      <c r="S23" s="31" t="str">
        <f>IFERROR(INDEX('WINBUGS data'!$F$17:$ZZ$65,MATCH($C23,'WINBUGS data'!$F$17:$F$65,0),MATCH("t[,"&amp;S$4 &amp;"]",'WINBUGS data'!$F$16:$ZZ$16,0)),"")</f>
        <v/>
      </c>
      <c r="T23" s="1" t="str">
        <f>IFERROR(INDEX('WINBUGS data'!$F$17:$ZZ$65,MATCH($C23,'WINBUGS data'!$F$17:$F$65,0),MATCH("t[,"&amp;T$4 &amp;"]",'WINBUGS data'!$F$16:$ZZ$16,0)),"")</f>
        <v/>
      </c>
    </row>
    <row r="24" spans="2:20" x14ac:dyDescent="0.25">
      <c r="B24" s="31"/>
      <c r="C24" s="26">
        <f>IF('WINBUGS data'!F36&lt;&gt;"",'WINBUGS data'!F36,"")</f>
        <v>20</v>
      </c>
      <c r="D24" s="31">
        <f>IFERROR(INDEX('WINBUGS data'!$F$17:$ZZ$65,MATCH(C24,'WINBUGS data'!$F$17:$F$65,0),MATCH("na[]",'WINBUGS data'!$F$16:$ZZ$16,0)),"")</f>
        <v>2</v>
      </c>
      <c r="E24" s="31" t="str">
        <f t="shared" si="0"/>
        <v>3,6</v>
      </c>
      <c r="F24" s="31">
        <f>IFERROR(INDEX('WINBUGS data'!$F$17:$ZZ$65,MATCH($C24,'WINBUGS data'!$F$17:$F$65,0),MATCH("t[,"&amp;F$4 &amp;"]",'WINBUGS data'!$F$16:$ZZ$16,0)),"")</f>
        <v>3</v>
      </c>
      <c r="G24" s="31">
        <f>IFERROR(INDEX('WINBUGS data'!$F$17:$ZZ$65,MATCH($C24,'WINBUGS data'!$F$17:$F$65,0),MATCH("t[,"&amp;G$4 &amp;"]",'WINBUGS data'!$F$16:$ZZ$16,0)),"")</f>
        <v>6</v>
      </c>
      <c r="H24" s="31" t="str">
        <f>IFERROR(INDEX('WINBUGS data'!$F$17:$ZZ$65,MATCH($C24,'WINBUGS data'!$F$17:$F$65,0),MATCH("t[,"&amp;H$4 &amp;"]",'WINBUGS data'!$F$16:$ZZ$16,0)),"")</f>
        <v>NA</v>
      </c>
      <c r="I24" s="31" t="str">
        <f>IFERROR(INDEX('WINBUGS data'!$F$17:$ZZ$65,MATCH($C24,'WINBUGS data'!$F$17:$F$65,0),MATCH("t[,"&amp;I$4 &amp;"]",'WINBUGS data'!$F$16:$ZZ$16,0)),"")</f>
        <v>NA</v>
      </c>
      <c r="J24" s="31" t="str">
        <f>IFERROR(INDEX('WINBUGS data'!$F$17:$ZZ$65,MATCH($C24,'WINBUGS data'!$F$17:$F$65,0),MATCH("t[,"&amp;J$4 &amp;"]",'WINBUGS data'!$F$16:$ZZ$16,0)),"")</f>
        <v>NA</v>
      </c>
      <c r="K24" s="31" t="str">
        <f>IFERROR(INDEX('WINBUGS data'!$F$17:$ZZ$65,MATCH($C24,'WINBUGS data'!$F$17:$F$65,0),MATCH("t[,"&amp;K$4 &amp;"]",'WINBUGS data'!$F$16:$ZZ$16,0)),"")</f>
        <v>NA</v>
      </c>
      <c r="L24" s="31" t="str">
        <f>IFERROR(INDEX('WINBUGS data'!$F$17:$ZZ$65,MATCH($C24,'WINBUGS data'!$F$17:$F$65,0),MATCH("t[,"&amp;L$4 &amp;"]",'WINBUGS data'!$F$16:$ZZ$16,0)),"")</f>
        <v>NA</v>
      </c>
      <c r="M24" s="31" t="str">
        <f>IFERROR(INDEX('WINBUGS data'!$F$17:$ZZ$65,MATCH($C24,'WINBUGS data'!$F$17:$F$65,0),MATCH("t[,"&amp;M$4 &amp;"]",'WINBUGS data'!$F$16:$ZZ$16,0)),"")</f>
        <v>NA</v>
      </c>
      <c r="N24" s="31" t="str">
        <f>IFERROR(INDEX('WINBUGS data'!$F$17:$ZZ$65,MATCH($C24,'WINBUGS data'!$F$17:$F$65,0),MATCH("t[,"&amp;N$4 &amp;"]",'WINBUGS data'!$F$16:$ZZ$16,0)),"")</f>
        <v>NA</v>
      </c>
      <c r="O24" s="31" t="str">
        <f>IFERROR(INDEX('WINBUGS data'!$F$17:$ZZ$65,MATCH($C24,'WINBUGS data'!$F$17:$F$65,0),MATCH("t[,"&amp;O$4 &amp;"]",'WINBUGS data'!$F$16:$ZZ$16,0)),"")</f>
        <v>NA</v>
      </c>
      <c r="P24" s="31" t="str">
        <f>IFERROR(INDEX('WINBUGS data'!$F$17:$ZZ$65,MATCH($C24,'WINBUGS data'!$F$17:$F$65,0),MATCH("t[,"&amp;P$4 &amp;"]",'WINBUGS data'!$F$16:$ZZ$16,0)),"")</f>
        <v/>
      </c>
      <c r="Q24" s="31" t="str">
        <f>IFERROR(INDEX('WINBUGS data'!$F$17:$ZZ$65,MATCH($C24,'WINBUGS data'!$F$17:$F$65,0),MATCH("t[,"&amp;Q$4 &amp;"]",'WINBUGS data'!$F$16:$ZZ$16,0)),"")</f>
        <v/>
      </c>
      <c r="R24" s="31" t="str">
        <f>IFERROR(INDEX('WINBUGS data'!$F$17:$ZZ$65,MATCH($C24,'WINBUGS data'!$F$17:$F$65,0),MATCH("t[,"&amp;R$4 &amp;"]",'WINBUGS data'!$F$16:$ZZ$16,0)),"")</f>
        <v/>
      </c>
      <c r="S24" s="31" t="str">
        <f>IFERROR(INDEX('WINBUGS data'!$F$17:$ZZ$65,MATCH($C24,'WINBUGS data'!$F$17:$F$65,0),MATCH("t[,"&amp;S$4 &amp;"]",'WINBUGS data'!$F$16:$ZZ$16,0)),"")</f>
        <v/>
      </c>
      <c r="T24" s="1" t="str">
        <f>IFERROR(INDEX('WINBUGS data'!$F$17:$ZZ$65,MATCH($C24,'WINBUGS data'!$F$17:$F$65,0),MATCH("t[,"&amp;T$4 &amp;"]",'WINBUGS data'!$F$16:$ZZ$16,0)),"")</f>
        <v/>
      </c>
    </row>
    <row r="25" spans="2:20" x14ac:dyDescent="0.25">
      <c r="B25" s="31"/>
      <c r="C25" s="26">
        <f>IF('WINBUGS data'!F37&lt;&gt;"",'WINBUGS data'!F37,"")</f>
        <v>21</v>
      </c>
      <c r="D25" s="31">
        <f>IFERROR(INDEX('WINBUGS data'!$F$17:$ZZ$65,MATCH(C25,'WINBUGS data'!$F$17:$F$65,0),MATCH("na[]",'WINBUGS data'!$F$16:$ZZ$16,0)),"")</f>
        <v>2</v>
      </c>
      <c r="E25" s="31" t="str">
        <f t="shared" si="0"/>
        <v>3,10</v>
      </c>
      <c r="F25" s="31">
        <f>IFERROR(INDEX('WINBUGS data'!$F$17:$ZZ$65,MATCH($C25,'WINBUGS data'!$F$17:$F$65,0),MATCH("t[,"&amp;F$4 &amp;"]",'WINBUGS data'!$F$16:$ZZ$16,0)),"")</f>
        <v>3</v>
      </c>
      <c r="G25" s="31">
        <f>IFERROR(INDEX('WINBUGS data'!$F$17:$ZZ$65,MATCH($C25,'WINBUGS data'!$F$17:$F$65,0),MATCH("t[,"&amp;G$4 &amp;"]",'WINBUGS data'!$F$16:$ZZ$16,0)),"")</f>
        <v>10</v>
      </c>
      <c r="H25" s="31" t="str">
        <f>IFERROR(INDEX('WINBUGS data'!$F$17:$ZZ$65,MATCH($C25,'WINBUGS data'!$F$17:$F$65,0),MATCH("t[,"&amp;H$4 &amp;"]",'WINBUGS data'!$F$16:$ZZ$16,0)),"")</f>
        <v>NA</v>
      </c>
      <c r="I25" s="31" t="str">
        <f>IFERROR(INDEX('WINBUGS data'!$F$17:$ZZ$65,MATCH($C25,'WINBUGS data'!$F$17:$F$65,0),MATCH("t[,"&amp;I$4 &amp;"]",'WINBUGS data'!$F$16:$ZZ$16,0)),"")</f>
        <v>NA</v>
      </c>
      <c r="J25" s="31" t="str">
        <f>IFERROR(INDEX('WINBUGS data'!$F$17:$ZZ$65,MATCH($C25,'WINBUGS data'!$F$17:$F$65,0),MATCH("t[,"&amp;J$4 &amp;"]",'WINBUGS data'!$F$16:$ZZ$16,0)),"")</f>
        <v>NA</v>
      </c>
      <c r="K25" s="31" t="str">
        <f>IFERROR(INDEX('WINBUGS data'!$F$17:$ZZ$65,MATCH($C25,'WINBUGS data'!$F$17:$F$65,0),MATCH("t[,"&amp;K$4 &amp;"]",'WINBUGS data'!$F$16:$ZZ$16,0)),"")</f>
        <v>NA</v>
      </c>
      <c r="L25" s="31" t="str">
        <f>IFERROR(INDEX('WINBUGS data'!$F$17:$ZZ$65,MATCH($C25,'WINBUGS data'!$F$17:$F$65,0),MATCH("t[,"&amp;L$4 &amp;"]",'WINBUGS data'!$F$16:$ZZ$16,0)),"")</f>
        <v>NA</v>
      </c>
      <c r="M25" s="31" t="str">
        <f>IFERROR(INDEX('WINBUGS data'!$F$17:$ZZ$65,MATCH($C25,'WINBUGS data'!$F$17:$F$65,0),MATCH("t[,"&amp;M$4 &amp;"]",'WINBUGS data'!$F$16:$ZZ$16,0)),"")</f>
        <v>NA</v>
      </c>
      <c r="N25" s="31" t="str">
        <f>IFERROR(INDEX('WINBUGS data'!$F$17:$ZZ$65,MATCH($C25,'WINBUGS data'!$F$17:$F$65,0),MATCH("t[,"&amp;N$4 &amp;"]",'WINBUGS data'!$F$16:$ZZ$16,0)),"")</f>
        <v>NA</v>
      </c>
      <c r="O25" s="31" t="str">
        <f>IFERROR(INDEX('WINBUGS data'!$F$17:$ZZ$65,MATCH($C25,'WINBUGS data'!$F$17:$F$65,0),MATCH("t[,"&amp;O$4 &amp;"]",'WINBUGS data'!$F$16:$ZZ$16,0)),"")</f>
        <v>NA</v>
      </c>
      <c r="P25" s="31" t="str">
        <f>IFERROR(INDEX('WINBUGS data'!$F$17:$ZZ$65,MATCH($C25,'WINBUGS data'!$F$17:$F$65,0),MATCH("t[,"&amp;P$4 &amp;"]",'WINBUGS data'!$F$16:$ZZ$16,0)),"")</f>
        <v/>
      </c>
      <c r="Q25" s="31" t="str">
        <f>IFERROR(INDEX('WINBUGS data'!$F$17:$ZZ$65,MATCH($C25,'WINBUGS data'!$F$17:$F$65,0),MATCH("t[,"&amp;Q$4 &amp;"]",'WINBUGS data'!$F$16:$ZZ$16,0)),"")</f>
        <v/>
      </c>
      <c r="R25" s="31" t="str">
        <f>IFERROR(INDEX('WINBUGS data'!$F$17:$ZZ$65,MATCH($C25,'WINBUGS data'!$F$17:$F$65,0),MATCH("t[,"&amp;R$4 &amp;"]",'WINBUGS data'!$F$16:$ZZ$16,0)),"")</f>
        <v/>
      </c>
      <c r="S25" s="31" t="str">
        <f>IFERROR(INDEX('WINBUGS data'!$F$17:$ZZ$65,MATCH($C25,'WINBUGS data'!$F$17:$F$65,0),MATCH("t[,"&amp;S$4 &amp;"]",'WINBUGS data'!$F$16:$ZZ$16,0)),"")</f>
        <v/>
      </c>
      <c r="T25" s="1" t="str">
        <f>IFERROR(INDEX('WINBUGS data'!$F$17:$ZZ$65,MATCH($C25,'WINBUGS data'!$F$17:$F$65,0),MATCH("t[,"&amp;T$4 &amp;"]",'WINBUGS data'!$F$16:$ZZ$16,0)),"")</f>
        <v/>
      </c>
    </row>
    <row r="26" spans="2:20" x14ac:dyDescent="0.25">
      <c r="B26" s="31"/>
      <c r="C26" s="26">
        <f>IF('WINBUGS data'!F38&lt;&gt;"",'WINBUGS data'!F38,"")</f>
        <v>22</v>
      </c>
      <c r="D26" s="31">
        <f>IFERROR(INDEX('WINBUGS data'!$F$17:$ZZ$65,MATCH(C26,'WINBUGS data'!$F$17:$F$65,0),MATCH("na[]",'WINBUGS data'!$F$16:$ZZ$16,0)),"")</f>
        <v>2</v>
      </c>
      <c r="E26" s="31" t="str">
        <f t="shared" si="0"/>
        <v>1,2</v>
      </c>
      <c r="F26" s="31">
        <f>IFERROR(INDEX('WINBUGS data'!$F$17:$ZZ$65,MATCH($C26,'WINBUGS data'!$F$17:$F$65,0),MATCH("t[,"&amp;F$4 &amp;"]",'WINBUGS data'!$F$16:$ZZ$16,0)),"")</f>
        <v>1</v>
      </c>
      <c r="G26" s="31">
        <f>IFERROR(INDEX('WINBUGS data'!$F$17:$ZZ$65,MATCH($C26,'WINBUGS data'!$F$17:$F$65,0),MATCH("t[,"&amp;G$4 &amp;"]",'WINBUGS data'!$F$16:$ZZ$16,0)),"")</f>
        <v>2</v>
      </c>
      <c r="H26" s="31" t="str">
        <f>IFERROR(INDEX('WINBUGS data'!$F$17:$ZZ$65,MATCH($C26,'WINBUGS data'!$F$17:$F$65,0),MATCH("t[,"&amp;H$4 &amp;"]",'WINBUGS data'!$F$16:$ZZ$16,0)),"")</f>
        <v>NA</v>
      </c>
      <c r="I26" s="31" t="str">
        <f>IFERROR(INDEX('WINBUGS data'!$F$17:$ZZ$65,MATCH($C26,'WINBUGS data'!$F$17:$F$65,0),MATCH("t[,"&amp;I$4 &amp;"]",'WINBUGS data'!$F$16:$ZZ$16,0)),"")</f>
        <v>NA</v>
      </c>
      <c r="J26" s="31" t="str">
        <f>IFERROR(INDEX('WINBUGS data'!$F$17:$ZZ$65,MATCH($C26,'WINBUGS data'!$F$17:$F$65,0),MATCH("t[,"&amp;J$4 &amp;"]",'WINBUGS data'!$F$16:$ZZ$16,0)),"")</f>
        <v>NA</v>
      </c>
      <c r="K26" s="31" t="str">
        <f>IFERROR(INDEX('WINBUGS data'!$F$17:$ZZ$65,MATCH($C26,'WINBUGS data'!$F$17:$F$65,0),MATCH("t[,"&amp;K$4 &amp;"]",'WINBUGS data'!$F$16:$ZZ$16,0)),"")</f>
        <v>NA</v>
      </c>
      <c r="L26" s="31" t="str">
        <f>IFERROR(INDEX('WINBUGS data'!$F$17:$ZZ$65,MATCH($C26,'WINBUGS data'!$F$17:$F$65,0),MATCH("t[,"&amp;L$4 &amp;"]",'WINBUGS data'!$F$16:$ZZ$16,0)),"")</f>
        <v>NA</v>
      </c>
      <c r="M26" s="31" t="str">
        <f>IFERROR(INDEX('WINBUGS data'!$F$17:$ZZ$65,MATCH($C26,'WINBUGS data'!$F$17:$F$65,0),MATCH("t[,"&amp;M$4 &amp;"]",'WINBUGS data'!$F$16:$ZZ$16,0)),"")</f>
        <v>NA</v>
      </c>
      <c r="N26" s="31" t="str">
        <f>IFERROR(INDEX('WINBUGS data'!$F$17:$ZZ$65,MATCH($C26,'WINBUGS data'!$F$17:$F$65,0),MATCH("t[,"&amp;N$4 &amp;"]",'WINBUGS data'!$F$16:$ZZ$16,0)),"")</f>
        <v>NA</v>
      </c>
      <c r="O26" s="31" t="str">
        <f>IFERROR(INDEX('WINBUGS data'!$F$17:$ZZ$65,MATCH($C26,'WINBUGS data'!$F$17:$F$65,0),MATCH("t[,"&amp;O$4 &amp;"]",'WINBUGS data'!$F$16:$ZZ$16,0)),"")</f>
        <v>NA</v>
      </c>
      <c r="P26" s="31" t="str">
        <f>IFERROR(INDEX('WINBUGS data'!$F$17:$ZZ$65,MATCH($C26,'WINBUGS data'!$F$17:$F$65,0),MATCH("t[,"&amp;P$4 &amp;"]",'WINBUGS data'!$F$16:$ZZ$16,0)),"")</f>
        <v/>
      </c>
      <c r="Q26" s="31" t="str">
        <f>IFERROR(INDEX('WINBUGS data'!$F$17:$ZZ$65,MATCH($C26,'WINBUGS data'!$F$17:$F$65,0),MATCH("t[,"&amp;Q$4 &amp;"]",'WINBUGS data'!$F$16:$ZZ$16,0)),"")</f>
        <v/>
      </c>
      <c r="R26" s="31" t="str">
        <f>IFERROR(INDEX('WINBUGS data'!$F$17:$ZZ$65,MATCH($C26,'WINBUGS data'!$F$17:$F$65,0),MATCH("t[,"&amp;R$4 &amp;"]",'WINBUGS data'!$F$16:$ZZ$16,0)),"")</f>
        <v/>
      </c>
      <c r="S26" s="31" t="str">
        <f>IFERROR(INDEX('WINBUGS data'!$F$17:$ZZ$65,MATCH($C26,'WINBUGS data'!$F$17:$F$65,0),MATCH("t[,"&amp;S$4 &amp;"]",'WINBUGS data'!$F$16:$ZZ$16,0)),"")</f>
        <v/>
      </c>
      <c r="T26" s="1" t="str">
        <f>IFERROR(INDEX('WINBUGS data'!$F$17:$ZZ$65,MATCH($C26,'WINBUGS data'!$F$17:$F$65,0),MATCH("t[,"&amp;T$4 &amp;"]",'WINBUGS data'!$F$16:$ZZ$16,0)),"")</f>
        <v/>
      </c>
    </row>
    <row r="27" spans="2:20" x14ac:dyDescent="0.25">
      <c r="B27" s="31"/>
      <c r="C27" s="26">
        <f>IF('WINBUGS data'!F39&lt;&gt;"",'WINBUGS data'!F39,"")</f>
        <v>23</v>
      </c>
      <c r="D27" s="31">
        <f>IFERROR(INDEX('WINBUGS data'!$F$17:$ZZ$65,MATCH(C27,'WINBUGS data'!$F$17:$F$65,0),MATCH("na[]",'WINBUGS data'!$F$16:$ZZ$16,0)),"")</f>
        <v>2</v>
      </c>
      <c r="E27" s="31" t="str">
        <f t="shared" si="0"/>
        <v>1,2</v>
      </c>
      <c r="F27" s="31">
        <f>IFERROR(INDEX('WINBUGS data'!$F$17:$ZZ$65,MATCH($C27,'WINBUGS data'!$F$17:$F$65,0),MATCH("t[,"&amp;F$4 &amp;"]",'WINBUGS data'!$F$16:$ZZ$16,0)),"")</f>
        <v>1</v>
      </c>
      <c r="G27" s="31">
        <f>IFERROR(INDEX('WINBUGS data'!$F$17:$ZZ$65,MATCH($C27,'WINBUGS data'!$F$17:$F$65,0),MATCH("t[,"&amp;G$4 &amp;"]",'WINBUGS data'!$F$16:$ZZ$16,0)),"")</f>
        <v>2</v>
      </c>
      <c r="H27" s="31" t="str">
        <f>IFERROR(INDEX('WINBUGS data'!$F$17:$ZZ$65,MATCH($C27,'WINBUGS data'!$F$17:$F$65,0),MATCH("t[,"&amp;H$4 &amp;"]",'WINBUGS data'!$F$16:$ZZ$16,0)),"")</f>
        <v>NA</v>
      </c>
      <c r="I27" s="31" t="str">
        <f>IFERROR(INDEX('WINBUGS data'!$F$17:$ZZ$65,MATCH($C27,'WINBUGS data'!$F$17:$F$65,0),MATCH("t[,"&amp;I$4 &amp;"]",'WINBUGS data'!$F$16:$ZZ$16,0)),"")</f>
        <v>NA</v>
      </c>
      <c r="J27" s="31" t="str">
        <f>IFERROR(INDEX('WINBUGS data'!$F$17:$ZZ$65,MATCH($C27,'WINBUGS data'!$F$17:$F$65,0),MATCH("t[,"&amp;J$4 &amp;"]",'WINBUGS data'!$F$16:$ZZ$16,0)),"")</f>
        <v>NA</v>
      </c>
      <c r="K27" s="31" t="str">
        <f>IFERROR(INDEX('WINBUGS data'!$F$17:$ZZ$65,MATCH($C27,'WINBUGS data'!$F$17:$F$65,0),MATCH("t[,"&amp;K$4 &amp;"]",'WINBUGS data'!$F$16:$ZZ$16,0)),"")</f>
        <v>NA</v>
      </c>
      <c r="L27" s="31" t="str">
        <f>IFERROR(INDEX('WINBUGS data'!$F$17:$ZZ$65,MATCH($C27,'WINBUGS data'!$F$17:$F$65,0),MATCH("t[,"&amp;L$4 &amp;"]",'WINBUGS data'!$F$16:$ZZ$16,0)),"")</f>
        <v>NA</v>
      </c>
      <c r="M27" s="31" t="str">
        <f>IFERROR(INDEX('WINBUGS data'!$F$17:$ZZ$65,MATCH($C27,'WINBUGS data'!$F$17:$F$65,0),MATCH("t[,"&amp;M$4 &amp;"]",'WINBUGS data'!$F$16:$ZZ$16,0)),"")</f>
        <v>NA</v>
      </c>
      <c r="N27" s="31" t="str">
        <f>IFERROR(INDEX('WINBUGS data'!$F$17:$ZZ$65,MATCH($C27,'WINBUGS data'!$F$17:$F$65,0),MATCH("t[,"&amp;N$4 &amp;"]",'WINBUGS data'!$F$16:$ZZ$16,0)),"")</f>
        <v>NA</v>
      </c>
      <c r="O27" s="31" t="str">
        <f>IFERROR(INDEX('WINBUGS data'!$F$17:$ZZ$65,MATCH($C27,'WINBUGS data'!$F$17:$F$65,0),MATCH("t[,"&amp;O$4 &amp;"]",'WINBUGS data'!$F$16:$ZZ$16,0)),"")</f>
        <v>NA</v>
      </c>
      <c r="P27" s="31" t="str">
        <f>IFERROR(INDEX('WINBUGS data'!$F$17:$ZZ$65,MATCH($C27,'WINBUGS data'!$F$17:$F$65,0),MATCH("t[,"&amp;P$4 &amp;"]",'WINBUGS data'!$F$16:$ZZ$16,0)),"")</f>
        <v/>
      </c>
      <c r="Q27" s="31" t="str">
        <f>IFERROR(INDEX('WINBUGS data'!$F$17:$ZZ$65,MATCH($C27,'WINBUGS data'!$F$17:$F$65,0),MATCH("t[,"&amp;Q$4 &amp;"]",'WINBUGS data'!$F$16:$ZZ$16,0)),"")</f>
        <v/>
      </c>
      <c r="R27" s="31" t="str">
        <f>IFERROR(INDEX('WINBUGS data'!$F$17:$ZZ$65,MATCH($C27,'WINBUGS data'!$F$17:$F$65,0),MATCH("t[,"&amp;R$4 &amp;"]",'WINBUGS data'!$F$16:$ZZ$16,0)),"")</f>
        <v/>
      </c>
      <c r="S27" s="31" t="str">
        <f>IFERROR(INDEX('WINBUGS data'!$F$17:$ZZ$65,MATCH($C27,'WINBUGS data'!$F$17:$F$65,0),MATCH("t[,"&amp;S$4 &amp;"]",'WINBUGS data'!$F$16:$ZZ$16,0)),"")</f>
        <v/>
      </c>
      <c r="T27" s="1" t="str">
        <f>IFERROR(INDEX('WINBUGS data'!$F$17:$ZZ$65,MATCH($C27,'WINBUGS data'!$F$17:$F$65,0),MATCH("t[,"&amp;T$4 &amp;"]",'WINBUGS data'!$F$16:$ZZ$16,0)),"")</f>
        <v/>
      </c>
    </row>
    <row r="28" spans="2:20" x14ac:dyDescent="0.25">
      <c r="B28" s="31"/>
      <c r="C28" s="26">
        <f>IF('WINBUGS data'!F40&lt;&gt;"",'WINBUGS data'!F40,"")</f>
        <v>24</v>
      </c>
      <c r="D28" s="31">
        <f>IFERROR(INDEX('WINBUGS data'!$F$17:$ZZ$65,MATCH(C28,'WINBUGS data'!$F$17:$F$65,0),MATCH("na[]",'WINBUGS data'!$F$16:$ZZ$16,0)),"")</f>
        <v>2</v>
      </c>
      <c r="E28" s="31" t="str">
        <f t="shared" si="0"/>
        <v>3,9</v>
      </c>
      <c r="F28" s="31">
        <f>IFERROR(INDEX('WINBUGS data'!$F$17:$ZZ$65,MATCH($C28,'WINBUGS data'!$F$17:$F$65,0),MATCH("t[,"&amp;F$4 &amp;"]",'WINBUGS data'!$F$16:$ZZ$16,0)),"")</f>
        <v>3</v>
      </c>
      <c r="G28" s="31">
        <f>IFERROR(INDEX('WINBUGS data'!$F$17:$ZZ$65,MATCH($C28,'WINBUGS data'!$F$17:$F$65,0),MATCH("t[,"&amp;G$4 &amp;"]",'WINBUGS data'!$F$16:$ZZ$16,0)),"")</f>
        <v>9</v>
      </c>
      <c r="H28" s="31" t="str">
        <f>IFERROR(INDEX('WINBUGS data'!$F$17:$ZZ$65,MATCH($C28,'WINBUGS data'!$F$17:$F$65,0),MATCH("t[,"&amp;H$4 &amp;"]",'WINBUGS data'!$F$16:$ZZ$16,0)),"")</f>
        <v>NA</v>
      </c>
      <c r="I28" s="31" t="str">
        <f>IFERROR(INDEX('WINBUGS data'!$F$17:$ZZ$65,MATCH($C28,'WINBUGS data'!$F$17:$F$65,0),MATCH("t[,"&amp;I$4 &amp;"]",'WINBUGS data'!$F$16:$ZZ$16,0)),"")</f>
        <v>NA</v>
      </c>
      <c r="J28" s="31" t="str">
        <f>IFERROR(INDEX('WINBUGS data'!$F$17:$ZZ$65,MATCH($C28,'WINBUGS data'!$F$17:$F$65,0),MATCH("t[,"&amp;J$4 &amp;"]",'WINBUGS data'!$F$16:$ZZ$16,0)),"")</f>
        <v>NA</v>
      </c>
      <c r="K28" s="31" t="str">
        <f>IFERROR(INDEX('WINBUGS data'!$F$17:$ZZ$65,MATCH($C28,'WINBUGS data'!$F$17:$F$65,0),MATCH("t[,"&amp;K$4 &amp;"]",'WINBUGS data'!$F$16:$ZZ$16,0)),"")</f>
        <v>NA</v>
      </c>
      <c r="L28" s="31" t="str">
        <f>IFERROR(INDEX('WINBUGS data'!$F$17:$ZZ$65,MATCH($C28,'WINBUGS data'!$F$17:$F$65,0),MATCH("t[,"&amp;L$4 &amp;"]",'WINBUGS data'!$F$16:$ZZ$16,0)),"")</f>
        <v>NA</v>
      </c>
      <c r="M28" s="31" t="str">
        <f>IFERROR(INDEX('WINBUGS data'!$F$17:$ZZ$65,MATCH($C28,'WINBUGS data'!$F$17:$F$65,0),MATCH("t[,"&amp;M$4 &amp;"]",'WINBUGS data'!$F$16:$ZZ$16,0)),"")</f>
        <v>NA</v>
      </c>
      <c r="N28" s="31" t="str">
        <f>IFERROR(INDEX('WINBUGS data'!$F$17:$ZZ$65,MATCH($C28,'WINBUGS data'!$F$17:$F$65,0),MATCH("t[,"&amp;N$4 &amp;"]",'WINBUGS data'!$F$16:$ZZ$16,0)),"")</f>
        <v>NA</v>
      </c>
      <c r="O28" s="31" t="str">
        <f>IFERROR(INDEX('WINBUGS data'!$F$17:$ZZ$65,MATCH($C28,'WINBUGS data'!$F$17:$F$65,0),MATCH("t[,"&amp;O$4 &amp;"]",'WINBUGS data'!$F$16:$ZZ$16,0)),"")</f>
        <v>NA</v>
      </c>
      <c r="P28" s="31" t="str">
        <f>IFERROR(INDEX('WINBUGS data'!$F$17:$ZZ$65,MATCH($C28,'WINBUGS data'!$F$17:$F$65,0),MATCH("t[,"&amp;P$4 &amp;"]",'WINBUGS data'!$F$16:$ZZ$16,0)),"")</f>
        <v/>
      </c>
      <c r="Q28" s="31" t="str">
        <f>IFERROR(INDEX('WINBUGS data'!$F$17:$ZZ$65,MATCH($C28,'WINBUGS data'!$F$17:$F$65,0),MATCH("t[,"&amp;Q$4 &amp;"]",'WINBUGS data'!$F$16:$ZZ$16,0)),"")</f>
        <v/>
      </c>
      <c r="R28" s="31" t="str">
        <f>IFERROR(INDEX('WINBUGS data'!$F$17:$ZZ$65,MATCH($C28,'WINBUGS data'!$F$17:$F$65,0),MATCH("t[,"&amp;R$4 &amp;"]",'WINBUGS data'!$F$16:$ZZ$16,0)),"")</f>
        <v/>
      </c>
      <c r="S28" s="31" t="str">
        <f>IFERROR(INDEX('WINBUGS data'!$F$17:$ZZ$65,MATCH($C28,'WINBUGS data'!$F$17:$F$65,0),MATCH("t[,"&amp;S$4 &amp;"]",'WINBUGS data'!$F$16:$ZZ$16,0)),"")</f>
        <v/>
      </c>
      <c r="T28" s="1" t="str">
        <f>IFERROR(INDEX('WINBUGS data'!$F$17:$ZZ$65,MATCH($C28,'WINBUGS data'!$F$17:$F$65,0),MATCH("t[,"&amp;T$4 &amp;"]",'WINBUGS data'!$F$16:$ZZ$16,0)),"")</f>
        <v/>
      </c>
    </row>
    <row r="29" spans="2:20" x14ac:dyDescent="0.25">
      <c r="B29" s="31"/>
      <c r="C29" s="26">
        <f>IF('WINBUGS data'!F41&lt;&gt;"",'WINBUGS data'!F41,"")</f>
        <v>25</v>
      </c>
      <c r="D29" s="31">
        <f>IFERROR(INDEX('WINBUGS data'!$F$17:$ZZ$65,MATCH(C29,'WINBUGS data'!$F$17:$F$65,0),MATCH("na[]",'WINBUGS data'!$F$16:$ZZ$16,0)),"")</f>
        <v>2</v>
      </c>
      <c r="E29" s="31" t="str">
        <f t="shared" si="0"/>
        <v>3,6</v>
      </c>
      <c r="F29" s="31">
        <f>IFERROR(INDEX('WINBUGS data'!$F$17:$ZZ$65,MATCH($C29,'WINBUGS data'!$F$17:$F$65,0),MATCH("t[,"&amp;F$4 &amp;"]",'WINBUGS data'!$F$16:$ZZ$16,0)),"")</f>
        <v>3</v>
      </c>
      <c r="G29" s="31">
        <f>IFERROR(INDEX('WINBUGS data'!$F$17:$ZZ$65,MATCH($C29,'WINBUGS data'!$F$17:$F$65,0),MATCH("t[,"&amp;G$4 &amp;"]",'WINBUGS data'!$F$16:$ZZ$16,0)),"")</f>
        <v>6</v>
      </c>
      <c r="H29" s="31" t="str">
        <f>IFERROR(INDEX('WINBUGS data'!$F$17:$ZZ$65,MATCH($C29,'WINBUGS data'!$F$17:$F$65,0),MATCH("t[,"&amp;H$4 &amp;"]",'WINBUGS data'!$F$16:$ZZ$16,0)),"")</f>
        <v>NA</v>
      </c>
      <c r="I29" s="31" t="str">
        <f>IFERROR(INDEX('WINBUGS data'!$F$17:$ZZ$65,MATCH($C29,'WINBUGS data'!$F$17:$F$65,0),MATCH("t[,"&amp;I$4 &amp;"]",'WINBUGS data'!$F$16:$ZZ$16,0)),"")</f>
        <v>NA</v>
      </c>
      <c r="J29" s="31" t="str">
        <f>IFERROR(INDEX('WINBUGS data'!$F$17:$ZZ$65,MATCH($C29,'WINBUGS data'!$F$17:$F$65,0),MATCH("t[,"&amp;J$4 &amp;"]",'WINBUGS data'!$F$16:$ZZ$16,0)),"")</f>
        <v>NA</v>
      </c>
      <c r="K29" s="31" t="str">
        <f>IFERROR(INDEX('WINBUGS data'!$F$17:$ZZ$65,MATCH($C29,'WINBUGS data'!$F$17:$F$65,0),MATCH("t[,"&amp;K$4 &amp;"]",'WINBUGS data'!$F$16:$ZZ$16,0)),"")</f>
        <v>NA</v>
      </c>
      <c r="L29" s="31" t="str">
        <f>IFERROR(INDEX('WINBUGS data'!$F$17:$ZZ$65,MATCH($C29,'WINBUGS data'!$F$17:$F$65,0),MATCH("t[,"&amp;L$4 &amp;"]",'WINBUGS data'!$F$16:$ZZ$16,0)),"")</f>
        <v>NA</v>
      </c>
      <c r="M29" s="31" t="str">
        <f>IFERROR(INDEX('WINBUGS data'!$F$17:$ZZ$65,MATCH($C29,'WINBUGS data'!$F$17:$F$65,0),MATCH("t[,"&amp;M$4 &amp;"]",'WINBUGS data'!$F$16:$ZZ$16,0)),"")</f>
        <v>NA</v>
      </c>
      <c r="N29" s="31" t="str">
        <f>IFERROR(INDEX('WINBUGS data'!$F$17:$ZZ$65,MATCH($C29,'WINBUGS data'!$F$17:$F$65,0),MATCH("t[,"&amp;N$4 &amp;"]",'WINBUGS data'!$F$16:$ZZ$16,0)),"")</f>
        <v>NA</v>
      </c>
      <c r="O29" s="31" t="str">
        <f>IFERROR(INDEX('WINBUGS data'!$F$17:$ZZ$65,MATCH($C29,'WINBUGS data'!$F$17:$F$65,0),MATCH("t[,"&amp;O$4 &amp;"]",'WINBUGS data'!$F$16:$ZZ$16,0)),"")</f>
        <v>NA</v>
      </c>
      <c r="P29" s="31" t="str">
        <f>IFERROR(INDEX('WINBUGS data'!$F$17:$ZZ$65,MATCH($C29,'WINBUGS data'!$F$17:$F$65,0),MATCH("t[,"&amp;P$4 &amp;"]",'WINBUGS data'!$F$16:$ZZ$16,0)),"")</f>
        <v/>
      </c>
      <c r="Q29" s="31" t="str">
        <f>IFERROR(INDEX('WINBUGS data'!$F$17:$ZZ$65,MATCH($C29,'WINBUGS data'!$F$17:$F$65,0),MATCH("t[,"&amp;Q$4 &amp;"]",'WINBUGS data'!$F$16:$ZZ$16,0)),"")</f>
        <v/>
      </c>
      <c r="R29" s="31" t="str">
        <f>IFERROR(INDEX('WINBUGS data'!$F$17:$ZZ$65,MATCH($C29,'WINBUGS data'!$F$17:$F$65,0),MATCH("t[,"&amp;R$4 &amp;"]",'WINBUGS data'!$F$16:$ZZ$16,0)),"")</f>
        <v/>
      </c>
      <c r="S29" s="31" t="str">
        <f>IFERROR(INDEX('WINBUGS data'!$F$17:$ZZ$65,MATCH($C29,'WINBUGS data'!$F$17:$F$65,0),MATCH("t[,"&amp;S$4 &amp;"]",'WINBUGS data'!$F$16:$ZZ$16,0)),"")</f>
        <v/>
      </c>
      <c r="T29" s="1" t="str">
        <f>IFERROR(INDEX('WINBUGS data'!$F$17:$ZZ$65,MATCH($C29,'WINBUGS data'!$F$17:$F$65,0),MATCH("t[,"&amp;T$4 &amp;"]",'WINBUGS data'!$F$16:$ZZ$16,0)),"")</f>
        <v/>
      </c>
    </row>
    <row r="30" spans="2:20" x14ac:dyDescent="0.25">
      <c r="B30" s="31"/>
      <c r="C30" s="26">
        <f>IF('WINBUGS data'!F42&lt;&gt;"",'WINBUGS data'!F42,"")</f>
        <v>26</v>
      </c>
      <c r="D30" s="31">
        <f>IFERROR(INDEX('WINBUGS data'!$F$17:$ZZ$65,MATCH(C30,'WINBUGS data'!$F$17:$F$65,0),MATCH("na[]",'WINBUGS data'!$F$16:$ZZ$16,0)),"")</f>
        <v>2</v>
      </c>
      <c r="E30" s="31" t="str">
        <f t="shared" si="0"/>
        <v>1,2</v>
      </c>
      <c r="F30" s="31">
        <f>IFERROR(INDEX('WINBUGS data'!$F$17:$ZZ$65,MATCH($C30,'WINBUGS data'!$F$17:$F$65,0),MATCH("t[,"&amp;F$4 &amp;"]",'WINBUGS data'!$F$16:$ZZ$16,0)),"")</f>
        <v>1</v>
      </c>
      <c r="G30" s="31">
        <f>IFERROR(INDEX('WINBUGS data'!$F$17:$ZZ$65,MATCH($C30,'WINBUGS data'!$F$17:$F$65,0),MATCH("t[,"&amp;G$4 &amp;"]",'WINBUGS data'!$F$16:$ZZ$16,0)),"")</f>
        <v>2</v>
      </c>
      <c r="H30" s="31" t="str">
        <f>IFERROR(INDEX('WINBUGS data'!$F$17:$ZZ$65,MATCH($C30,'WINBUGS data'!$F$17:$F$65,0),MATCH("t[,"&amp;H$4 &amp;"]",'WINBUGS data'!$F$16:$ZZ$16,0)),"")</f>
        <v>NA</v>
      </c>
      <c r="I30" s="31" t="str">
        <f>IFERROR(INDEX('WINBUGS data'!$F$17:$ZZ$65,MATCH($C30,'WINBUGS data'!$F$17:$F$65,0),MATCH("t[,"&amp;I$4 &amp;"]",'WINBUGS data'!$F$16:$ZZ$16,0)),"")</f>
        <v>NA</v>
      </c>
      <c r="J30" s="31" t="str">
        <f>IFERROR(INDEX('WINBUGS data'!$F$17:$ZZ$65,MATCH($C30,'WINBUGS data'!$F$17:$F$65,0),MATCH("t[,"&amp;J$4 &amp;"]",'WINBUGS data'!$F$16:$ZZ$16,0)),"")</f>
        <v>NA</v>
      </c>
      <c r="K30" s="31" t="str">
        <f>IFERROR(INDEX('WINBUGS data'!$F$17:$ZZ$65,MATCH($C30,'WINBUGS data'!$F$17:$F$65,0),MATCH("t[,"&amp;K$4 &amp;"]",'WINBUGS data'!$F$16:$ZZ$16,0)),"")</f>
        <v>NA</v>
      </c>
      <c r="L30" s="31" t="str">
        <f>IFERROR(INDEX('WINBUGS data'!$F$17:$ZZ$65,MATCH($C30,'WINBUGS data'!$F$17:$F$65,0),MATCH("t[,"&amp;L$4 &amp;"]",'WINBUGS data'!$F$16:$ZZ$16,0)),"")</f>
        <v>NA</v>
      </c>
      <c r="M30" s="31" t="str">
        <f>IFERROR(INDEX('WINBUGS data'!$F$17:$ZZ$65,MATCH($C30,'WINBUGS data'!$F$17:$F$65,0),MATCH("t[,"&amp;M$4 &amp;"]",'WINBUGS data'!$F$16:$ZZ$16,0)),"")</f>
        <v>NA</v>
      </c>
      <c r="N30" s="31" t="str">
        <f>IFERROR(INDEX('WINBUGS data'!$F$17:$ZZ$65,MATCH($C30,'WINBUGS data'!$F$17:$F$65,0),MATCH("t[,"&amp;N$4 &amp;"]",'WINBUGS data'!$F$16:$ZZ$16,0)),"")</f>
        <v>NA</v>
      </c>
      <c r="O30" s="31" t="str">
        <f>IFERROR(INDEX('WINBUGS data'!$F$17:$ZZ$65,MATCH($C30,'WINBUGS data'!$F$17:$F$65,0),MATCH("t[,"&amp;O$4 &amp;"]",'WINBUGS data'!$F$16:$ZZ$16,0)),"")</f>
        <v>NA</v>
      </c>
      <c r="P30" s="31" t="str">
        <f>IFERROR(INDEX('WINBUGS data'!$F$17:$ZZ$65,MATCH($C30,'WINBUGS data'!$F$17:$F$65,0),MATCH("t[,"&amp;P$4 &amp;"]",'WINBUGS data'!$F$16:$ZZ$16,0)),"")</f>
        <v/>
      </c>
      <c r="Q30" s="31" t="str">
        <f>IFERROR(INDEX('WINBUGS data'!$F$17:$ZZ$65,MATCH($C30,'WINBUGS data'!$F$17:$F$65,0),MATCH("t[,"&amp;Q$4 &amp;"]",'WINBUGS data'!$F$16:$ZZ$16,0)),"")</f>
        <v/>
      </c>
      <c r="R30" s="31" t="str">
        <f>IFERROR(INDEX('WINBUGS data'!$F$17:$ZZ$65,MATCH($C30,'WINBUGS data'!$F$17:$F$65,0),MATCH("t[,"&amp;R$4 &amp;"]",'WINBUGS data'!$F$16:$ZZ$16,0)),"")</f>
        <v/>
      </c>
      <c r="S30" s="31" t="str">
        <f>IFERROR(INDEX('WINBUGS data'!$F$17:$ZZ$65,MATCH($C30,'WINBUGS data'!$F$17:$F$65,0),MATCH("t[,"&amp;S$4 &amp;"]",'WINBUGS data'!$F$16:$ZZ$16,0)),"")</f>
        <v/>
      </c>
      <c r="T30" s="1" t="str">
        <f>IFERROR(INDEX('WINBUGS data'!$F$17:$ZZ$65,MATCH($C30,'WINBUGS data'!$F$17:$F$65,0),MATCH("t[,"&amp;T$4 &amp;"]",'WINBUGS data'!$F$16:$ZZ$16,0)),"")</f>
        <v/>
      </c>
    </row>
    <row r="31" spans="2:20" x14ac:dyDescent="0.25">
      <c r="B31" s="31"/>
      <c r="C31" s="26">
        <f>IF('WINBUGS data'!F43&lt;&gt;"",'WINBUGS data'!F43,"")</f>
        <v>27</v>
      </c>
      <c r="D31" s="31">
        <f>IFERROR(INDEX('WINBUGS data'!$F$17:$ZZ$65,MATCH(C31,'WINBUGS data'!$F$17:$F$65,0),MATCH("na[]",'WINBUGS data'!$F$16:$ZZ$16,0)),"")</f>
        <v>2</v>
      </c>
      <c r="E31" s="31" t="str">
        <f t="shared" si="0"/>
        <v>3,10</v>
      </c>
      <c r="F31" s="31">
        <f>IFERROR(INDEX('WINBUGS data'!$F$17:$ZZ$65,MATCH($C31,'WINBUGS data'!$F$17:$F$65,0),MATCH("t[,"&amp;F$4 &amp;"]",'WINBUGS data'!$F$16:$ZZ$16,0)),"")</f>
        <v>3</v>
      </c>
      <c r="G31" s="31">
        <f>IFERROR(INDEX('WINBUGS data'!$F$17:$ZZ$65,MATCH($C31,'WINBUGS data'!$F$17:$F$65,0),MATCH("t[,"&amp;G$4 &amp;"]",'WINBUGS data'!$F$16:$ZZ$16,0)),"")</f>
        <v>10</v>
      </c>
      <c r="H31" s="31" t="str">
        <f>IFERROR(INDEX('WINBUGS data'!$F$17:$ZZ$65,MATCH($C31,'WINBUGS data'!$F$17:$F$65,0),MATCH("t[,"&amp;H$4 &amp;"]",'WINBUGS data'!$F$16:$ZZ$16,0)),"")</f>
        <v>NA</v>
      </c>
      <c r="I31" s="31" t="str">
        <f>IFERROR(INDEX('WINBUGS data'!$F$17:$ZZ$65,MATCH($C31,'WINBUGS data'!$F$17:$F$65,0),MATCH("t[,"&amp;I$4 &amp;"]",'WINBUGS data'!$F$16:$ZZ$16,0)),"")</f>
        <v>NA</v>
      </c>
      <c r="J31" s="31" t="str">
        <f>IFERROR(INDEX('WINBUGS data'!$F$17:$ZZ$65,MATCH($C31,'WINBUGS data'!$F$17:$F$65,0),MATCH("t[,"&amp;J$4 &amp;"]",'WINBUGS data'!$F$16:$ZZ$16,0)),"")</f>
        <v>NA</v>
      </c>
      <c r="K31" s="31" t="str">
        <f>IFERROR(INDEX('WINBUGS data'!$F$17:$ZZ$65,MATCH($C31,'WINBUGS data'!$F$17:$F$65,0),MATCH("t[,"&amp;K$4 &amp;"]",'WINBUGS data'!$F$16:$ZZ$16,0)),"")</f>
        <v>NA</v>
      </c>
      <c r="L31" s="31" t="str">
        <f>IFERROR(INDEX('WINBUGS data'!$F$17:$ZZ$65,MATCH($C31,'WINBUGS data'!$F$17:$F$65,0),MATCH("t[,"&amp;L$4 &amp;"]",'WINBUGS data'!$F$16:$ZZ$16,0)),"")</f>
        <v>NA</v>
      </c>
      <c r="M31" s="31" t="str">
        <f>IFERROR(INDEX('WINBUGS data'!$F$17:$ZZ$65,MATCH($C31,'WINBUGS data'!$F$17:$F$65,0),MATCH("t[,"&amp;M$4 &amp;"]",'WINBUGS data'!$F$16:$ZZ$16,0)),"")</f>
        <v>NA</v>
      </c>
      <c r="N31" s="31" t="str">
        <f>IFERROR(INDEX('WINBUGS data'!$F$17:$ZZ$65,MATCH($C31,'WINBUGS data'!$F$17:$F$65,0),MATCH("t[,"&amp;N$4 &amp;"]",'WINBUGS data'!$F$16:$ZZ$16,0)),"")</f>
        <v>NA</v>
      </c>
      <c r="O31" s="31" t="str">
        <f>IFERROR(INDEX('WINBUGS data'!$F$17:$ZZ$65,MATCH($C31,'WINBUGS data'!$F$17:$F$65,0),MATCH("t[,"&amp;O$4 &amp;"]",'WINBUGS data'!$F$16:$ZZ$16,0)),"")</f>
        <v>NA</v>
      </c>
      <c r="P31" s="31" t="str">
        <f>IFERROR(INDEX('WINBUGS data'!$F$17:$ZZ$65,MATCH($C31,'WINBUGS data'!$F$17:$F$65,0),MATCH("t[,"&amp;P$4 &amp;"]",'WINBUGS data'!$F$16:$ZZ$16,0)),"")</f>
        <v/>
      </c>
      <c r="Q31" s="31" t="str">
        <f>IFERROR(INDEX('WINBUGS data'!$F$17:$ZZ$65,MATCH($C31,'WINBUGS data'!$F$17:$F$65,0),MATCH("t[,"&amp;Q$4 &amp;"]",'WINBUGS data'!$F$16:$ZZ$16,0)),"")</f>
        <v/>
      </c>
      <c r="R31" s="31" t="str">
        <f>IFERROR(INDEX('WINBUGS data'!$F$17:$ZZ$65,MATCH($C31,'WINBUGS data'!$F$17:$F$65,0),MATCH("t[,"&amp;R$4 &amp;"]",'WINBUGS data'!$F$16:$ZZ$16,0)),"")</f>
        <v/>
      </c>
      <c r="S31" s="31" t="str">
        <f>IFERROR(INDEX('WINBUGS data'!$F$17:$ZZ$65,MATCH($C31,'WINBUGS data'!$F$17:$F$65,0),MATCH("t[,"&amp;S$4 &amp;"]",'WINBUGS data'!$F$16:$ZZ$16,0)),"")</f>
        <v/>
      </c>
      <c r="T31" s="1" t="str">
        <f>IFERROR(INDEX('WINBUGS data'!$F$17:$ZZ$65,MATCH($C31,'WINBUGS data'!$F$17:$F$65,0),MATCH("t[,"&amp;T$4 &amp;"]",'WINBUGS data'!$F$16:$ZZ$16,0)),"")</f>
        <v/>
      </c>
    </row>
    <row r="32" spans="2:20" x14ac:dyDescent="0.25">
      <c r="B32" s="31"/>
      <c r="C32" s="26">
        <f>IF('WINBUGS data'!F44&lt;&gt;"",'WINBUGS data'!F44,"")</f>
        <v>28</v>
      </c>
      <c r="D32" s="31">
        <f>IFERROR(INDEX('WINBUGS data'!$F$17:$ZZ$65,MATCH(C32,'WINBUGS data'!$F$17:$F$65,0),MATCH("na[]",'WINBUGS data'!$F$16:$ZZ$16,0)),"")</f>
        <v>2</v>
      </c>
      <c r="E32" s="31" t="str">
        <f t="shared" si="0"/>
        <v>1,2</v>
      </c>
      <c r="F32" s="31">
        <f>IFERROR(INDEX('WINBUGS data'!$F$17:$ZZ$65,MATCH($C32,'WINBUGS data'!$F$17:$F$65,0),MATCH("t[,"&amp;F$4 &amp;"]",'WINBUGS data'!$F$16:$ZZ$16,0)),"")</f>
        <v>1</v>
      </c>
      <c r="G32" s="31">
        <f>IFERROR(INDEX('WINBUGS data'!$F$17:$ZZ$65,MATCH($C32,'WINBUGS data'!$F$17:$F$65,0),MATCH("t[,"&amp;G$4 &amp;"]",'WINBUGS data'!$F$16:$ZZ$16,0)),"")</f>
        <v>2</v>
      </c>
      <c r="H32" s="31" t="str">
        <f>IFERROR(INDEX('WINBUGS data'!$F$17:$ZZ$65,MATCH($C32,'WINBUGS data'!$F$17:$F$65,0),MATCH("t[,"&amp;H$4 &amp;"]",'WINBUGS data'!$F$16:$ZZ$16,0)),"")</f>
        <v>NA</v>
      </c>
      <c r="I32" s="31" t="str">
        <f>IFERROR(INDEX('WINBUGS data'!$F$17:$ZZ$65,MATCH($C32,'WINBUGS data'!$F$17:$F$65,0),MATCH("t[,"&amp;I$4 &amp;"]",'WINBUGS data'!$F$16:$ZZ$16,0)),"")</f>
        <v>NA</v>
      </c>
      <c r="J32" s="31" t="str">
        <f>IFERROR(INDEX('WINBUGS data'!$F$17:$ZZ$65,MATCH($C32,'WINBUGS data'!$F$17:$F$65,0),MATCH("t[,"&amp;J$4 &amp;"]",'WINBUGS data'!$F$16:$ZZ$16,0)),"")</f>
        <v>NA</v>
      </c>
      <c r="K32" s="31" t="str">
        <f>IFERROR(INDEX('WINBUGS data'!$F$17:$ZZ$65,MATCH($C32,'WINBUGS data'!$F$17:$F$65,0),MATCH("t[,"&amp;K$4 &amp;"]",'WINBUGS data'!$F$16:$ZZ$16,0)),"")</f>
        <v>NA</v>
      </c>
      <c r="L32" s="31" t="str">
        <f>IFERROR(INDEX('WINBUGS data'!$F$17:$ZZ$65,MATCH($C32,'WINBUGS data'!$F$17:$F$65,0),MATCH("t[,"&amp;L$4 &amp;"]",'WINBUGS data'!$F$16:$ZZ$16,0)),"")</f>
        <v>NA</v>
      </c>
      <c r="M32" s="31" t="str">
        <f>IFERROR(INDEX('WINBUGS data'!$F$17:$ZZ$65,MATCH($C32,'WINBUGS data'!$F$17:$F$65,0),MATCH("t[,"&amp;M$4 &amp;"]",'WINBUGS data'!$F$16:$ZZ$16,0)),"")</f>
        <v>NA</v>
      </c>
      <c r="N32" s="31" t="str">
        <f>IFERROR(INDEX('WINBUGS data'!$F$17:$ZZ$65,MATCH($C32,'WINBUGS data'!$F$17:$F$65,0),MATCH("t[,"&amp;N$4 &amp;"]",'WINBUGS data'!$F$16:$ZZ$16,0)),"")</f>
        <v>NA</v>
      </c>
      <c r="O32" s="31" t="str">
        <f>IFERROR(INDEX('WINBUGS data'!$F$17:$ZZ$65,MATCH($C32,'WINBUGS data'!$F$17:$F$65,0),MATCH("t[,"&amp;O$4 &amp;"]",'WINBUGS data'!$F$16:$ZZ$16,0)),"")</f>
        <v>NA</v>
      </c>
      <c r="P32" s="31" t="str">
        <f>IFERROR(INDEX('WINBUGS data'!$F$17:$ZZ$65,MATCH($C32,'WINBUGS data'!$F$17:$F$65,0),MATCH("t[,"&amp;P$4 &amp;"]",'WINBUGS data'!$F$16:$ZZ$16,0)),"")</f>
        <v/>
      </c>
      <c r="Q32" s="31" t="str">
        <f>IFERROR(INDEX('WINBUGS data'!$F$17:$ZZ$65,MATCH($C32,'WINBUGS data'!$F$17:$F$65,0),MATCH("t[,"&amp;Q$4 &amp;"]",'WINBUGS data'!$F$16:$ZZ$16,0)),"")</f>
        <v/>
      </c>
      <c r="R32" s="31" t="str">
        <f>IFERROR(INDEX('WINBUGS data'!$F$17:$ZZ$65,MATCH($C32,'WINBUGS data'!$F$17:$F$65,0),MATCH("t[,"&amp;R$4 &amp;"]",'WINBUGS data'!$F$16:$ZZ$16,0)),"")</f>
        <v/>
      </c>
      <c r="S32" s="31" t="str">
        <f>IFERROR(INDEX('WINBUGS data'!$F$17:$ZZ$65,MATCH($C32,'WINBUGS data'!$F$17:$F$65,0),MATCH("t[,"&amp;S$4 &amp;"]",'WINBUGS data'!$F$16:$ZZ$16,0)),"")</f>
        <v/>
      </c>
      <c r="T32" s="1" t="str">
        <f>IFERROR(INDEX('WINBUGS data'!$F$17:$ZZ$65,MATCH($C32,'WINBUGS data'!$F$17:$F$65,0),MATCH("t[,"&amp;T$4 &amp;"]",'WINBUGS data'!$F$16:$ZZ$16,0)),"")</f>
        <v/>
      </c>
    </row>
    <row r="33" spans="2:20" x14ac:dyDescent="0.25">
      <c r="B33" s="31"/>
      <c r="C33" s="26">
        <f>IF('WINBUGS data'!F45&lt;&gt;"",'WINBUGS data'!F45,"")</f>
        <v>29</v>
      </c>
      <c r="D33" s="31">
        <f>IFERROR(INDEX('WINBUGS data'!$F$17:$ZZ$65,MATCH(C33,'WINBUGS data'!$F$17:$F$65,0),MATCH("na[]",'WINBUGS data'!$F$16:$ZZ$16,0)),"")</f>
        <v>2</v>
      </c>
      <c r="E33" s="31" t="str">
        <f t="shared" si="0"/>
        <v>1,2</v>
      </c>
      <c r="F33" s="31">
        <f>IFERROR(INDEX('WINBUGS data'!$F$17:$ZZ$65,MATCH($C33,'WINBUGS data'!$F$17:$F$65,0),MATCH("t[,"&amp;F$4 &amp;"]",'WINBUGS data'!$F$16:$ZZ$16,0)),"")</f>
        <v>1</v>
      </c>
      <c r="G33" s="31">
        <f>IFERROR(INDEX('WINBUGS data'!$F$17:$ZZ$65,MATCH($C33,'WINBUGS data'!$F$17:$F$65,0),MATCH("t[,"&amp;G$4 &amp;"]",'WINBUGS data'!$F$16:$ZZ$16,0)),"")</f>
        <v>2</v>
      </c>
      <c r="H33" s="31" t="str">
        <f>IFERROR(INDEX('WINBUGS data'!$F$17:$ZZ$65,MATCH($C33,'WINBUGS data'!$F$17:$F$65,0),MATCH("t[,"&amp;H$4 &amp;"]",'WINBUGS data'!$F$16:$ZZ$16,0)),"")</f>
        <v>NA</v>
      </c>
      <c r="I33" s="31" t="str">
        <f>IFERROR(INDEX('WINBUGS data'!$F$17:$ZZ$65,MATCH($C33,'WINBUGS data'!$F$17:$F$65,0),MATCH("t[,"&amp;I$4 &amp;"]",'WINBUGS data'!$F$16:$ZZ$16,0)),"")</f>
        <v>NA</v>
      </c>
      <c r="J33" s="31" t="str">
        <f>IFERROR(INDEX('WINBUGS data'!$F$17:$ZZ$65,MATCH($C33,'WINBUGS data'!$F$17:$F$65,0),MATCH("t[,"&amp;J$4 &amp;"]",'WINBUGS data'!$F$16:$ZZ$16,0)),"")</f>
        <v>NA</v>
      </c>
      <c r="K33" s="31" t="str">
        <f>IFERROR(INDEX('WINBUGS data'!$F$17:$ZZ$65,MATCH($C33,'WINBUGS data'!$F$17:$F$65,0),MATCH("t[,"&amp;K$4 &amp;"]",'WINBUGS data'!$F$16:$ZZ$16,0)),"")</f>
        <v>NA</v>
      </c>
      <c r="L33" s="31" t="str">
        <f>IFERROR(INDEX('WINBUGS data'!$F$17:$ZZ$65,MATCH($C33,'WINBUGS data'!$F$17:$F$65,0),MATCH("t[,"&amp;L$4 &amp;"]",'WINBUGS data'!$F$16:$ZZ$16,0)),"")</f>
        <v>NA</v>
      </c>
      <c r="M33" s="31" t="str">
        <f>IFERROR(INDEX('WINBUGS data'!$F$17:$ZZ$65,MATCH($C33,'WINBUGS data'!$F$17:$F$65,0),MATCH("t[,"&amp;M$4 &amp;"]",'WINBUGS data'!$F$16:$ZZ$16,0)),"")</f>
        <v>NA</v>
      </c>
      <c r="N33" s="31" t="str">
        <f>IFERROR(INDEX('WINBUGS data'!$F$17:$ZZ$65,MATCH($C33,'WINBUGS data'!$F$17:$F$65,0),MATCH("t[,"&amp;N$4 &amp;"]",'WINBUGS data'!$F$16:$ZZ$16,0)),"")</f>
        <v>NA</v>
      </c>
      <c r="O33" s="31" t="str">
        <f>IFERROR(INDEX('WINBUGS data'!$F$17:$ZZ$65,MATCH($C33,'WINBUGS data'!$F$17:$F$65,0),MATCH("t[,"&amp;O$4 &amp;"]",'WINBUGS data'!$F$16:$ZZ$16,0)),"")</f>
        <v>NA</v>
      </c>
      <c r="P33" s="31" t="str">
        <f>IFERROR(INDEX('WINBUGS data'!$F$17:$ZZ$65,MATCH($C33,'WINBUGS data'!$F$17:$F$65,0),MATCH("t[,"&amp;P$4 &amp;"]",'WINBUGS data'!$F$16:$ZZ$16,0)),"")</f>
        <v/>
      </c>
      <c r="Q33" s="31" t="str">
        <f>IFERROR(INDEX('WINBUGS data'!$F$17:$ZZ$65,MATCH($C33,'WINBUGS data'!$F$17:$F$65,0),MATCH("t[,"&amp;Q$4 &amp;"]",'WINBUGS data'!$F$16:$ZZ$16,0)),"")</f>
        <v/>
      </c>
      <c r="R33" s="31" t="str">
        <f>IFERROR(INDEX('WINBUGS data'!$F$17:$ZZ$65,MATCH($C33,'WINBUGS data'!$F$17:$F$65,0),MATCH("t[,"&amp;R$4 &amp;"]",'WINBUGS data'!$F$16:$ZZ$16,0)),"")</f>
        <v/>
      </c>
      <c r="S33" s="31" t="str">
        <f>IFERROR(INDEX('WINBUGS data'!$F$17:$ZZ$65,MATCH($C33,'WINBUGS data'!$F$17:$F$65,0),MATCH("t[,"&amp;S$4 &amp;"]",'WINBUGS data'!$F$16:$ZZ$16,0)),"")</f>
        <v/>
      </c>
      <c r="T33" s="1" t="str">
        <f>IFERROR(INDEX('WINBUGS data'!$F$17:$ZZ$65,MATCH($C33,'WINBUGS data'!$F$17:$F$65,0),MATCH("t[,"&amp;T$4 &amp;"]",'WINBUGS data'!$F$16:$ZZ$16,0)),"")</f>
        <v/>
      </c>
    </row>
    <row r="34" spans="2:20" x14ac:dyDescent="0.25">
      <c r="B34" s="31"/>
      <c r="C34" s="26">
        <f>IF('WINBUGS data'!F46&lt;&gt;"",'WINBUGS data'!F46,"")</f>
        <v>30</v>
      </c>
      <c r="D34" s="31">
        <f>IFERROR(INDEX('WINBUGS data'!$F$17:$ZZ$65,MATCH(C34,'WINBUGS data'!$F$17:$F$65,0),MATCH("na[]",'WINBUGS data'!$F$16:$ZZ$16,0)),"")</f>
        <v>2</v>
      </c>
      <c r="E34" s="31" t="str">
        <f t="shared" si="0"/>
        <v>1,3</v>
      </c>
      <c r="F34" s="31">
        <f>IFERROR(INDEX('WINBUGS data'!$F$17:$ZZ$65,MATCH($C34,'WINBUGS data'!$F$17:$F$65,0),MATCH("t[,"&amp;F$4 &amp;"]",'WINBUGS data'!$F$16:$ZZ$16,0)),"")</f>
        <v>1</v>
      </c>
      <c r="G34" s="31">
        <f>IFERROR(INDEX('WINBUGS data'!$F$17:$ZZ$65,MATCH($C34,'WINBUGS data'!$F$17:$F$65,0),MATCH("t[,"&amp;G$4 &amp;"]",'WINBUGS data'!$F$16:$ZZ$16,0)),"")</f>
        <v>3</v>
      </c>
      <c r="H34" s="31" t="str">
        <f>IFERROR(INDEX('WINBUGS data'!$F$17:$ZZ$65,MATCH($C34,'WINBUGS data'!$F$17:$F$65,0),MATCH("t[,"&amp;H$4 &amp;"]",'WINBUGS data'!$F$16:$ZZ$16,0)),"")</f>
        <v>NA</v>
      </c>
      <c r="I34" s="31" t="str">
        <f>IFERROR(INDEX('WINBUGS data'!$F$17:$ZZ$65,MATCH($C34,'WINBUGS data'!$F$17:$F$65,0),MATCH("t[,"&amp;I$4 &amp;"]",'WINBUGS data'!$F$16:$ZZ$16,0)),"")</f>
        <v>NA</v>
      </c>
      <c r="J34" s="31" t="str">
        <f>IFERROR(INDEX('WINBUGS data'!$F$17:$ZZ$65,MATCH($C34,'WINBUGS data'!$F$17:$F$65,0),MATCH("t[,"&amp;J$4 &amp;"]",'WINBUGS data'!$F$16:$ZZ$16,0)),"")</f>
        <v>NA</v>
      </c>
      <c r="K34" s="31" t="str">
        <f>IFERROR(INDEX('WINBUGS data'!$F$17:$ZZ$65,MATCH($C34,'WINBUGS data'!$F$17:$F$65,0),MATCH("t[,"&amp;K$4 &amp;"]",'WINBUGS data'!$F$16:$ZZ$16,0)),"")</f>
        <v>NA</v>
      </c>
      <c r="L34" s="31" t="str">
        <f>IFERROR(INDEX('WINBUGS data'!$F$17:$ZZ$65,MATCH($C34,'WINBUGS data'!$F$17:$F$65,0),MATCH("t[,"&amp;L$4 &amp;"]",'WINBUGS data'!$F$16:$ZZ$16,0)),"")</f>
        <v>NA</v>
      </c>
      <c r="M34" s="31" t="str">
        <f>IFERROR(INDEX('WINBUGS data'!$F$17:$ZZ$65,MATCH($C34,'WINBUGS data'!$F$17:$F$65,0),MATCH("t[,"&amp;M$4 &amp;"]",'WINBUGS data'!$F$16:$ZZ$16,0)),"")</f>
        <v>NA</v>
      </c>
      <c r="N34" s="31" t="str">
        <f>IFERROR(INDEX('WINBUGS data'!$F$17:$ZZ$65,MATCH($C34,'WINBUGS data'!$F$17:$F$65,0),MATCH("t[,"&amp;N$4 &amp;"]",'WINBUGS data'!$F$16:$ZZ$16,0)),"")</f>
        <v>NA</v>
      </c>
      <c r="O34" s="31" t="str">
        <f>IFERROR(INDEX('WINBUGS data'!$F$17:$ZZ$65,MATCH($C34,'WINBUGS data'!$F$17:$F$65,0),MATCH("t[,"&amp;O$4 &amp;"]",'WINBUGS data'!$F$16:$ZZ$16,0)),"")</f>
        <v>NA</v>
      </c>
      <c r="P34" s="31" t="str">
        <f>IFERROR(INDEX('WINBUGS data'!$F$17:$ZZ$65,MATCH($C34,'WINBUGS data'!$F$17:$F$65,0),MATCH("t[,"&amp;P$4 &amp;"]",'WINBUGS data'!$F$16:$ZZ$16,0)),"")</f>
        <v/>
      </c>
      <c r="Q34" s="31" t="str">
        <f>IFERROR(INDEX('WINBUGS data'!$F$17:$ZZ$65,MATCH($C34,'WINBUGS data'!$F$17:$F$65,0),MATCH("t[,"&amp;Q$4 &amp;"]",'WINBUGS data'!$F$16:$ZZ$16,0)),"")</f>
        <v/>
      </c>
      <c r="R34" s="31" t="str">
        <f>IFERROR(INDEX('WINBUGS data'!$F$17:$ZZ$65,MATCH($C34,'WINBUGS data'!$F$17:$F$65,0),MATCH("t[,"&amp;R$4 &amp;"]",'WINBUGS data'!$F$16:$ZZ$16,0)),"")</f>
        <v/>
      </c>
      <c r="S34" s="31" t="str">
        <f>IFERROR(INDEX('WINBUGS data'!$F$17:$ZZ$65,MATCH($C34,'WINBUGS data'!$F$17:$F$65,0),MATCH("t[,"&amp;S$4 &amp;"]",'WINBUGS data'!$F$16:$ZZ$16,0)),"")</f>
        <v/>
      </c>
      <c r="T34" s="1" t="str">
        <f>IFERROR(INDEX('WINBUGS data'!$F$17:$ZZ$65,MATCH($C34,'WINBUGS data'!$F$17:$F$65,0),MATCH("t[,"&amp;T$4 &amp;"]",'WINBUGS data'!$F$16:$ZZ$16,0)),"")</f>
        <v/>
      </c>
    </row>
    <row r="35" spans="2:20" x14ac:dyDescent="0.25">
      <c r="B35" s="31"/>
      <c r="C35" s="26">
        <f>IF('WINBUGS data'!F47&lt;&gt;"",'WINBUGS data'!F47,"")</f>
        <v>31</v>
      </c>
      <c r="D35" s="31">
        <f>IFERROR(INDEX('WINBUGS data'!$F$17:$ZZ$65,MATCH(C35,'WINBUGS data'!$F$17:$F$65,0),MATCH("na[]",'WINBUGS data'!$F$16:$ZZ$16,0)),"")</f>
        <v>2</v>
      </c>
      <c r="E35" s="31" t="str">
        <f t="shared" si="0"/>
        <v>4,6</v>
      </c>
      <c r="F35" s="31">
        <f>IFERROR(INDEX('WINBUGS data'!$F$17:$ZZ$65,MATCH($C35,'WINBUGS data'!$F$17:$F$65,0),MATCH("t[,"&amp;F$4 &amp;"]",'WINBUGS data'!$F$16:$ZZ$16,0)),"")</f>
        <v>4</v>
      </c>
      <c r="G35" s="31">
        <f>IFERROR(INDEX('WINBUGS data'!$F$17:$ZZ$65,MATCH($C35,'WINBUGS data'!$F$17:$F$65,0),MATCH("t[,"&amp;G$4 &amp;"]",'WINBUGS data'!$F$16:$ZZ$16,0)),"")</f>
        <v>6</v>
      </c>
      <c r="H35" s="31" t="str">
        <f>IFERROR(INDEX('WINBUGS data'!$F$17:$ZZ$65,MATCH($C35,'WINBUGS data'!$F$17:$F$65,0),MATCH("t[,"&amp;H$4 &amp;"]",'WINBUGS data'!$F$16:$ZZ$16,0)),"")</f>
        <v>NA</v>
      </c>
      <c r="I35" s="31" t="str">
        <f>IFERROR(INDEX('WINBUGS data'!$F$17:$ZZ$65,MATCH($C35,'WINBUGS data'!$F$17:$F$65,0),MATCH("t[,"&amp;I$4 &amp;"]",'WINBUGS data'!$F$16:$ZZ$16,0)),"")</f>
        <v>NA</v>
      </c>
      <c r="J35" s="31" t="str">
        <f>IFERROR(INDEX('WINBUGS data'!$F$17:$ZZ$65,MATCH($C35,'WINBUGS data'!$F$17:$F$65,0),MATCH("t[,"&amp;J$4 &amp;"]",'WINBUGS data'!$F$16:$ZZ$16,0)),"")</f>
        <v>NA</v>
      </c>
      <c r="K35" s="31" t="str">
        <f>IFERROR(INDEX('WINBUGS data'!$F$17:$ZZ$65,MATCH($C35,'WINBUGS data'!$F$17:$F$65,0),MATCH("t[,"&amp;K$4 &amp;"]",'WINBUGS data'!$F$16:$ZZ$16,0)),"")</f>
        <v>NA</v>
      </c>
      <c r="L35" s="31" t="str">
        <f>IFERROR(INDEX('WINBUGS data'!$F$17:$ZZ$65,MATCH($C35,'WINBUGS data'!$F$17:$F$65,0),MATCH("t[,"&amp;L$4 &amp;"]",'WINBUGS data'!$F$16:$ZZ$16,0)),"")</f>
        <v>NA</v>
      </c>
      <c r="M35" s="31" t="str">
        <f>IFERROR(INDEX('WINBUGS data'!$F$17:$ZZ$65,MATCH($C35,'WINBUGS data'!$F$17:$F$65,0),MATCH("t[,"&amp;M$4 &amp;"]",'WINBUGS data'!$F$16:$ZZ$16,0)),"")</f>
        <v>NA</v>
      </c>
      <c r="N35" s="31" t="str">
        <f>IFERROR(INDEX('WINBUGS data'!$F$17:$ZZ$65,MATCH($C35,'WINBUGS data'!$F$17:$F$65,0),MATCH("t[,"&amp;N$4 &amp;"]",'WINBUGS data'!$F$16:$ZZ$16,0)),"")</f>
        <v>NA</v>
      </c>
      <c r="O35" s="31" t="str">
        <f>IFERROR(INDEX('WINBUGS data'!$F$17:$ZZ$65,MATCH($C35,'WINBUGS data'!$F$17:$F$65,0),MATCH("t[,"&amp;O$4 &amp;"]",'WINBUGS data'!$F$16:$ZZ$16,0)),"")</f>
        <v>NA</v>
      </c>
      <c r="P35" s="31" t="str">
        <f>IFERROR(INDEX('WINBUGS data'!$F$17:$ZZ$65,MATCH($C35,'WINBUGS data'!$F$17:$F$65,0),MATCH("t[,"&amp;P$4 &amp;"]",'WINBUGS data'!$F$16:$ZZ$16,0)),"")</f>
        <v/>
      </c>
      <c r="Q35" s="31" t="str">
        <f>IFERROR(INDEX('WINBUGS data'!$F$17:$ZZ$65,MATCH($C35,'WINBUGS data'!$F$17:$F$65,0),MATCH("t[,"&amp;Q$4 &amp;"]",'WINBUGS data'!$F$16:$ZZ$16,0)),"")</f>
        <v/>
      </c>
      <c r="R35" s="31" t="str">
        <f>IFERROR(INDEX('WINBUGS data'!$F$17:$ZZ$65,MATCH($C35,'WINBUGS data'!$F$17:$F$65,0),MATCH("t[,"&amp;R$4 &amp;"]",'WINBUGS data'!$F$16:$ZZ$16,0)),"")</f>
        <v/>
      </c>
      <c r="S35" s="31" t="str">
        <f>IFERROR(INDEX('WINBUGS data'!$F$17:$ZZ$65,MATCH($C35,'WINBUGS data'!$F$17:$F$65,0),MATCH("t[,"&amp;S$4 &amp;"]",'WINBUGS data'!$F$16:$ZZ$16,0)),"")</f>
        <v/>
      </c>
      <c r="T35" s="1" t="str">
        <f>IFERROR(INDEX('WINBUGS data'!$F$17:$ZZ$65,MATCH($C35,'WINBUGS data'!$F$17:$F$65,0),MATCH("t[,"&amp;T$4 &amp;"]",'WINBUGS data'!$F$16:$ZZ$16,0)),"")</f>
        <v/>
      </c>
    </row>
    <row r="36" spans="2:20" x14ac:dyDescent="0.25">
      <c r="B36" s="31"/>
      <c r="C36" s="26">
        <f>IF('WINBUGS data'!F48&lt;&gt;"",'WINBUGS data'!F48,"")</f>
        <v>32</v>
      </c>
      <c r="D36" s="31">
        <f>IFERROR(INDEX('WINBUGS data'!$F$17:$ZZ$65,MATCH(C36,'WINBUGS data'!$F$17:$F$65,0),MATCH("na[]",'WINBUGS data'!$F$16:$ZZ$16,0)),"")</f>
        <v>2</v>
      </c>
      <c r="E36" s="31" t="str">
        <f t="shared" si="0"/>
        <v>1,9</v>
      </c>
      <c r="F36" s="31">
        <f>IFERROR(INDEX('WINBUGS data'!$F$17:$ZZ$65,MATCH($C36,'WINBUGS data'!$F$17:$F$65,0),MATCH("t[,"&amp;F$4 &amp;"]",'WINBUGS data'!$F$16:$ZZ$16,0)),"")</f>
        <v>1</v>
      </c>
      <c r="G36" s="31">
        <f>IFERROR(INDEX('WINBUGS data'!$F$17:$ZZ$65,MATCH($C36,'WINBUGS data'!$F$17:$F$65,0),MATCH("t[,"&amp;G$4 &amp;"]",'WINBUGS data'!$F$16:$ZZ$16,0)),"")</f>
        <v>9</v>
      </c>
      <c r="H36" s="31" t="str">
        <f>IFERROR(INDEX('WINBUGS data'!$F$17:$ZZ$65,MATCH($C36,'WINBUGS data'!$F$17:$F$65,0),MATCH("t[,"&amp;H$4 &amp;"]",'WINBUGS data'!$F$16:$ZZ$16,0)),"")</f>
        <v>NA</v>
      </c>
      <c r="I36" s="31" t="str">
        <f>IFERROR(INDEX('WINBUGS data'!$F$17:$ZZ$65,MATCH($C36,'WINBUGS data'!$F$17:$F$65,0),MATCH("t[,"&amp;I$4 &amp;"]",'WINBUGS data'!$F$16:$ZZ$16,0)),"")</f>
        <v>NA</v>
      </c>
      <c r="J36" s="31" t="str">
        <f>IFERROR(INDEX('WINBUGS data'!$F$17:$ZZ$65,MATCH($C36,'WINBUGS data'!$F$17:$F$65,0),MATCH("t[,"&amp;J$4 &amp;"]",'WINBUGS data'!$F$16:$ZZ$16,0)),"")</f>
        <v>NA</v>
      </c>
      <c r="K36" s="31" t="str">
        <f>IFERROR(INDEX('WINBUGS data'!$F$17:$ZZ$65,MATCH($C36,'WINBUGS data'!$F$17:$F$65,0),MATCH("t[,"&amp;K$4 &amp;"]",'WINBUGS data'!$F$16:$ZZ$16,0)),"")</f>
        <v>NA</v>
      </c>
      <c r="L36" s="31" t="str">
        <f>IFERROR(INDEX('WINBUGS data'!$F$17:$ZZ$65,MATCH($C36,'WINBUGS data'!$F$17:$F$65,0),MATCH("t[,"&amp;L$4 &amp;"]",'WINBUGS data'!$F$16:$ZZ$16,0)),"")</f>
        <v>NA</v>
      </c>
      <c r="M36" s="31" t="str">
        <f>IFERROR(INDEX('WINBUGS data'!$F$17:$ZZ$65,MATCH($C36,'WINBUGS data'!$F$17:$F$65,0),MATCH("t[,"&amp;M$4 &amp;"]",'WINBUGS data'!$F$16:$ZZ$16,0)),"")</f>
        <v>NA</v>
      </c>
      <c r="N36" s="31" t="str">
        <f>IFERROR(INDEX('WINBUGS data'!$F$17:$ZZ$65,MATCH($C36,'WINBUGS data'!$F$17:$F$65,0),MATCH("t[,"&amp;N$4 &amp;"]",'WINBUGS data'!$F$16:$ZZ$16,0)),"")</f>
        <v>NA</v>
      </c>
      <c r="O36" s="31" t="str">
        <f>IFERROR(INDEX('WINBUGS data'!$F$17:$ZZ$65,MATCH($C36,'WINBUGS data'!$F$17:$F$65,0),MATCH("t[,"&amp;O$4 &amp;"]",'WINBUGS data'!$F$16:$ZZ$16,0)),"")</f>
        <v>NA</v>
      </c>
      <c r="P36" s="31" t="str">
        <f>IFERROR(INDEX('WINBUGS data'!$F$17:$ZZ$65,MATCH($C36,'WINBUGS data'!$F$17:$F$65,0),MATCH("t[,"&amp;P$4 &amp;"]",'WINBUGS data'!$F$16:$ZZ$16,0)),"")</f>
        <v/>
      </c>
      <c r="Q36" s="31" t="str">
        <f>IFERROR(INDEX('WINBUGS data'!$F$17:$ZZ$65,MATCH($C36,'WINBUGS data'!$F$17:$F$65,0),MATCH("t[,"&amp;Q$4 &amp;"]",'WINBUGS data'!$F$16:$ZZ$16,0)),"")</f>
        <v/>
      </c>
      <c r="R36" s="31" t="str">
        <f>IFERROR(INDEX('WINBUGS data'!$F$17:$ZZ$65,MATCH($C36,'WINBUGS data'!$F$17:$F$65,0),MATCH("t[,"&amp;R$4 &amp;"]",'WINBUGS data'!$F$16:$ZZ$16,0)),"")</f>
        <v/>
      </c>
      <c r="S36" s="31" t="str">
        <f>IFERROR(INDEX('WINBUGS data'!$F$17:$ZZ$65,MATCH($C36,'WINBUGS data'!$F$17:$F$65,0),MATCH("t[,"&amp;S$4 &amp;"]",'WINBUGS data'!$F$16:$ZZ$16,0)),"")</f>
        <v/>
      </c>
      <c r="T36" s="1" t="str">
        <f>IFERROR(INDEX('WINBUGS data'!$F$17:$ZZ$65,MATCH($C36,'WINBUGS data'!$F$17:$F$65,0),MATCH("t[,"&amp;T$4 &amp;"]",'WINBUGS data'!$F$16:$ZZ$16,0)),"")</f>
        <v/>
      </c>
    </row>
    <row r="37" spans="2:20" x14ac:dyDescent="0.25">
      <c r="B37" s="31"/>
      <c r="C37" s="26">
        <f>IF('WINBUGS data'!F49&lt;&gt;"",'WINBUGS data'!F49,"")</f>
        <v>33</v>
      </c>
      <c r="D37" s="31">
        <f>IFERROR(INDEX('WINBUGS data'!$F$17:$ZZ$65,MATCH(C37,'WINBUGS data'!$F$17:$F$65,0),MATCH("na[]",'WINBUGS data'!$F$16:$ZZ$16,0)),"")</f>
        <v>2</v>
      </c>
      <c r="E37" s="31" t="str">
        <f t="shared" si="0"/>
        <v>9,10</v>
      </c>
      <c r="F37" s="31">
        <f>IFERROR(INDEX('WINBUGS data'!$F$17:$ZZ$65,MATCH($C37,'WINBUGS data'!$F$17:$F$65,0),MATCH("t[,"&amp;F$4 &amp;"]",'WINBUGS data'!$F$16:$ZZ$16,0)),"")</f>
        <v>9</v>
      </c>
      <c r="G37" s="31">
        <f>IFERROR(INDEX('WINBUGS data'!$F$17:$ZZ$65,MATCH($C37,'WINBUGS data'!$F$17:$F$65,0),MATCH("t[,"&amp;G$4 &amp;"]",'WINBUGS data'!$F$16:$ZZ$16,0)),"")</f>
        <v>10</v>
      </c>
      <c r="H37" s="31" t="str">
        <f>IFERROR(INDEX('WINBUGS data'!$F$17:$ZZ$65,MATCH($C37,'WINBUGS data'!$F$17:$F$65,0),MATCH("t[,"&amp;H$4 &amp;"]",'WINBUGS data'!$F$16:$ZZ$16,0)),"")</f>
        <v>NA</v>
      </c>
      <c r="I37" s="31" t="str">
        <f>IFERROR(INDEX('WINBUGS data'!$F$17:$ZZ$65,MATCH($C37,'WINBUGS data'!$F$17:$F$65,0),MATCH("t[,"&amp;I$4 &amp;"]",'WINBUGS data'!$F$16:$ZZ$16,0)),"")</f>
        <v>NA</v>
      </c>
      <c r="J37" s="31" t="str">
        <f>IFERROR(INDEX('WINBUGS data'!$F$17:$ZZ$65,MATCH($C37,'WINBUGS data'!$F$17:$F$65,0),MATCH("t[,"&amp;J$4 &amp;"]",'WINBUGS data'!$F$16:$ZZ$16,0)),"")</f>
        <v>NA</v>
      </c>
      <c r="K37" s="31" t="str">
        <f>IFERROR(INDEX('WINBUGS data'!$F$17:$ZZ$65,MATCH($C37,'WINBUGS data'!$F$17:$F$65,0),MATCH("t[,"&amp;K$4 &amp;"]",'WINBUGS data'!$F$16:$ZZ$16,0)),"")</f>
        <v>NA</v>
      </c>
      <c r="L37" s="31" t="str">
        <f>IFERROR(INDEX('WINBUGS data'!$F$17:$ZZ$65,MATCH($C37,'WINBUGS data'!$F$17:$F$65,0),MATCH("t[,"&amp;L$4 &amp;"]",'WINBUGS data'!$F$16:$ZZ$16,0)),"")</f>
        <v>NA</v>
      </c>
      <c r="M37" s="31" t="str">
        <f>IFERROR(INDEX('WINBUGS data'!$F$17:$ZZ$65,MATCH($C37,'WINBUGS data'!$F$17:$F$65,0),MATCH("t[,"&amp;M$4 &amp;"]",'WINBUGS data'!$F$16:$ZZ$16,0)),"")</f>
        <v>NA</v>
      </c>
      <c r="N37" s="31" t="str">
        <f>IFERROR(INDEX('WINBUGS data'!$F$17:$ZZ$65,MATCH($C37,'WINBUGS data'!$F$17:$F$65,0),MATCH("t[,"&amp;N$4 &amp;"]",'WINBUGS data'!$F$16:$ZZ$16,0)),"")</f>
        <v>NA</v>
      </c>
      <c r="O37" s="31" t="str">
        <f>IFERROR(INDEX('WINBUGS data'!$F$17:$ZZ$65,MATCH($C37,'WINBUGS data'!$F$17:$F$65,0),MATCH("t[,"&amp;O$4 &amp;"]",'WINBUGS data'!$F$16:$ZZ$16,0)),"")</f>
        <v>NA</v>
      </c>
      <c r="P37" s="31" t="str">
        <f>IFERROR(INDEX('WINBUGS data'!$F$17:$ZZ$65,MATCH($C37,'WINBUGS data'!$F$17:$F$65,0),MATCH("t[,"&amp;P$4 &amp;"]",'WINBUGS data'!$F$16:$ZZ$16,0)),"")</f>
        <v/>
      </c>
      <c r="Q37" s="31" t="str">
        <f>IFERROR(INDEX('WINBUGS data'!$F$17:$ZZ$65,MATCH($C37,'WINBUGS data'!$F$17:$F$65,0),MATCH("t[,"&amp;Q$4 &amp;"]",'WINBUGS data'!$F$16:$ZZ$16,0)),"")</f>
        <v/>
      </c>
      <c r="R37" s="31" t="str">
        <f>IFERROR(INDEX('WINBUGS data'!$F$17:$ZZ$65,MATCH($C37,'WINBUGS data'!$F$17:$F$65,0),MATCH("t[,"&amp;R$4 &amp;"]",'WINBUGS data'!$F$16:$ZZ$16,0)),"")</f>
        <v/>
      </c>
      <c r="S37" s="31" t="str">
        <f>IFERROR(INDEX('WINBUGS data'!$F$17:$ZZ$65,MATCH($C37,'WINBUGS data'!$F$17:$F$65,0),MATCH("t[,"&amp;S$4 &amp;"]",'WINBUGS data'!$F$16:$ZZ$16,0)),"")</f>
        <v/>
      </c>
      <c r="T37" s="1" t="str">
        <f>IFERROR(INDEX('WINBUGS data'!$F$17:$ZZ$65,MATCH($C37,'WINBUGS data'!$F$17:$F$65,0),MATCH("t[,"&amp;T$4 &amp;"]",'WINBUGS data'!$F$16:$ZZ$16,0)),"")</f>
        <v/>
      </c>
    </row>
    <row r="38" spans="2:20" x14ac:dyDescent="0.25">
      <c r="B38" s="31"/>
      <c r="C38" s="26">
        <f>IF('WINBUGS data'!F50&lt;&gt;"",'WINBUGS data'!F50,"")</f>
        <v>34</v>
      </c>
      <c r="D38" s="31">
        <f>IFERROR(INDEX('WINBUGS data'!$F$17:$ZZ$65,MATCH(C38,'WINBUGS data'!$F$17:$F$65,0),MATCH("na[]",'WINBUGS data'!$F$16:$ZZ$16,0)),"")</f>
        <v>2</v>
      </c>
      <c r="E38" s="31" t="str">
        <f t="shared" si="0"/>
        <v>9,10</v>
      </c>
      <c r="F38" s="31">
        <f>IFERROR(INDEX('WINBUGS data'!$F$17:$ZZ$65,MATCH($C38,'WINBUGS data'!$F$17:$F$65,0),MATCH("t[,"&amp;F$4 &amp;"]",'WINBUGS data'!$F$16:$ZZ$16,0)),"")</f>
        <v>9</v>
      </c>
      <c r="G38" s="31">
        <f>IFERROR(INDEX('WINBUGS data'!$F$17:$ZZ$65,MATCH($C38,'WINBUGS data'!$F$17:$F$65,0),MATCH("t[,"&amp;G$4 &amp;"]",'WINBUGS data'!$F$16:$ZZ$16,0)),"")</f>
        <v>10</v>
      </c>
      <c r="H38" s="31" t="str">
        <f>IFERROR(INDEX('WINBUGS data'!$F$17:$ZZ$65,MATCH($C38,'WINBUGS data'!$F$17:$F$65,0),MATCH("t[,"&amp;H$4 &amp;"]",'WINBUGS data'!$F$16:$ZZ$16,0)),"")</f>
        <v>NA</v>
      </c>
      <c r="I38" s="31" t="str">
        <f>IFERROR(INDEX('WINBUGS data'!$F$17:$ZZ$65,MATCH($C38,'WINBUGS data'!$F$17:$F$65,0),MATCH("t[,"&amp;I$4 &amp;"]",'WINBUGS data'!$F$16:$ZZ$16,0)),"")</f>
        <v>NA</v>
      </c>
      <c r="J38" s="31" t="str">
        <f>IFERROR(INDEX('WINBUGS data'!$F$17:$ZZ$65,MATCH($C38,'WINBUGS data'!$F$17:$F$65,0),MATCH("t[,"&amp;J$4 &amp;"]",'WINBUGS data'!$F$16:$ZZ$16,0)),"")</f>
        <v>NA</v>
      </c>
      <c r="K38" s="31" t="str">
        <f>IFERROR(INDEX('WINBUGS data'!$F$17:$ZZ$65,MATCH($C38,'WINBUGS data'!$F$17:$F$65,0),MATCH("t[,"&amp;K$4 &amp;"]",'WINBUGS data'!$F$16:$ZZ$16,0)),"")</f>
        <v>NA</v>
      </c>
      <c r="L38" s="31" t="str">
        <f>IFERROR(INDEX('WINBUGS data'!$F$17:$ZZ$65,MATCH($C38,'WINBUGS data'!$F$17:$F$65,0),MATCH("t[,"&amp;L$4 &amp;"]",'WINBUGS data'!$F$16:$ZZ$16,0)),"")</f>
        <v>NA</v>
      </c>
      <c r="M38" s="31" t="str">
        <f>IFERROR(INDEX('WINBUGS data'!$F$17:$ZZ$65,MATCH($C38,'WINBUGS data'!$F$17:$F$65,0),MATCH("t[,"&amp;M$4 &amp;"]",'WINBUGS data'!$F$16:$ZZ$16,0)),"")</f>
        <v>NA</v>
      </c>
      <c r="N38" s="31" t="str">
        <f>IFERROR(INDEX('WINBUGS data'!$F$17:$ZZ$65,MATCH($C38,'WINBUGS data'!$F$17:$F$65,0),MATCH("t[,"&amp;N$4 &amp;"]",'WINBUGS data'!$F$16:$ZZ$16,0)),"")</f>
        <v>NA</v>
      </c>
      <c r="O38" s="31" t="str">
        <f>IFERROR(INDEX('WINBUGS data'!$F$17:$ZZ$65,MATCH($C38,'WINBUGS data'!$F$17:$F$65,0),MATCH("t[,"&amp;O$4 &amp;"]",'WINBUGS data'!$F$16:$ZZ$16,0)),"")</f>
        <v>NA</v>
      </c>
      <c r="P38" s="31" t="str">
        <f>IFERROR(INDEX('WINBUGS data'!$F$17:$ZZ$65,MATCH($C38,'WINBUGS data'!$F$17:$F$65,0),MATCH("t[,"&amp;P$4 &amp;"]",'WINBUGS data'!$F$16:$ZZ$16,0)),"")</f>
        <v/>
      </c>
      <c r="Q38" s="31" t="str">
        <f>IFERROR(INDEX('WINBUGS data'!$F$17:$ZZ$65,MATCH($C38,'WINBUGS data'!$F$17:$F$65,0),MATCH("t[,"&amp;Q$4 &amp;"]",'WINBUGS data'!$F$16:$ZZ$16,0)),"")</f>
        <v/>
      </c>
      <c r="R38" s="31" t="str">
        <f>IFERROR(INDEX('WINBUGS data'!$F$17:$ZZ$65,MATCH($C38,'WINBUGS data'!$F$17:$F$65,0),MATCH("t[,"&amp;R$4 &amp;"]",'WINBUGS data'!$F$16:$ZZ$16,0)),"")</f>
        <v/>
      </c>
      <c r="S38" s="31" t="str">
        <f>IFERROR(INDEX('WINBUGS data'!$F$17:$ZZ$65,MATCH($C38,'WINBUGS data'!$F$17:$F$65,0),MATCH("t[,"&amp;S$4 &amp;"]",'WINBUGS data'!$F$16:$ZZ$16,0)),"")</f>
        <v/>
      </c>
      <c r="T38" s="1" t="str">
        <f>IFERROR(INDEX('WINBUGS data'!$F$17:$ZZ$65,MATCH($C38,'WINBUGS data'!$F$17:$F$65,0),MATCH("t[,"&amp;T$4 &amp;"]",'WINBUGS data'!$F$16:$ZZ$16,0)),"")</f>
        <v/>
      </c>
    </row>
    <row r="39" spans="2:20" x14ac:dyDescent="0.25">
      <c r="B39" s="31"/>
      <c r="C39" s="26">
        <f>IF('WINBUGS data'!F51&lt;&gt;"",'WINBUGS data'!F51,"")</f>
        <v>35</v>
      </c>
      <c r="D39" s="31">
        <f>IFERROR(INDEX('WINBUGS data'!$F$17:$ZZ$65,MATCH(C39,'WINBUGS data'!$F$17:$F$65,0),MATCH("na[]",'WINBUGS data'!$F$16:$ZZ$16,0)),"")</f>
        <v>2</v>
      </c>
      <c r="E39" s="31" t="str">
        <f t="shared" si="0"/>
        <v>9,10</v>
      </c>
      <c r="F39" s="31">
        <f>IFERROR(INDEX('WINBUGS data'!$F$17:$ZZ$65,MATCH($C39,'WINBUGS data'!$F$17:$F$65,0),MATCH("t[,"&amp;F$4 &amp;"]",'WINBUGS data'!$F$16:$ZZ$16,0)),"")</f>
        <v>9</v>
      </c>
      <c r="G39" s="31">
        <f>IFERROR(INDEX('WINBUGS data'!$F$17:$ZZ$65,MATCH($C39,'WINBUGS data'!$F$17:$F$65,0),MATCH("t[,"&amp;G$4 &amp;"]",'WINBUGS data'!$F$16:$ZZ$16,0)),"")</f>
        <v>10</v>
      </c>
      <c r="H39" s="31" t="str">
        <f>IFERROR(INDEX('WINBUGS data'!$F$17:$ZZ$65,MATCH($C39,'WINBUGS data'!$F$17:$F$65,0),MATCH("t[,"&amp;H$4 &amp;"]",'WINBUGS data'!$F$16:$ZZ$16,0)),"")</f>
        <v>NA</v>
      </c>
      <c r="I39" s="31" t="str">
        <f>IFERROR(INDEX('WINBUGS data'!$F$17:$ZZ$65,MATCH($C39,'WINBUGS data'!$F$17:$F$65,0),MATCH("t[,"&amp;I$4 &amp;"]",'WINBUGS data'!$F$16:$ZZ$16,0)),"")</f>
        <v>NA</v>
      </c>
      <c r="J39" s="31" t="str">
        <f>IFERROR(INDEX('WINBUGS data'!$F$17:$ZZ$65,MATCH($C39,'WINBUGS data'!$F$17:$F$65,0),MATCH("t[,"&amp;J$4 &amp;"]",'WINBUGS data'!$F$16:$ZZ$16,0)),"")</f>
        <v>NA</v>
      </c>
      <c r="K39" s="31" t="str">
        <f>IFERROR(INDEX('WINBUGS data'!$F$17:$ZZ$65,MATCH($C39,'WINBUGS data'!$F$17:$F$65,0),MATCH("t[,"&amp;K$4 &amp;"]",'WINBUGS data'!$F$16:$ZZ$16,0)),"")</f>
        <v>NA</v>
      </c>
      <c r="L39" s="31" t="str">
        <f>IFERROR(INDEX('WINBUGS data'!$F$17:$ZZ$65,MATCH($C39,'WINBUGS data'!$F$17:$F$65,0),MATCH("t[,"&amp;L$4 &amp;"]",'WINBUGS data'!$F$16:$ZZ$16,0)),"")</f>
        <v>NA</v>
      </c>
      <c r="M39" s="31" t="str">
        <f>IFERROR(INDEX('WINBUGS data'!$F$17:$ZZ$65,MATCH($C39,'WINBUGS data'!$F$17:$F$65,0),MATCH("t[,"&amp;M$4 &amp;"]",'WINBUGS data'!$F$16:$ZZ$16,0)),"")</f>
        <v>NA</v>
      </c>
      <c r="N39" s="31" t="str">
        <f>IFERROR(INDEX('WINBUGS data'!$F$17:$ZZ$65,MATCH($C39,'WINBUGS data'!$F$17:$F$65,0),MATCH("t[,"&amp;N$4 &amp;"]",'WINBUGS data'!$F$16:$ZZ$16,0)),"")</f>
        <v>NA</v>
      </c>
      <c r="O39" s="31" t="str">
        <f>IFERROR(INDEX('WINBUGS data'!$F$17:$ZZ$65,MATCH($C39,'WINBUGS data'!$F$17:$F$65,0),MATCH("t[,"&amp;O$4 &amp;"]",'WINBUGS data'!$F$16:$ZZ$16,0)),"")</f>
        <v>NA</v>
      </c>
      <c r="P39" s="31" t="str">
        <f>IFERROR(INDEX('WINBUGS data'!$F$17:$ZZ$65,MATCH($C39,'WINBUGS data'!$F$17:$F$65,0),MATCH("t[,"&amp;P$4 &amp;"]",'WINBUGS data'!$F$16:$ZZ$16,0)),"")</f>
        <v/>
      </c>
      <c r="Q39" s="31" t="str">
        <f>IFERROR(INDEX('WINBUGS data'!$F$17:$ZZ$65,MATCH($C39,'WINBUGS data'!$F$17:$F$65,0),MATCH("t[,"&amp;Q$4 &amp;"]",'WINBUGS data'!$F$16:$ZZ$16,0)),"")</f>
        <v/>
      </c>
      <c r="R39" s="31" t="str">
        <f>IFERROR(INDEX('WINBUGS data'!$F$17:$ZZ$65,MATCH($C39,'WINBUGS data'!$F$17:$F$65,0),MATCH("t[,"&amp;R$4 &amp;"]",'WINBUGS data'!$F$16:$ZZ$16,0)),"")</f>
        <v/>
      </c>
      <c r="S39" s="31" t="str">
        <f>IFERROR(INDEX('WINBUGS data'!$F$17:$ZZ$65,MATCH($C39,'WINBUGS data'!$F$17:$F$65,0),MATCH("t[,"&amp;S$4 &amp;"]",'WINBUGS data'!$F$16:$ZZ$16,0)),"")</f>
        <v/>
      </c>
      <c r="T39" s="1" t="str">
        <f>IFERROR(INDEX('WINBUGS data'!$F$17:$ZZ$65,MATCH($C39,'WINBUGS data'!$F$17:$F$65,0),MATCH("t[,"&amp;T$4 &amp;"]",'WINBUGS data'!$F$16:$ZZ$16,0)),"")</f>
        <v/>
      </c>
    </row>
    <row r="40" spans="2:20" x14ac:dyDescent="0.25">
      <c r="B40" s="31"/>
      <c r="C40" s="26">
        <f>IF('WINBUGS data'!F52&lt;&gt;"",'WINBUGS data'!F52,"")</f>
        <v>36</v>
      </c>
      <c r="D40" s="31">
        <f>IFERROR(INDEX('WINBUGS data'!$F$17:$ZZ$65,MATCH(C40,'WINBUGS data'!$F$17:$F$65,0),MATCH("na[]",'WINBUGS data'!$F$16:$ZZ$16,0)),"")</f>
        <v>2</v>
      </c>
      <c r="E40" s="31" t="str">
        <f t="shared" si="0"/>
        <v>1,9</v>
      </c>
      <c r="F40" s="31">
        <f>IFERROR(INDEX('WINBUGS data'!$F$17:$ZZ$65,MATCH($C40,'WINBUGS data'!$F$17:$F$65,0),MATCH("t[,"&amp;F$4 &amp;"]",'WINBUGS data'!$F$16:$ZZ$16,0)),"")</f>
        <v>1</v>
      </c>
      <c r="G40" s="31">
        <f>IFERROR(INDEX('WINBUGS data'!$F$17:$ZZ$65,MATCH($C40,'WINBUGS data'!$F$17:$F$65,0),MATCH("t[,"&amp;G$4 &amp;"]",'WINBUGS data'!$F$16:$ZZ$16,0)),"")</f>
        <v>9</v>
      </c>
      <c r="H40" s="31" t="str">
        <f>IFERROR(INDEX('WINBUGS data'!$F$17:$ZZ$65,MATCH($C40,'WINBUGS data'!$F$17:$F$65,0),MATCH("t[,"&amp;H$4 &amp;"]",'WINBUGS data'!$F$16:$ZZ$16,0)),"")</f>
        <v>NA</v>
      </c>
      <c r="I40" s="31" t="str">
        <f>IFERROR(INDEX('WINBUGS data'!$F$17:$ZZ$65,MATCH($C40,'WINBUGS data'!$F$17:$F$65,0),MATCH("t[,"&amp;I$4 &amp;"]",'WINBUGS data'!$F$16:$ZZ$16,0)),"")</f>
        <v>NA</v>
      </c>
      <c r="J40" s="31" t="str">
        <f>IFERROR(INDEX('WINBUGS data'!$F$17:$ZZ$65,MATCH($C40,'WINBUGS data'!$F$17:$F$65,0),MATCH("t[,"&amp;J$4 &amp;"]",'WINBUGS data'!$F$16:$ZZ$16,0)),"")</f>
        <v>NA</v>
      </c>
      <c r="K40" s="31" t="str">
        <f>IFERROR(INDEX('WINBUGS data'!$F$17:$ZZ$65,MATCH($C40,'WINBUGS data'!$F$17:$F$65,0),MATCH("t[,"&amp;K$4 &amp;"]",'WINBUGS data'!$F$16:$ZZ$16,0)),"")</f>
        <v>NA</v>
      </c>
      <c r="L40" s="31" t="str">
        <f>IFERROR(INDEX('WINBUGS data'!$F$17:$ZZ$65,MATCH($C40,'WINBUGS data'!$F$17:$F$65,0),MATCH("t[,"&amp;L$4 &amp;"]",'WINBUGS data'!$F$16:$ZZ$16,0)),"")</f>
        <v>NA</v>
      </c>
      <c r="M40" s="31" t="str">
        <f>IFERROR(INDEX('WINBUGS data'!$F$17:$ZZ$65,MATCH($C40,'WINBUGS data'!$F$17:$F$65,0),MATCH("t[,"&amp;M$4 &amp;"]",'WINBUGS data'!$F$16:$ZZ$16,0)),"")</f>
        <v>NA</v>
      </c>
      <c r="N40" s="31" t="str">
        <f>IFERROR(INDEX('WINBUGS data'!$F$17:$ZZ$65,MATCH($C40,'WINBUGS data'!$F$17:$F$65,0),MATCH("t[,"&amp;N$4 &amp;"]",'WINBUGS data'!$F$16:$ZZ$16,0)),"")</f>
        <v>NA</v>
      </c>
      <c r="O40" s="31" t="str">
        <f>IFERROR(INDEX('WINBUGS data'!$F$17:$ZZ$65,MATCH($C40,'WINBUGS data'!$F$17:$F$65,0),MATCH("t[,"&amp;O$4 &amp;"]",'WINBUGS data'!$F$16:$ZZ$16,0)),"")</f>
        <v>NA</v>
      </c>
      <c r="P40" s="31" t="str">
        <f>IFERROR(INDEX('WINBUGS data'!$F$17:$ZZ$65,MATCH($C40,'WINBUGS data'!$F$17:$F$65,0),MATCH("t[,"&amp;P$4 &amp;"]",'WINBUGS data'!$F$16:$ZZ$16,0)),"")</f>
        <v/>
      </c>
      <c r="Q40" s="31" t="str">
        <f>IFERROR(INDEX('WINBUGS data'!$F$17:$ZZ$65,MATCH($C40,'WINBUGS data'!$F$17:$F$65,0),MATCH("t[,"&amp;Q$4 &amp;"]",'WINBUGS data'!$F$16:$ZZ$16,0)),"")</f>
        <v/>
      </c>
      <c r="R40" s="31" t="str">
        <f>IFERROR(INDEX('WINBUGS data'!$F$17:$ZZ$65,MATCH($C40,'WINBUGS data'!$F$17:$F$65,0),MATCH("t[,"&amp;R$4 &amp;"]",'WINBUGS data'!$F$16:$ZZ$16,0)),"")</f>
        <v/>
      </c>
      <c r="S40" s="31" t="str">
        <f>IFERROR(INDEX('WINBUGS data'!$F$17:$ZZ$65,MATCH($C40,'WINBUGS data'!$F$17:$F$65,0),MATCH("t[,"&amp;S$4 &amp;"]",'WINBUGS data'!$F$16:$ZZ$16,0)),"")</f>
        <v/>
      </c>
      <c r="T40" s="1" t="str">
        <f>IFERROR(INDEX('WINBUGS data'!$F$17:$ZZ$65,MATCH($C40,'WINBUGS data'!$F$17:$F$65,0),MATCH("t[,"&amp;T$4 &amp;"]",'WINBUGS data'!$F$16:$ZZ$16,0)),"")</f>
        <v/>
      </c>
    </row>
    <row r="41" spans="2:20" x14ac:dyDescent="0.25">
      <c r="B41" s="31"/>
      <c r="C41" s="26">
        <f>IF('WINBUGS data'!F53&lt;&gt;"",'WINBUGS data'!F53,"")</f>
        <v>37</v>
      </c>
      <c r="D41" s="31">
        <f>IFERROR(INDEX('WINBUGS data'!$F$17:$ZZ$65,MATCH(C41,'WINBUGS data'!$F$17:$F$65,0),MATCH("na[]",'WINBUGS data'!$F$16:$ZZ$16,0)),"")</f>
        <v>2</v>
      </c>
      <c r="E41" s="31" t="str">
        <f t="shared" si="0"/>
        <v>9,10</v>
      </c>
      <c r="F41" s="31">
        <f>IFERROR(INDEX('WINBUGS data'!$F$17:$ZZ$65,MATCH($C41,'WINBUGS data'!$F$17:$F$65,0),MATCH("t[,"&amp;F$4 &amp;"]",'WINBUGS data'!$F$16:$ZZ$16,0)),"")</f>
        <v>9</v>
      </c>
      <c r="G41" s="31">
        <f>IFERROR(INDEX('WINBUGS data'!$F$17:$ZZ$65,MATCH($C41,'WINBUGS data'!$F$17:$F$65,0),MATCH("t[,"&amp;G$4 &amp;"]",'WINBUGS data'!$F$16:$ZZ$16,0)),"")</f>
        <v>10</v>
      </c>
      <c r="H41" s="31" t="str">
        <f>IFERROR(INDEX('WINBUGS data'!$F$17:$ZZ$65,MATCH($C41,'WINBUGS data'!$F$17:$F$65,0),MATCH("t[,"&amp;H$4 &amp;"]",'WINBUGS data'!$F$16:$ZZ$16,0)),"")</f>
        <v>NA</v>
      </c>
      <c r="I41" s="31" t="str">
        <f>IFERROR(INDEX('WINBUGS data'!$F$17:$ZZ$65,MATCH($C41,'WINBUGS data'!$F$17:$F$65,0),MATCH("t[,"&amp;I$4 &amp;"]",'WINBUGS data'!$F$16:$ZZ$16,0)),"")</f>
        <v>NA</v>
      </c>
      <c r="J41" s="31" t="str">
        <f>IFERROR(INDEX('WINBUGS data'!$F$17:$ZZ$65,MATCH($C41,'WINBUGS data'!$F$17:$F$65,0),MATCH("t[,"&amp;J$4 &amp;"]",'WINBUGS data'!$F$16:$ZZ$16,0)),"")</f>
        <v>NA</v>
      </c>
      <c r="K41" s="31" t="str">
        <f>IFERROR(INDEX('WINBUGS data'!$F$17:$ZZ$65,MATCH($C41,'WINBUGS data'!$F$17:$F$65,0),MATCH("t[,"&amp;K$4 &amp;"]",'WINBUGS data'!$F$16:$ZZ$16,0)),"")</f>
        <v>NA</v>
      </c>
      <c r="L41" s="31" t="str">
        <f>IFERROR(INDEX('WINBUGS data'!$F$17:$ZZ$65,MATCH($C41,'WINBUGS data'!$F$17:$F$65,0),MATCH("t[,"&amp;L$4 &amp;"]",'WINBUGS data'!$F$16:$ZZ$16,0)),"")</f>
        <v>NA</v>
      </c>
      <c r="M41" s="31" t="str">
        <f>IFERROR(INDEX('WINBUGS data'!$F$17:$ZZ$65,MATCH($C41,'WINBUGS data'!$F$17:$F$65,0),MATCH("t[,"&amp;M$4 &amp;"]",'WINBUGS data'!$F$16:$ZZ$16,0)),"")</f>
        <v>NA</v>
      </c>
      <c r="N41" s="31" t="str">
        <f>IFERROR(INDEX('WINBUGS data'!$F$17:$ZZ$65,MATCH($C41,'WINBUGS data'!$F$17:$F$65,0),MATCH("t[,"&amp;N$4 &amp;"]",'WINBUGS data'!$F$16:$ZZ$16,0)),"")</f>
        <v>NA</v>
      </c>
      <c r="O41" s="31" t="str">
        <f>IFERROR(INDEX('WINBUGS data'!$F$17:$ZZ$65,MATCH($C41,'WINBUGS data'!$F$17:$F$65,0),MATCH("t[,"&amp;O$4 &amp;"]",'WINBUGS data'!$F$16:$ZZ$16,0)),"")</f>
        <v>NA</v>
      </c>
      <c r="P41" s="31" t="str">
        <f>IFERROR(INDEX('WINBUGS data'!$F$17:$ZZ$65,MATCH($C41,'WINBUGS data'!$F$17:$F$65,0),MATCH("t[,"&amp;P$4 &amp;"]",'WINBUGS data'!$F$16:$ZZ$16,0)),"")</f>
        <v/>
      </c>
      <c r="Q41" s="31" t="str">
        <f>IFERROR(INDEX('WINBUGS data'!$F$17:$ZZ$65,MATCH($C41,'WINBUGS data'!$F$17:$F$65,0),MATCH("t[,"&amp;Q$4 &amp;"]",'WINBUGS data'!$F$16:$ZZ$16,0)),"")</f>
        <v/>
      </c>
      <c r="R41" s="31" t="str">
        <f>IFERROR(INDEX('WINBUGS data'!$F$17:$ZZ$65,MATCH($C41,'WINBUGS data'!$F$17:$F$65,0),MATCH("t[,"&amp;R$4 &amp;"]",'WINBUGS data'!$F$16:$ZZ$16,0)),"")</f>
        <v/>
      </c>
      <c r="S41" s="31" t="str">
        <f>IFERROR(INDEX('WINBUGS data'!$F$17:$ZZ$65,MATCH($C41,'WINBUGS data'!$F$17:$F$65,0),MATCH("t[,"&amp;S$4 &amp;"]",'WINBUGS data'!$F$16:$ZZ$16,0)),"")</f>
        <v/>
      </c>
      <c r="T41" s="1" t="str">
        <f>IFERROR(INDEX('WINBUGS data'!$F$17:$ZZ$65,MATCH($C41,'WINBUGS data'!$F$17:$F$65,0),MATCH("t[,"&amp;T$4 &amp;"]",'WINBUGS data'!$F$16:$ZZ$16,0)),"")</f>
        <v/>
      </c>
    </row>
    <row r="42" spans="2:20" x14ac:dyDescent="0.25">
      <c r="B42" s="31"/>
      <c r="C42" s="26">
        <f>IF('WINBUGS data'!F54&lt;&gt;"",'WINBUGS data'!F54,"")</f>
        <v>38</v>
      </c>
      <c r="D42" s="31">
        <f>IFERROR(INDEX('WINBUGS data'!$F$17:$ZZ$65,MATCH(C42,'WINBUGS data'!$F$17:$F$65,0),MATCH("na[]",'WINBUGS data'!$F$16:$ZZ$16,0)),"")</f>
        <v>2</v>
      </c>
      <c r="E42" s="31" t="str">
        <f t="shared" si="0"/>
        <v>9,10</v>
      </c>
      <c r="F42" s="31">
        <f>IFERROR(INDEX('WINBUGS data'!$F$17:$ZZ$65,MATCH($C42,'WINBUGS data'!$F$17:$F$65,0),MATCH("t[,"&amp;F$4 &amp;"]",'WINBUGS data'!$F$16:$ZZ$16,0)),"")</f>
        <v>9</v>
      </c>
      <c r="G42" s="31">
        <f>IFERROR(INDEX('WINBUGS data'!$F$17:$ZZ$65,MATCH($C42,'WINBUGS data'!$F$17:$F$65,0),MATCH("t[,"&amp;G$4 &amp;"]",'WINBUGS data'!$F$16:$ZZ$16,0)),"")</f>
        <v>10</v>
      </c>
      <c r="H42" s="31" t="str">
        <f>IFERROR(INDEX('WINBUGS data'!$F$17:$ZZ$65,MATCH($C42,'WINBUGS data'!$F$17:$F$65,0),MATCH("t[,"&amp;H$4 &amp;"]",'WINBUGS data'!$F$16:$ZZ$16,0)),"")</f>
        <v>NA</v>
      </c>
      <c r="I42" s="31" t="str">
        <f>IFERROR(INDEX('WINBUGS data'!$F$17:$ZZ$65,MATCH($C42,'WINBUGS data'!$F$17:$F$65,0),MATCH("t[,"&amp;I$4 &amp;"]",'WINBUGS data'!$F$16:$ZZ$16,0)),"")</f>
        <v>NA</v>
      </c>
      <c r="J42" s="31" t="str">
        <f>IFERROR(INDEX('WINBUGS data'!$F$17:$ZZ$65,MATCH($C42,'WINBUGS data'!$F$17:$F$65,0),MATCH("t[,"&amp;J$4 &amp;"]",'WINBUGS data'!$F$16:$ZZ$16,0)),"")</f>
        <v>NA</v>
      </c>
      <c r="K42" s="31" t="str">
        <f>IFERROR(INDEX('WINBUGS data'!$F$17:$ZZ$65,MATCH($C42,'WINBUGS data'!$F$17:$F$65,0),MATCH("t[,"&amp;K$4 &amp;"]",'WINBUGS data'!$F$16:$ZZ$16,0)),"")</f>
        <v>NA</v>
      </c>
      <c r="L42" s="31" t="str">
        <f>IFERROR(INDEX('WINBUGS data'!$F$17:$ZZ$65,MATCH($C42,'WINBUGS data'!$F$17:$F$65,0),MATCH("t[,"&amp;L$4 &amp;"]",'WINBUGS data'!$F$16:$ZZ$16,0)),"")</f>
        <v>NA</v>
      </c>
      <c r="M42" s="31" t="str">
        <f>IFERROR(INDEX('WINBUGS data'!$F$17:$ZZ$65,MATCH($C42,'WINBUGS data'!$F$17:$F$65,0),MATCH("t[,"&amp;M$4 &amp;"]",'WINBUGS data'!$F$16:$ZZ$16,0)),"")</f>
        <v>NA</v>
      </c>
      <c r="N42" s="31" t="str">
        <f>IFERROR(INDEX('WINBUGS data'!$F$17:$ZZ$65,MATCH($C42,'WINBUGS data'!$F$17:$F$65,0),MATCH("t[,"&amp;N$4 &amp;"]",'WINBUGS data'!$F$16:$ZZ$16,0)),"")</f>
        <v>NA</v>
      </c>
      <c r="O42" s="31" t="str">
        <f>IFERROR(INDEX('WINBUGS data'!$F$17:$ZZ$65,MATCH($C42,'WINBUGS data'!$F$17:$F$65,0),MATCH("t[,"&amp;O$4 &amp;"]",'WINBUGS data'!$F$16:$ZZ$16,0)),"")</f>
        <v>NA</v>
      </c>
      <c r="P42" s="31" t="str">
        <f>IFERROR(INDEX('WINBUGS data'!$F$17:$ZZ$65,MATCH($C42,'WINBUGS data'!$F$17:$F$65,0),MATCH("t[,"&amp;P$4 &amp;"]",'WINBUGS data'!$F$16:$ZZ$16,0)),"")</f>
        <v/>
      </c>
      <c r="Q42" s="31" t="str">
        <f>IFERROR(INDEX('WINBUGS data'!$F$17:$ZZ$65,MATCH($C42,'WINBUGS data'!$F$17:$F$65,0),MATCH("t[,"&amp;Q$4 &amp;"]",'WINBUGS data'!$F$16:$ZZ$16,0)),"")</f>
        <v/>
      </c>
      <c r="R42" s="31" t="str">
        <f>IFERROR(INDEX('WINBUGS data'!$F$17:$ZZ$65,MATCH($C42,'WINBUGS data'!$F$17:$F$65,0),MATCH("t[,"&amp;R$4 &amp;"]",'WINBUGS data'!$F$16:$ZZ$16,0)),"")</f>
        <v/>
      </c>
      <c r="S42" s="31" t="str">
        <f>IFERROR(INDEX('WINBUGS data'!$F$17:$ZZ$65,MATCH($C42,'WINBUGS data'!$F$17:$F$65,0),MATCH("t[,"&amp;S$4 &amp;"]",'WINBUGS data'!$F$16:$ZZ$16,0)),"")</f>
        <v/>
      </c>
      <c r="T42" s="1" t="str">
        <f>IFERROR(INDEX('WINBUGS data'!$F$17:$ZZ$65,MATCH($C42,'WINBUGS data'!$F$17:$F$65,0),MATCH("t[,"&amp;T$4 &amp;"]",'WINBUGS data'!$F$16:$ZZ$16,0)),"")</f>
        <v/>
      </c>
    </row>
    <row r="43" spans="2:20" x14ac:dyDescent="0.25">
      <c r="B43" s="31"/>
      <c r="C43" s="26">
        <f>IF('WINBUGS data'!F55&lt;&gt;"",'WINBUGS data'!F55,"")</f>
        <v>39</v>
      </c>
      <c r="D43" s="31">
        <f>IFERROR(INDEX('WINBUGS data'!$F$17:$ZZ$65,MATCH(C43,'WINBUGS data'!$F$17:$F$65,0),MATCH("na[]",'WINBUGS data'!$F$16:$ZZ$16,0)),"")</f>
        <v>2</v>
      </c>
      <c r="E43" s="31" t="str">
        <f t="shared" si="0"/>
        <v>1,9</v>
      </c>
      <c r="F43" s="31">
        <f>IFERROR(INDEX('WINBUGS data'!$F$17:$ZZ$65,MATCH($C43,'WINBUGS data'!$F$17:$F$65,0),MATCH("t[,"&amp;F$4 &amp;"]",'WINBUGS data'!$F$16:$ZZ$16,0)),"")</f>
        <v>1</v>
      </c>
      <c r="G43" s="31">
        <f>IFERROR(INDEX('WINBUGS data'!$F$17:$ZZ$65,MATCH($C43,'WINBUGS data'!$F$17:$F$65,0),MATCH("t[,"&amp;G$4 &amp;"]",'WINBUGS data'!$F$16:$ZZ$16,0)),"")</f>
        <v>9</v>
      </c>
      <c r="H43" s="31" t="str">
        <f>IFERROR(INDEX('WINBUGS data'!$F$17:$ZZ$65,MATCH($C43,'WINBUGS data'!$F$17:$F$65,0),MATCH("t[,"&amp;H$4 &amp;"]",'WINBUGS data'!$F$16:$ZZ$16,0)),"")</f>
        <v>NA</v>
      </c>
      <c r="I43" s="31" t="str">
        <f>IFERROR(INDEX('WINBUGS data'!$F$17:$ZZ$65,MATCH($C43,'WINBUGS data'!$F$17:$F$65,0),MATCH("t[,"&amp;I$4 &amp;"]",'WINBUGS data'!$F$16:$ZZ$16,0)),"")</f>
        <v>NA</v>
      </c>
      <c r="J43" s="31" t="str">
        <f>IFERROR(INDEX('WINBUGS data'!$F$17:$ZZ$65,MATCH($C43,'WINBUGS data'!$F$17:$F$65,0),MATCH("t[,"&amp;J$4 &amp;"]",'WINBUGS data'!$F$16:$ZZ$16,0)),"")</f>
        <v>NA</v>
      </c>
      <c r="K43" s="31" t="str">
        <f>IFERROR(INDEX('WINBUGS data'!$F$17:$ZZ$65,MATCH($C43,'WINBUGS data'!$F$17:$F$65,0),MATCH("t[,"&amp;K$4 &amp;"]",'WINBUGS data'!$F$16:$ZZ$16,0)),"")</f>
        <v>NA</v>
      </c>
      <c r="L43" s="31" t="str">
        <f>IFERROR(INDEX('WINBUGS data'!$F$17:$ZZ$65,MATCH($C43,'WINBUGS data'!$F$17:$F$65,0),MATCH("t[,"&amp;L$4 &amp;"]",'WINBUGS data'!$F$16:$ZZ$16,0)),"")</f>
        <v>NA</v>
      </c>
      <c r="M43" s="31" t="str">
        <f>IFERROR(INDEX('WINBUGS data'!$F$17:$ZZ$65,MATCH($C43,'WINBUGS data'!$F$17:$F$65,0),MATCH("t[,"&amp;M$4 &amp;"]",'WINBUGS data'!$F$16:$ZZ$16,0)),"")</f>
        <v>NA</v>
      </c>
      <c r="N43" s="31" t="str">
        <f>IFERROR(INDEX('WINBUGS data'!$F$17:$ZZ$65,MATCH($C43,'WINBUGS data'!$F$17:$F$65,0),MATCH("t[,"&amp;N$4 &amp;"]",'WINBUGS data'!$F$16:$ZZ$16,0)),"")</f>
        <v>NA</v>
      </c>
      <c r="O43" s="31" t="str">
        <f>IFERROR(INDEX('WINBUGS data'!$F$17:$ZZ$65,MATCH($C43,'WINBUGS data'!$F$17:$F$65,0),MATCH("t[,"&amp;O$4 &amp;"]",'WINBUGS data'!$F$16:$ZZ$16,0)),"")</f>
        <v>NA</v>
      </c>
      <c r="P43" s="31" t="str">
        <f>IFERROR(INDEX('WINBUGS data'!$F$17:$ZZ$65,MATCH($C43,'WINBUGS data'!$F$17:$F$65,0),MATCH("t[,"&amp;P$4 &amp;"]",'WINBUGS data'!$F$16:$ZZ$16,0)),"")</f>
        <v/>
      </c>
      <c r="Q43" s="31" t="str">
        <f>IFERROR(INDEX('WINBUGS data'!$F$17:$ZZ$65,MATCH($C43,'WINBUGS data'!$F$17:$F$65,0),MATCH("t[,"&amp;Q$4 &amp;"]",'WINBUGS data'!$F$16:$ZZ$16,0)),"")</f>
        <v/>
      </c>
      <c r="R43" s="31" t="str">
        <f>IFERROR(INDEX('WINBUGS data'!$F$17:$ZZ$65,MATCH($C43,'WINBUGS data'!$F$17:$F$65,0),MATCH("t[,"&amp;R$4 &amp;"]",'WINBUGS data'!$F$16:$ZZ$16,0)),"")</f>
        <v/>
      </c>
      <c r="S43" s="31" t="str">
        <f>IFERROR(INDEX('WINBUGS data'!$F$17:$ZZ$65,MATCH($C43,'WINBUGS data'!$F$17:$F$65,0),MATCH("t[,"&amp;S$4 &amp;"]",'WINBUGS data'!$F$16:$ZZ$16,0)),"")</f>
        <v/>
      </c>
      <c r="T43" s="1" t="str">
        <f>IFERROR(INDEX('WINBUGS data'!$F$17:$ZZ$65,MATCH($C43,'WINBUGS data'!$F$17:$F$65,0),MATCH("t[,"&amp;T$4 &amp;"]",'WINBUGS data'!$F$16:$ZZ$16,0)),"")</f>
        <v/>
      </c>
    </row>
    <row r="44" spans="2:20" x14ac:dyDescent="0.25">
      <c r="B44" s="31"/>
      <c r="C44" s="26" t="str">
        <f>IF('WINBUGS data'!F56&lt;&gt;"",'WINBUGS data'!F56,"")</f>
        <v/>
      </c>
      <c r="D44" s="31" t="str">
        <f>IFERROR(INDEX('WINBUGS data'!$F$17:$ZZ$65,MATCH(C44,'WINBUGS data'!$F$17:$F$65,0),MATCH("na[]",'WINBUGS data'!$F$16:$ZZ$16,0)),"")</f>
        <v/>
      </c>
      <c r="E44" s="31" t="str">
        <f t="shared" si="0"/>
        <v/>
      </c>
      <c r="F44" s="31" t="str">
        <f>IFERROR(INDEX('WINBUGS data'!$F$17:$ZZ$65,MATCH($C44,'WINBUGS data'!$F$17:$F$65,0),MATCH("t[,"&amp;F$4 &amp;"]",'WINBUGS data'!$F$16:$ZZ$16,0)),"")</f>
        <v/>
      </c>
      <c r="G44" s="31" t="str">
        <f>IFERROR(INDEX('WINBUGS data'!$F$17:$ZZ$65,MATCH($C44,'WINBUGS data'!$F$17:$F$65,0),MATCH("t[,"&amp;G$4 &amp;"]",'WINBUGS data'!$F$16:$ZZ$16,0)),"")</f>
        <v/>
      </c>
      <c r="H44" s="31" t="str">
        <f>IFERROR(INDEX('WINBUGS data'!$F$17:$ZZ$65,MATCH($C44,'WINBUGS data'!$F$17:$F$65,0),MATCH("t[,"&amp;H$4 &amp;"]",'WINBUGS data'!$F$16:$ZZ$16,0)),"")</f>
        <v/>
      </c>
      <c r="I44" s="31" t="str">
        <f>IFERROR(INDEX('WINBUGS data'!$F$17:$ZZ$65,MATCH($C44,'WINBUGS data'!$F$17:$F$65,0),MATCH("t[,"&amp;I$4 &amp;"]",'WINBUGS data'!$F$16:$ZZ$16,0)),"")</f>
        <v/>
      </c>
      <c r="J44" s="31" t="str">
        <f>IFERROR(INDEX('WINBUGS data'!$F$17:$ZZ$65,MATCH($C44,'WINBUGS data'!$F$17:$F$65,0),MATCH("t[,"&amp;J$4 &amp;"]",'WINBUGS data'!$F$16:$ZZ$16,0)),"")</f>
        <v/>
      </c>
      <c r="K44" s="31" t="str">
        <f>IFERROR(INDEX('WINBUGS data'!$F$17:$ZZ$65,MATCH($C44,'WINBUGS data'!$F$17:$F$65,0),MATCH("t[,"&amp;K$4 &amp;"]",'WINBUGS data'!$F$16:$ZZ$16,0)),"")</f>
        <v/>
      </c>
      <c r="L44" s="31" t="str">
        <f>IFERROR(INDEX('WINBUGS data'!$F$17:$ZZ$65,MATCH($C44,'WINBUGS data'!$F$17:$F$65,0),MATCH("t[,"&amp;L$4 &amp;"]",'WINBUGS data'!$F$16:$ZZ$16,0)),"")</f>
        <v/>
      </c>
      <c r="M44" s="31" t="str">
        <f>IFERROR(INDEX('WINBUGS data'!$F$17:$ZZ$65,MATCH($C44,'WINBUGS data'!$F$17:$F$65,0),MATCH("t[,"&amp;M$4 &amp;"]",'WINBUGS data'!$F$16:$ZZ$16,0)),"")</f>
        <v/>
      </c>
      <c r="N44" s="31" t="str">
        <f>IFERROR(INDEX('WINBUGS data'!$F$17:$ZZ$65,MATCH($C44,'WINBUGS data'!$F$17:$F$65,0),MATCH("t[,"&amp;N$4 &amp;"]",'WINBUGS data'!$F$16:$ZZ$16,0)),"")</f>
        <v/>
      </c>
      <c r="O44" s="31" t="str">
        <f>IFERROR(INDEX('WINBUGS data'!$F$17:$ZZ$65,MATCH($C44,'WINBUGS data'!$F$17:$F$65,0),MATCH("t[,"&amp;O$4 &amp;"]",'WINBUGS data'!$F$16:$ZZ$16,0)),"")</f>
        <v/>
      </c>
      <c r="P44" s="31" t="str">
        <f>IFERROR(INDEX('WINBUGS data'!$F$17:$ZZ$65,MATCH($C44,'WINBUGS data'!$F$17:$F$65,0),MATCH("t[,"&amp;P$4 &amp;"]",'WINBUGS data'!$F$16:$ZZ$16,0)),"")</f>
        <v/>
      </c>
      <c r="Q44" s="31" t="str">
        <f>IFERROR(INDEX('WINBUGS data'!$F$17:$ZZ$65,MATCH($C44,'WINBUGS data'!$F$17:$F$65,0),MATCH("t[,"&amp;Q$4 &amp;"]",'WINBUGS data'!$F$16:$ZZ$16,0)),"")</f>
        <v/>
      </c>
      <c r="R44" s="31" t="str">
        <f>IFERROR(INDEX('WINBUGS data'!$F$17:$ZZ$65,MATCH($C44,'WINBUGS data'!$F$17:$F$65,0),MATCH("t[,"&amp;R$4 &amp;"]",'WINBUGS data'!$F$16:$ZZ$16,0)),"")</f>
        <v/>
      </c>
      <c r="S44" s="31" t="str">
        <f>IFERROR(INDEX('WINBUGS data'!$F$17:$ZZ$65,MATCH($C44,'WINBUGS data'!$F$17:$F$65,0),MATCH("t[,"&amp;S$4 &amp;"]",'WINBUGS data'!$F$16:$ZZ$16,0)),"")</f>
        <v/>
      </c>
      <c r="T44" s="1" t="str">
        <f>IFERROR(INDEX('WINBUGS data'!$F$17:$ZZ$65,MATCH($C44,'WINBUGS data'!$F$17:$F$65,0),MATCH("t[,"&amp;T$4 &amp;"]",'WINBUGS data'!$F$16:$ZZ$16,0)),"")</f>
        <v/>
      </c>
    </row>
    <row r="45" spans="2:20" x14ac:dyDescent="0.25">
      <c r="B45" s="31"/>
      <c r="C45" s="26" t="str">
        <f>IF('WINBUGS data'!F57&lt;&gt;"",'WINBUGS data'!F57,"")</f>
        <v/>
      </c>
      <c r="D45" s="31" t="str">
        <f>IFERROR(INDEX('WINBUGS data'!$F$17:$ZZ$65,MATCH(C45,'WINBUGS data'!$F$17:$F$65,0),MATCH("na[]",'WINBUGS data'!$F$16:$ZZ$16,0)),"")</f>
        <v/>
      </c>
      <c r="E45" s="31" t="str">
        <f t="shared" si="0"/>
        <v/>
      </c>
      <c r="F45" s="31" t="str">
        <f>IFERROR(INDEX('WINBUGS data'!$F$17:$ZZ$65,MATCH($C45,'WINBUGS data'!$F$17:$F$65,0),MATCH("t[,"&amp;F$4 &amp;"]",'WINBUGS data'!$F$16:$ZZ$16,0)),"")</f>
        <v/>
      </c>
      <c r="G45" s="31" t="str">
        <f>IFERROR(INDEX('WINBUGS data'!$F$17:$ZZ$65,MATCH($C45,'WINBUGS data'!$F$17:$F$65,0),MATCH("t[,"&amp;G$4 &amp;"]",'WINBUGS data'!$F$16:$ZZ$16,0)),"")</f>
        <v/>
      </c>
      <c r="H45" s="31" t="str">
        <f>IFERROR(INDEX('WINBUGS data'!$F$17:$ZZ$65,MATCH($C45,'WINBUGS data'!$F$17:$F$65,0),MATCH("t[,"&amp;H$4 &amp;"]",'WINBUGS data'!$F$16:$ZZ$16,0)),"")</f>
        <v/>
      </c>
      <c r="I45" s="31" t="str">
        <f>IFERROR(INDEX('WINBUGS data'!$F$17:$ZZ$65,MATCH($C45,'WINBUGS data'!$F$17:$F$65,0),MATCH("t[,"&amp;I$4 &amp;"]",'WINBUGS data'!$F$16:$ZZ$16,0)),"")</f>
        <v/>
      </c>
      <c r="J45" s="31" t="str">
        <f>IFERROR(INDEX('WINBUGS data'!$F$17:$ZZ$65,MATCH($C45,'WINBUGS data'!$F$17:$F$65,0),MATCH("t[,"&amp;J$4 &amp;"]",'WINBUGS data'!$F$16:$ZZ$16,0)),"")</f>
        <v/>
      </c>
      <c r="K45" s="31" t="str">
        <f>IFERROR(INDEX('WINBUGS data'!$F$17:$ZZ$65,MATCH($C45,'WINBUGS data'!$F$17:$F$65,0),MATCH("t[,"&amp;K$4 &amp;"]",'WINBUGS data'!$F$16:$ZZ$16,0)),"")</f>
        <v/>
      </c>
      <c r="L45" s="31" t="str">
        <f>IFERROR(INDEX('WINBUGS data'!$F$17:$ZZ$65,MATCH($C45,'WINBUGS data'!$F$17:$F$65,0),MATCH("t[,"&amp;L$4 &amp;"]",'WINBUGS data'!$F$16:$ZZ$16,0)),"")</f>
        <v/>
      </c>
      <c r="M45" s="31" t="str">
        <f>IFERROR(INDEX('WINBUGS data'!$F$17:$ZZ$65,MATCH($C45,'WINBUGS data'!$F$17:$F$65,0),MATCH("t[,"&amp;M$4 &amp;"]",'WINBUGS data'!$F$16:$ZZ$16,0)),"")</f>
        <v/>
      </c>
      <c r="N45" s="31" t="str">
        <f>IFERROR(INDEX('WINBUGS data'!$F$17:$ZZ$65,MATCH($C45,'WINBUGS data'!$F$17:$F$65,0),MATCH("t[,"&amp;N$4 &amp;"]",'WINBUGS data'!$F$16:$ZZ$16,0)),"")</f>
        <v/>
      </c>
      <c r="O45" s="31" t="str">
        <f>IFERROR(INDEX('WINBUGS data'!$F$17:$ZZ$65,MATCH($C45,'WINBUGS data'!$F$17:$F$65,0),MATCH("t[,"&amp;O$4 &amp;"]",'WINBUGS data'!$F$16:$ZZ$16,0)),"")</f>
        <v/>
      </c>
      <c r="P45" s="31" t="str">
        <f>IFERROR(INDEX('WINBUGS data'!$F$17:$ZZ$65,MATCH($C45,'WINBUGS data'!$F$17:$F$65,0),MATCH("t[,"&amp;P$4 &amp;"]",'WINBUGS data'!$F$16:$ZZ$16,0)),"")</f>
        <v/>
      </c>
      <c r="Q45" s="31" t="str">
        <f>IFERROR(INDEX('WINBUGS data'!$F$17:$ZZ$65,MATCH($C45,'WINBUGS data'!$F$17:$F$65,0),MATCH("t[,"&amp;Q$4 &amp;"]",'WINBUGS data'!$F$16:$ZZ$16,0)),"")</f>
        <v/>
      </c>
      <c r="R45" s="31" t="str">
        <f>IFERROR(INDEX('WINBUGS data'!$F$17:$ZZ$65,MATCH($C45,'WINBUGS data'!$F$17:$F$65,0),MATCH("t[,"&amp;R$4 &amp;"]",'WINBUGS data'!$F$16:$ZZ$16,0)),"")</f>
        <v/>
      </c>
      <c r="S45" s="31" t="str">
        <f>IFERROR(INDEX('WINBUGS data'!$F$17:$ZZ$65,MATCH($C45,'WINBUGS data'!$F$17:$F$65,0),MATCH("t[,"&amp;S$4 &amp;"]",'WINBUGS data'!$F$16:$ZZ$16,0)),"")</f>
        <v/>
      </c>
      <c r="T45" s="1" t="str">
        <f>IFERROR(INDEX('WINBUGS data'!$F$17:$ZZ$65,MATCH($C45,'WINBUGS data'!$F$17:$F$65,0),MATCH("t[,"&amp;T$4 &amp;"]",'WINBUGS data'!$F$16:$ZZ$16,0)),"")</f>
        <v/>
      </c>
    </row>
    <row r="46" spans="2:20" x14ac:dyDescent="0.25">
      <c r="B46" s="31"/>
      <c r="C46" s="26" t="str">
        <f>IF('WINBUGS data'!F58&lt;&gt;"",'WINBUGS data'!F58,"")</f>
        <v/>
      </c>
      <c r="D46" s="31" t="str">
        <f>IFERROR(INDEX('WINBUGS data'!$F$17:$ZZ$65,MATCH(C46,'WINBUGS data'!$F$17:$F$65,0),MATCH("na[]",'WINBUGS data'!$F$16:$ZZ$16,0)),"")</f>
        <v/>
      </c>
      <c r="E46" s="31" t="str">
        <f t="shared" si="0"/>
        <v/>
      </c>
      <c r="F46" s="31" t="str">
        <f>IFERROR(INDEX('WINBUGS data'!$F$17:$ZZ$65,MATCH($C46,'WINBUGS data'!$F$17:$F$65,0),MATCH("t[,"&amp;F$4 &amp;"]",'WINBUGS data'!$F$16:$ZZ$16,0)),"")</f>
        <v/>
      </c>
      <c r="G46" s="31" t="str">
        <f>IFERROR(INDEX('WINBUGS data'!$F$17:$ZZ$65,MATCH($C46,'WINBUGS data'!$F$17:$F$65,0),MATCH("t[,"&amp;G$4 &amp;"]",'WINBUGS data'!$F$16:$ZZ$16,0)),"")</f>
        <v/>
      </c>
      <c r="H46" s="31" t="str">
        <f>IFERROR(INDEX('WINBUGS data'!$F$17:$ZZ$65,MATCH($C46,'WINBUGS data'!$F$17:$F$65,0),MATCH("t[,"&amp;H$4 &amp;"]",'WINBUGS data'!$F$16:$ZZ$16,0)),"")</f>
        <v/>
      </c>
      <c r="I46" s="31" t="str">
        <f>IFERROR(INDEX('WINBUGS data'!$F$17:$ZZ$65,MATCH($C46,'WINBUGS data'!$F$17:$F$65,0),MATCH("t[,"&amp;I$4 &amp;"]",'WINBUGS data'!$F$16:$ZZ$16,0)),"")</f>
        <v/>
      </c>
      <c r="J46" s="31" t="str">
        <f>IFERROR(INDEX('WINBUGS data'!$F$17:$ZZ$65,MATCH($C46,'WINBUGS data'!$F$17:$F$65,0),MATCH("t[,"&amp;J$4 &amp;"]",'WINBUGS data'!$F$16:$ZZ$16,0)),"")</f>
        <v/>
      </c>
      <c r="K46" s="31" t="str">
        <f>IFERROR(INDEX('WINBUGS data'!$F$17:$ZZ$65,MATCH($C46,'WINBUGS data'!$F$17:$F$65,0),MATCH("t[,"&amp;K$4 &amp;"]",'WINBUGS data'!$F$16:$ZZ$16,0)),"")</f>
        <v/>
      </c>
      <c r="L46" s="31" t="str">
        <f>IFERROR(INDEX('WINBUGS data'!$F$17:$ZZ$65,MATCH($C46,'WINBUGS data'!$F$17:$F$65,0),MATCH("t[,"&amp;L$4 &amp;"]",'WINBUGS data'!$F$16:$ZZ$16,0)),"")</f>
        <v/>
      </c>
      <c r="M46" s="31" t="str">
        <f>IFERROR(INDEX('WINBUGS data'!$F$17:$ZZ$65,MATCH($C46,'WINBUGS data'!$F$17:$F$65,0),MATCH("t[,"&amp;M$4 &amp;"]",'WINBUGS data'!$F$16:$ZZ$16,0)),"")</f>
        <v/>
      </c>
      <c r="N46" s="31" t="str">
        <f>IFERROR(INDEX('WINBUGS data'!$F$17:$ZZ$65,MATCH($C46,'WINBUGS data'!$F$17:$F$65,0),MATCH("t[,"&amp;N$4 &amp;"]",'WINBUGS data'!$F$16:$ZZ$16,0)),"")</f>
        <v/>
      </c>
      <c r="O46" s="31" t="str">
        <f>IFERROR(INDEX('WINBUGS data'!$F$17:$ZZ$65,MATCH($C46,'WINBUGS data'!$F$17:$F$65,0),MATCH("t[,"&amp;O$4 &amp;"]",'WINBUGS data'!$F$16:$ZZ$16,0)),"")</f>
        <v/>
      </c>
      <c r="P46" s="31" t="str">
        <f>IFERROR(INDEX('WINBUGS data'!$F$17:$ZZ$65,MATCH($C46,'WINBUGS data'!$F$17:$F$65,0),MATCH("t[,"&amp;P$4 &amp;"]",'WINBUGS data'!$F$16:$ZZ$16,0)),"")</f>
        <v/>
      </c>
      <c r="Q46" s="31" t="str">
        <f>IFERROR(INDEX('WINBUGS data'!$F$17:$ZZ$65,MATCH($C46,'WINBUGS data'!$F$17:$F$65,0),MATCH("t[,"&amp;Q$4 &amp;"]",'WINBUGS data'!$F$16:$ZZ$16,0)),"")</f>
        <v/>
      </c>
      <c r="R46" s="31" t="str">
        <f>IFERROR(INDEX('WINBUGS data'!$F$17:$ZZ$65,MATCH($C46,'WINBUGS data'!$F$17:$F$65,0),MATCH("t[,"&amp;R$4 &amp;"]",'WINBUGS data'!$F$16:$ZZ$16,0)),"")</f>
        <v/>
      </c>
      <c r="S46" s="31" t="str">
        <f>IFERROR(INDEX('WINBUGS data'!$F$17:$ZZ$65,MATCH($C46,'WINBUGS data'!$F$17:$F$65,0),MATCH("t[,"&amp;S$4 &amp;"]",'WINBUGS data'!$F$16:$ZZ$16,0)),"")</f>
        <v/>
      </c>
      <c r="T46" s="1" t="str">
        <f>IFERROR(INDEX('WINBUGS data'!$F$17:$ZZ$65,MATCH($C46,'WINBUGS data'!$F$17:$F$65,0),MATCH("t[,"&amp;T$4 &amp;"]",'WINBUGS data'!$F$16:$ZZ$16,0)),"")</f>
        <v/>
      </c>
    </row>
    <row r="47" spans="2:20" x14ac:dyDescent="0.25">
      <c r="B47" s="31"/>
      <c r="C47" s="26" t="str">
        <f>IF('WINBUGS data'!F59&lt;&gt;"",'WINBUGS data'!F59,"")</f>
        <v/>
      </c>
      <c r="D47" s="31" t="str">
        <f>IFERROR(INDEX('WINBUGS data'!$F$17:$ZZ$65,MATCH(C47,'WINBUGS data'!$F$17:$F$65,0),MATCH("na[]",'WINBUGS data'!$F$16:$ZZ$16,0)),"")</f>
        <v/>
      </c>
      <c r="E47" s="31" t="str">
        <f t="shared" si="0"/>
        <v/>
      </c>
      <c r="F47" s="31" t="str">
        <f>IFERROR(INDEX('WINBUGS data'!$F$17:$ZZ$65,MATCH($C47,'WINBUGS data'!$F$17:$F$65,0),MATCH("t[,"&amp;F$4 &amp;"]",'WINBUGS data'!$F$16:$ZZ$16,0)),"")</f>
        <v/>
      </c>
      <c r="G47" s="31" t="str">
        <f>IFERROR(INDEX('WINBUGS data'!$F$17:$ZZ$65,MATCH($C47,'WINBUGS data'!$F$17:$F$65,0),MATCH("t[,"&amp;G$4 &amp;"]",'WINBUGS data'!$F$16:$ZZ$16,0)),"")</f>
        <v/>
      </c>
      <c r="H47" s="31" t="str">
        <f>IFERROR(INDEX('WINBUGS data'!$F$17:$ZZ$65,MATCH($C47,'WINBUGS data'!$F$17:$F$65,0),MATCH("t[,"&amp;H$4 &amp;"]",'WINBUGS data'!$F$16:$ZZ$16,0)),"")</f>
        <v/>
      </c>
      <c r="I47" s="31" t="str">
        <f>IFERROR(INDEX('WINBUGS data'!$F$17:$ZZ$65,MATCH($C47,'WINBUGS data'!$F$17:$F$65,0),MATCH("t[,"&amp;I$4 &amp;"]",'WINBUGS data'!$F$16:$ZZ$16,0)),"")</f>
        <v/>
      </c>
      <c r="J47" s="31" t="str">
        <f>IFERROR(INDEX('WINBUGS data'!$F$17:$ZZ$65,MATCH($C47,'WINBUGS data'!$F$17:$F$65,0),MATCH("t[,"&amp;J$4 &amp;"]",'WINBUGS data'!$F$16:$ZZ$16,0)),"")</f>
        <v/>
      </c>
      <c r="K47" s="31" t="str">
        <f>IFERROR(INDEX('WINBUGS data'!$F$17:$ZZ$65,MATCH($C47,'WINBUGS data'!$F$17:$F$65,0),MATCH("t[,"&amp;K$4 &amp;"]",'WINBUGS data'!$F$16:$ZZ$16,0)),"")</f>
        <v/>
      </c>
      <c r="L47" s="31" t="str">
        <f>IFERROR(INDEX('WINBUGS data'!$F$17:$ZZ$65,MATCH($C47,'WINBUGS data'!$F$17:$F$65,0),MATCH("t[,"&amp;L$4 &amp;"]",'WINBUGS data'!$F$16:$ZZ$16,0)),"")</f>
        <v/>
      </c>
      <c r="M47" s="31" t="str">
        <f>IFERROR(INDEX('WINBUGS data'!$F$17:$ZZ$65,MATCH($C47,'WINBUGS data'!$F$17:$F$65,0),MATCH("t[,"&amp;M$4 &amp;"]",'WINBUGS data'!$F$16:$ZZ$16,0)),"")</f>
        <v/>
      </c>
      <c r="N47" s="31" t="str">
        <f>IFERROR(INDEX('WINBUGS data'!$F$17:$ZZ$65,MATCH($C47,'WINBUGS data'!$F$17:$F$65,0),MATCH("t[,"&amp;N$4 &amp;"]",'WINBUGS data'!$F$16:$ZZ$16,0)),"")</f>
        <v/>
      </c>
      <c r="O47" s="31" t="str">
        <f>IFERROR(INDEX('WINBUGS data'!$F$17:$ZZ$65,MATCH($C47,'WINBUGS data'!$F$17:$F$65,0),MATCH("t[,"&amp;O$4 &amp;"]",'WINBUGS data'!$F$16:$ZZ$16,0)),"")</f>
        <v/>
      </c>
      <c r="P47" s="31" t="str">
        <f>IFERROR(INDEX('WINBUGS data'!$F$17:$ZZ$65,MATCH($C47,'WINBUGS data'!$F$17:$F$65,0),MATCH("t[,"&amp;P$4 &amp;"]",'WINBUGS data'!$F$16:$ZZ$16,0)),"")</f>
        <v/>
      </c>
      <c r="Q47" s="31" t="str">
        <f>IFERROR(INDEX('WINBUGS data'!$F$17:$ZZ$65,MATCH($C47,'WINBUGS data'!$F$17:$F$65,0),MATCH("t[,"&amp;Q$4 &amp;"]",'WINBUGS data'!$F$16:$ZZ$16,0)),"")</f>
        <v/>
      </c>
      <c r="R47" s="31" t="str">
        <f>IFERROR(INDEX('WINBUGS data'!$F$17:$ZZ$65,MATCH($C47,'WINBUGS data'!$F$17:$F$65,0),MATCH("t[,"&amp;R$4 &amp;"]",'WINBUGS data'!$F$16:$ZZ$16,0)),"")</f>
        <v/>
      </c>
      <c r="S47" s="31" t="str">
        <f>IFERROR(INDEX('WINBUGS data'!$F$17:$ZZ$65,MATCH($C47,'WINBUGS data'!$F$17:$F$65,0),MATCH("t[,"&amp;S$4 &amp;"]",'WINBUGS data'!$F$16:$ZZ$16,0)),"")</f>
        <v/>
      </c>
      <c r="T47" s="1" t="str">
        <f>IFERROR(INDEX('WINBUGS data'!$F$17:$ZZ$65,MATCH($C47,'WINBUGS data'!$F$17:$F$65,0),MATCH("t[,"&amp;T$4 &amp;"]",'WINBUGS data'!$F$16:$ZZ$16,0)),"")</f>
        <v/>
      </c>
    </row>
    <row r="48" spans="2:20" x14ac:dyDescent="0.25">
      <c r="B48" s="31"/>
      <c r="C48" s="26" t="str">
        <f>IF('WINBUGS data'!F60&lt;&gt;"",'WINBUGS data'!F60,"")</f>
        <v/>
      </c>
      <c r="D48" s="31" t="str">
        <f>IFERROR(INDEX('WINBUGS data'!$F$17:$ZZ$65,MATCH(C48,'WINBUGS data'!$F$17:$F$65,0),MATCH("na[]",'WINBUGS data'!$F$16:$ZZ$16,0)),"")</f>
        <v/>
      </c>
      <c r="E48" s="31" t="str">
        <f t="shared" si="0"/>
        <v/>
      </c>
      <c r="F48" s="31" t="str">
        <f>IFERROR(INDEX('WINBUGS data'!$F$17:$ZZ$65,MATCH($C48,'WINBUGS data'!$F$17:$F$65,0),MATCH("t[,"&amp;F$4 &amp;"]",'WINBUGS data'!$F$16:$ZZ$16,0)),"")</f>
        <v/>
      </c>
      <c r="G48" s="31" t="str">
        <f>IFERROR(INDEX('WINBUGS data'!$F$17:$ZZ$65,MATCH($C48,'WINBUGS data'!$F$17:$F$65,0),MATCH("t[,"&amp;G$4 &amp;"]",'WINBUGS data'!$F$16:$ZZ$16,0)),"")</f>
        <v/>
      </c>
      <c r="H48" s="31" t="str">
        <f>IFERROR(INDEX('WINBUGS data'!$F$17:$ZZ$65,MATCH($C48,'WINBUGS data'!$F$17:$F$65,0),MATCH("t[,"&amp;H$4 &amp;"]",'WINBUGS data'!$F$16:$ZZ$16,0)),"")</f>
        <v/>
      </c>
      <c r="I48" s="31" t="str">
        <f>IFERROR(INDEX('WINBUGS data'!$F$17:$ZZ$65,MATCH($C48,'WINBUGS data'!$F$17:$F$65,0),MATCH("t[,"&amp;I$4 &amp;"]",'WINBUGS data'!$F$16:$ZZ$16,0)),"")</f>
        <v/>
      </c>
      <c r="J48" s="31" t="str">
        <f>IFERROR(INDEX('WINBUGS data'!$F$17:$ZZ$65,MATCH($C48,'WINBUGS data'!$F$17:$F$65,0),MATCH("t[,"&amp;J$4 &amp;"]",'WINBUGS data'!$F$16:$ZZ$16,0)),"")</f>
        <v/>
      </c>
      <c r="K48" s="31" t="str">
        <f>IFERROR(INDEX('WINBUGS data'!$F$17:$ZZ$65,MATCH($C48,'WINBUGS data'!$F$17:$F$65,0),MATCH("t[,"&amp;K$4 &amp;"]",'WINBUGS data'!$F$16:$ZZ$16,0)),"")</f>
        <v/>
      </c>
      <c r="L48" s="31" t="str">
        <f>IFERROR(INDEX('WINBUGS data'!$F$17:$ZZ$65,MATCH($C48,'WINBUGS data'!$F$17:$F$65,0),MATCH("t[,"&amp;L$4 &amp;"]",'WINBUGS data'!$F$16:$ZZ$16,0)),"")</f>
        <v/>
      </c>
      <c r="M48" s="31" t="str">
        <f>IFERROR(INDEX('WINBUGS data'!$F$17:$ZZ$65,MATCH($C48,'WINBUGS data'!$F$17:$F$65,0),MATCH("t[,"&amp;M$4 &amp;"]",'WINBUGS data'!$F$16:$ZZ$16,0)),"")</f>
        <v/>
      </c>
      <c r="N48" s="31" t="str">
        <f>IFERROR(INDEX('WINBUGS data'!$F$17:$ZZ$65,MATCH($C48,'WINBUGS data'!$F$17:$F$65,0),MATCH("t[,"&amp;N$4 &amp;"]",'WINBUGS data'!$F$16:$ZZ$16,0)),"")</f>
        <v/>
      </c>
      <c r="O48" s="31" t="str">
        <f>IFERROR(INDEX('WINBUGS data'!$F$17:$ZZ$65,MATCH($C48,'WINBUGS data'!$F$17:$F$65,0),MATCH("t[,"&amp;O$4 &amp;"]",'WINBUGS data'!$F$16:$ZZ$16,0)),"")</f>
        <v/>
      </c>
      <c r="P48" s="31" t="str">
        <f>IFERROR(INDEX('WINBUGS data'!$F$17:$ZZ$65,MATCH($C48,'WINBUGS data'!$F$17:$F$65,0),MATCH("t[,"&amp;P$4 &amp;"]",'WINBUGS data'!$F$16:$ZZ$16,0)),"")</f>
        <v/>
      </c>
      <c r="Q48" s="31" t="str">
        <f>IFERROR(INDEX('WINBUGS data'!$F$17:$ZZ$65,MATCH($C48,'WINBUGS data'!$F$17:$F$65,0),MATCH("t[,"&amp;Q$4 &amp;"]",'WINBUGS data'!$F$16:$ZZ$16,0)),"")</f>
        <v/>
      </c>
      <c r="R48" s="31" t="str">
        <f>IFERROR(INDEX('WINBUGS data'!$F$17:$ZZ$65,MATCH($C48,'WINBUGS data'!$F$17:$F$65,0),MATCH("t[,"&amp;R$4 &amp;"]",'WINBUGS data'!$F$16:$ZZ$16,0)),"")</f>
        <v/>
      </c>
      <c r="S48" s="31" t="str">
        <f>IFERROR(INDEX('WINBUGS data'!$F$17:$ZZ$65,MATCH($C48,'WINBUGS data'!$F$17:$F$65,0),MATCH("t[,"&amp;S$4 &amp;"]",'WINBUGS data'!$F$16:$ZZ$16,0)),"")</f>
        <v/>
      </c>
      <c r="T48" s="1" t="str">
        <f>IFERROR(INDEX('WINBUGS data'!$F$17:$ZZ$65,MATCH($C48,'WINBUGS data'!$F$17:$F$65,0),MATCH("t[,"&amp;T$4 &amp;"]",'WINBUGS data'!$F$16:$ZZ$16,0)),"")</f>
        <v/>
      </c>
    </row>
    <row r="49" spans="2:20" x14ac:dyDescent="0.25">
      <c r="B49" s="31"/>
      <c r="C49" s="26" t="str">
        <f>IF('WINBUGS data'!F61&lt;&gt;"",'WINBUGS data'!F61,"")</f>
        <v/>
      </c>
      <c r="D49" s="31" t="str">
        <f>IFERROR(INDEX('WINBUGS data'!$F$17:$ZZ$65,MATCH(C49,'WINBUGS data'!$F$17:$F$65,0),MATCH("na[]",'WINBUGS data'!$F$16:$ZZ$16,0)),"")</f>
        <v/>
      </c>
      <c r="E49" s="31" t="str">
        <f t="shared" si="0"/>
        <v/>
      </c>
      <c r="F49" s="31" t="str">
        <f>IFERROR(INDEX('WINBUGS data'!$F$17:$ZZ$65,MATCH($C49,'WINBUGS data'!$F$17:$F$65,0),MATCH("t[,"&amp;F$4 &amp;"]",'WINBUGS data'!$F$16:$ZZ$16,0)),"")</f>
        <v/>
      </c>
      <c r="G49" s="31" t="str">
        <f>IFERROR(INDEX('WINBUGS data'!$F$17:$ZZ$65,MATCH($C49,'WINBUGS data'!$F$17:$F$65,0),MATCH("t[,"&amp;G$4 &amp;"]",'WINBUGS data'!$F$16:$ZZ$16,0)),"")</f>
        <v/>
      </c>
      <c r="H49" s="31" t="str">
        <f>IFERROR(INDEX('WINBUGS data'!$F$17:$ZZ$65,MATCH($C49,'WINBUGS data'!$F$17:$F$65,0),MATCH("t[,"&amp;H$4 &amp;"]",'WINBUGS data'!$F$16:$ZZ$16,0)),"")</f>
        <v/>
      </c>
      <c r="I49" s="31" t="str">
        <f>IFERROR(INDEX('WINBUGS data'!$F$17:$ZZ$65,MATCH($C49,'WINBUGS data'!$F$17:$F$65,0),MATCH("t[,"&amp;I$4 &amp;"]",'WINBUGS data'!$F$16:$ZZ$16,0)),"")</f>
        <v/>
      </c>
      <c r="J49" s="31" t="str">
        <f>IFERROR(INDEX('WINBUGS data'!$F$17:$ZZ$65,MATCH($C49,'WINBUGS data'!$F$17:$F$65,0),MATCH("t[,"&amp;J$4 &amp;"]",'WINBUGS data'!$F$16:$ZZ$16,0)),"")</f>
        <v/>
      </c>
      <c r="K49" s="31" t="str">
        <f>IFERROR(INDEX('WINBUGS data'!$F$17:$ZZ$65,MATCH($C49,'WINBUGS data'!$F$17:$F$65,0),MATCH("t[,"&amp;K$4 &amp;"]",'WINBUGS data'!$F$16:$ZZ$16,0)),"")</f>
        <v/>
      </c>
      <c r="L49" s="31" t="str">
        <f>IFERROR(INDEX('WINBUGS data'!$F$17:$ZZ$65,MATCH($C49,'WINBUGS data'!$F$17:$F$65,0),MATCH("t[,"&amp;L$4 &amp;"]",'WINBUGS data'!$F$16:$ZZ$16,0)),"")</f>
        <v/>
      </c>
      <c r="M49" s="31" t="str">
        <f>IFERROR(INDEX('WINBUGS data'!$F$17:$ZZ$65,MATCH($C49,'WINBUGS data'!$F$17:$F$65,0),MATCH("t[,"&amp;M$4 &amp;"]",'WINBUGS data'!$F$16:$ZZ$16,0)),"")</f>
        <v/>
      </c>
      <c r="N49" s="31" t="str">
        <f>IFERROR(INDEX('WINBUGS data'!$F$17:$ZZ$65,MATCH($C49,'WINBUGS data'!$F$17:$F$65,0),MATCH("t[,"&amp;N$4 &amp;"]",'WINBUGS data'!$F$16:$ZZ$16,0)),"")</f>
        <v/>
      </c>
      <c r="O49" s="31" t="str">
        <f>IFERROR(INDEX('WINBUGS data'!$F$17:$ZZ$65,MATCH($C49,'WINBUGS data'!$F$17:$F$65,0),MATCH("t[,"&amp;O$4 &amp;"]",'WINBUGS data'!$F$16:$ZZ$16,0)),"")</f>
        <v/>
      </c>
      <c r="P49" s="31" t="str">
        <f>IFERROR(INDEX('WINBUGS data'!$F$17:$ZZ$65,MATCH($C49,'WINBUGS data'!$F$17:$F$65,0),MATCH("t[,"&amp;P$4 &amp;"]",'WINBUGS data'!$F$16:$ZZ$16,0)),"")</f>
        <v/>
      </c>
      <c r="Q49" s="31" t="str">
        <f>IFERROR(INDEX('WINBUGS data'!$F$17:$ZZ$65,MATCH($C49,'WINBUGS data'!$F$17:$F$65,0),MATCH("t[,"&amp;Q$4 &amp;"]",'WINBUGS data'!$F$16:$ZZ$16,0)),"")</f>
        <v/>
      </c>
      <c r="R49" s="31" t="str">
        <f>IFERROR(INDEX('WINBUGS data'!$F$17:$ZZ$65,MATCH($C49,'WINBUGS data'!$F$17:$F$65,0),MATCH("t[,"&amp;R$4 &amp;"]",'WINBUGS data'!$F$16:$ZZ$16,0)),"")</f>
        <v/>
      </c>
      <c r="S49" s="31" t="str">
        <f>IFERROR(INDEX('WINBUGS data'!$F$17:$ZZ$65,MATCH($C49,'WINBUGS data'!$F$17:$F$65,0),MATCH("t[,"&amp;S$4 &amp;"]",'WINBUGS data'!$F$16:$ZZ$16,0)),"")</f>
        <v/>
      </c>
      <c r="T49" s="1" t="str">
        <f>IFERROR(INDEX('WINBUGS data'!$F$17:$ZZ$65,MATCH($C49,'WINBUGS data'!$F$17:$F$65,0),MATCH("t[,"&amp;T$4 &amp;"]",'WINBUGS data'!$F$16:$ZZ$16,0)),"")</f>
        <v/>
      </c>
    </row>
    <row r="50" spans="2:20" x14ac:dyDescent="0.25">
      <c r="B50" s="31"/>
      <c r="C50" s="26" t="str">
        <f>IF('WINBUGS data'!F62&lt;&gt;"",'WINBUGS data'!F62,"")</f>
        <v/>
      </c>
      <c r="D50" s="31" t="str">
        <f>IFERROR(INDEX('WINBUGS data'!$F$17:$ZZ$65,MATCH(C50,'WINBUGS data'!$F$17:$F$65,0),MATCH("na[]",'WINBUGS data'!$F$16:$ZZ$16,0)),"")</f>
        <v/>
      </c>
      <c r="E50" s="31" t="str">
        <f t="shared" si="0"/>
        <v/>
      </c>
      <c r="F50" s="31" t="str">
        <f>IFERROR(INDEX('WINBUGS data'!$F$17:$ZZ$65,MATCH($C50,'WINBUGS data'!$F$17:$F$65,0),MATCH("t[,"&amp;F$4 &amp;"]",'WINBUGS data'!$F$16:$ZZ$16,0)),"")</f>
        <v/>
      </c>
      <c r="G50" s="31" t="str">
        <f>IFERROR(INDEX('WINBUGS data'!$F$17:$ZZ$65,MATCH($C50,'WINBUGS data'!$F$17:$F$65,0),MATCH("t[,"&amp;G$4 &amp;"]",'WINBUGS data'!$F$16:$ZZ$16,0)),"")</f>
        <v/>
      </c>
      <c r="H50" s="31" t="str">
        <f>IFERROR(INDEX('WINBUGS data'!$F$17:$ZZ$65,MATCH($C50,'WINBUGS data'!$F$17:$F$65,0),MATCH("t[,"&amp;H$4 &amp;"]",'WINBUGS data'!$F$16:$ZZ$16,0)),"")</f>
        <v/>
      </c>
      <c r="I50" s="31" t="str">
        <f>IFERROR(INDEX('WINBUGS data'!$F$17:$ZZ$65,MATCH($C50,'WINBUGS data'!$F$17:$F$65,0),MATCH("t[,"&amp;I$4 &amp;"]",'WINBUGS data'!$F$16:$ZZ$16,0)),"")</f>
        <v/>
      </c>
      <c r="J50" s="31" t="str">
        <f>IFERROR(INDEX('WINBUGS data'!$F$17:$ZZ$65,MATCH($C50,'WINBUGS data'!$F$17:$F$65,0),MATCH("t[,"&amp;J$4 &amp;"]",'WINBUGS data'!$F$16:$ZZ$16,0)),"")</f>
        <v/>
      </c>
      <c r="K50" s="31" t="str">
        <f>IFERROR(INDEX('WINBUGS data'!$F$17:$ZZ$65,MATCH($C50,'WINBUGS data'!$F$17:$F$65,0),MATCH("t[,"&amp;K$4 &amp;"]",'WINBUGS data'!$F$16:$ZZ$16,0)),"")</f>
        <v/>
      </c>
      <c r="L50" s="31" t="str">
        <f>IFERROR(INDEX('WINBUGS data'!$F$17:$ZZ$65,MATCH($C50,'WINBUGS data'!$F$17:$F$65,0),MATCH("t[,"&amp;L$4 &amp;"]",'WINBUGS data'!$F$16:$ZZ$16,0)),"")</f>
        <v/>
      </c>
      <c r="M50" s="31" t="str">
        <f>IFERROR(INDEX('WINBUGS data'!$F$17:$ZZ$65,MATCH($C50,'WINBUGS data'!$F$17:$F$65,0),MATCH("t[,"&amp;M$4 &amp;"]",'WINBUGS data'!$F$16:$ZZ$16,0)),"")</f>
        <v/>
      </c>
      <c r="N50" s="31" t="str">
        <f>IFERROR(INDEX('WINBUGS data'!$F$17:$ZZ$65,MATCH($C50,'WINBUGS data'!$F$17:$F$65,0),MATCH("t[,"&amp;N$4 &amp;"]",'WINBUGS data'!$F$16:$ZZ$16,0)),"")</f>
        <v/>
      </c>
      <c r="O50" s="31" t="str">
        <f>IFERROR(INDEX('WINBUGS data'!$F$17:$ZZ$65,MATCH($C50,'WINBUGS data'!$F$17:$F$65,0),MATCH("t[,"&amp;O$4 &amp;"]",'WINBUGS data'!$F$16:$ZZ$16,0)),"")</f>
        <v/>
      </c>
      <c r="P50" s="31" t="str">
        <f>IFERROR(INDEX('WINBUGS data'!$F$17:$ZZ$65,MATCH($C50,'WINBUGS data'!$F$17:$F$65,0),MATCH("t[,"&amp;P$4 &amp;"]",'WINBUGS data'!$F$16:$ZZ$16,0)),"")</f>
        <v/>
      </c>
      <c r="Q50" s="31" t="str">
        <f>IFERROR(INDEX('WINBUGS data'!$F$17:$ZZ$65,MATCH($C50,'WINBUGS data'!$F$17:$F$65,0),MATCH("t[,"&amp;Q$4 &amp;"]",'WINBUGS data'!$F$16:$ZZ$16,0)),"")</f>
        <v/>
      </c>
      <c r="R50" s="31" t="str">
        <f>IFERROR(INDEX('WINBUGS data'!$F$17:$ZZ$65,MATCH($C50,'WINBUGS data'!$F$17:$F$65,0),MATCH("t[,"&amp;R$4 &amp;"]",'WINBUGS data'!$F$16:$ZZ$16,0)),"")</f>
        <v/>
      </c>
      <c r="S50" s="31" t="str">
        <f>IFERROR(INDEX('WINBUGS data'!$F$17:$ZZ$65,MATCH($C50,'WINBUGS data'!$F$17:$F$65,0),MATCH("t[,"&amp;S$4 &amp;"]",'WINBUGS data'!$F$16:$ZZ$16,0)),"")</f>
        <v/>
      </c>
      <c r="T50" s="1" t="str">
        <f>IFERROR(INDEX('WINBUGS data'!$F$17:$ZZ$65,MATCH($C50,'WINBUGS data'!$F$17:$F$65,0),MATCH("t[,"&amp;T$4 &amp;"]",'WINBUGS data'!$F$16:$ZZ$16,0)),"")</f>
        <v/>
      </c>
    </row>
    <row r="51" spans="2:20" x14ac:dyDescent="0.25">
      <c r="B51" s="31"/>
      <c r="C51" s="26" t="str">
        <f>IF('WINBUGS data'!F63&lt;&gt;"",'WINBUGS data'!F63,"")</f>
        <v/>
      </c>
      <c r="D51" s="31" t="str">
        <f>IFERROR(INDEX('WINBUGS data'!$F$17:$ZZ$65,MATCH(C51,'WINBUGS data'!$F$17:$F$65,0),MATCH("na[]",'WINBUGS data'!$F$16:$ZZ$16,0)),"")</f>
        <v/>
      </c>
      <c r="E51" s="31" t="str">
        <f t="shared" si="0"/>
        <v/>
      </c>
      <c r="F51" s="31" t="str">
        <f>IFERROR(INDEX('WINBUGS data'!$F$17:$ZZ$65,MATCH($C51,'WINBUGS data'!$F$17:$F$65,0),MATCH("t[,"&amp;F$4 &amp;"]",'WINBUGS data'!$F$16:$ZZ$16,0)),"")</f>
        <v/>
      </c>
      <c r="G51" s="31" t="str">
        <f>IFERROR(INDEX('WINBUGS data'!$F$17:$ZZ$65,MATCH($C51,'WINBUGS data'!$F$17:$F$65,0),MATCH("t[,"&amp;G$4 &amp;"]",'WINBUGS data'!$F$16:$ZZ$16,0)),"")</f>
        <v/>
      </c>
      <c r="H51" s="31" t="str">
        <f>IFERROR(INDEX('WINBUGS data'!$F$17:$ZZ$65,MATCH($C51,'WINBUGS data'!$F$17:$F$65,0),MATCH("t[,"&amp;H$4 &amp;"]",'WINBUGS data'!$F$16:$ZZ$16,0)),"")</f>
        <v/>
      </c>
      <c r="I51" s="31" t="str">
        <f>IFERROR(INDEX('WINBUGS data'!$F$17:$ZZ$65,MATCH($C51,'WINBUGS data'!$F$17:$F$65,0),MATCH("t[,"&amp;I$4 &amp;"]",'WINBUGS data'!$F$16:$ZZ$16,0)),"")</f>
        <v/>
      </c>
      <c r="J51" s="31" t="str">
        <f>IFERROR(INDEX('WINBUGS data'!$F$17:$ZZ$65,MATCH($C51,'WINBUGS data'!$F$17:$F$65,0),MATCH("t[,"&amp;J$4 &amp;"]",'WINBUGS data'!$F$16:$ZZ$16,0)),"")</f>
        <v/>
      </c>
      <c r="K51" s="31" t="str">
        <f>IFERROR(INDEX('WINBUGS data'!$F$17:$ZZ$65,MATCH($C51,'WINBUGS data'!$F$17:$F$65,0),MATCH("t[,"&amp;K$4 &amp;"]",'WINBUGS data'!$F$16:$ZZ$16,0)),"")</f>
        <v/>
      </c>
      <c r="L51" s="31" t="str">
        <f>IFERROR(INDEX('WINBUGS data'!$F$17:$ZZ$65,MATCH($C51,'WINBUGS data'!$F$17:$F$65,0),MATCH("t[,"&amp;L$4 &amp;"]",'WINBUGS data'!$F$16:$ZZ$16,0)),"")</f>
        <v/>
      </c>
      <c r="M51" s="31" t="str">
        <f>IFERROR(INDEX('WINBUGS data'!$F$17:$ZZ$65,MATCH($C51,'WINBUGS data'!$F$17:$F$65,0),MATCH("t[,"&amp;M$4 &amp;"]",'WINBUGS data'!$F$16:$ZZ$16,0)),"")</f>
        <v/>
      </c>
      <c r="N51" s="31" t="str">
        <f>IFERROR(INDEX('WINBUGS data'!$F$17:$ZZ$65,MATCH($C51,'WINBUGS data'!$F$17:$F$65,0),MATCH("t[,"&amp;N$4 &amp;"]",'WINBUGS data'!$F$16:$ZZ$16,0)),"")</f>
        <v/>
      </c>
      <c r="O51" s="31" t="str">
        <f>IFERROR(INDEX('WINBUGS data'!$F$17:$ZZ$65,MATCH($C51,'WINBUGS data'!$F$17:$F$65,0),MATCH("t[,"&amp;O$4 &amp;"]",'WINBUGS data'!$F$16:$ZZ$16,0)),"")</f>
        <v/>
      </c>
      <c r="P51" s="31" t="str">
        <f>IFERROR(INDEX('WINBUGS data'!$F$17:$ZZ$65,MATCH($C51,'WINBUGS data'!$F$17:$F$65,0),MATCH("t[,"&amp;P$4 &amp;"]",'WINBUGS data'!$F$16:$ZZ$16,0)),"")</f>
        <v/>
      </c>
      <c r="Q51" s="31" t="str">
        <f>IFERROR(INDEX('WINBUGS data'!$F$17:$ZZ$65,MATCH($C51,'WINBUGS data'!$F$17:$F$65,0),MATCH("t[,"&amp;Q$4 &amp;"]",'WINBUGS data'!$F$16:$ZZ$16,0)),"")</f>
        <v/>
      </c>
      <c r="R51" s="31" t="str">
        <f>IFERROR(INDEX('WINBUGS data'!$F$17:$ZZ$65,MATCH($C51,'WINBUGS data'!$F$17:$F$65,0),MATCH("t[,"&amp;R$4 &amp;"]",'WINBUGS data'!$F$16:$ZZ$16,0)),"")</f>
        <v/>
      </c>
      <c r="S51" s="31" t="str">
        <f>IFERROR(INDEX('WINBUGS data'!$F$17:$ZZ$65,MATCH($C51,'WINBUGS data'!$F$17:$F$65,0),MATCH("t[,"&amp;S$4 &amp;"]",'WINBUGS data'!$F$16:$ZZ$16,0)),"")</f>
        <v/>
      </c>
      <c r="T51" s="1" t="str">
        <f>IFERROR(INDEX('WINBUGS data'!$F$17:$ZZ$65,MATCH($C51,'WINBUGS data'!$F$17:$F$65,0),MATCH("t[,"&amp;T$4 &amp;"]",'WINBUGS data'!$F$16:$ZZ$16,0)),"")</f>
        <v/>
      </c>
    </row>
    <row r="52" spans="2:20" x14ac:dyDescent="0.25">
      <c r="B52" s="31"/>
      <c r="C52" s="26" t="str">
        <f>IF('WINBUGS data'!F64&lt;&gt;"",'WINBUGS data'!F64,"")</f>
        <v/>
      </c>
      <c r="D52" s="31" t="str">
        <f>IFERROR(INDEX('WINBUGS data'!$F$17:$ZZ$65,MATCH(C52,'WINBUGS data'!$F$17:$F$65,0),MATCH("na[]",'WINBUGS data'!$F$16:$ZZ$16,0)),"")</f>
        <v/>
      </c>
      <c r="E52" s="31" t="str">
        <f t="shared" si="0"/>
        <v/>
      </c>
      <c r="F52" s="31" t="str">
        <f>IFERROR(INDEX('WINBUGS data'!$F$17:$ZZ$65,MATCH($C52,'WINBUGS data'!$F$17:$F$65,0),MATCH("t[,"&amp;F$4 &amp;"]",'WINBUGS data'!$F$16:$ZZ$16,0)),"")</f>
        <v/>
      </c>
      <c r="G52" s="31" t="str">
        <f>IFERROR(INDEX('WINBUGS data'!$F$17:$ZZ$65,MATCH($C52,'WINBUGS data'!$F$17:$F$65,0),MATCH("t[,"&amp;G$4 &amp;"]",'WINBUGS data'!$F$16:$ZZ$16,0)),"")</f>
        <v/>
      </c>
      <c r="H52" s="31" t="str">
        <f>IFERROR(INDEX('WINBUGS data'!$F$17:$ZZ$65,MATCH($C52,'WINBUGS data'!$F$17:$F$65,0),MATCH("t[,"&amp;H$4 &amp;"]",'WINBUGS data'!$F$16:$ZZ$16,0)),"")</f>
        <v/>
      </c>
      <c r="I52" s="31" t="str">
        <f>IFERROR(INDEX('WINBUGS data'!$F$17:$ZZ$65,MATCH($C52,'WINBUGS data'!$F$17:$F$65,0),MATCH("t[,"&amp;I$4 &amp;"]",'WINBUGS data'!$F$16:$ZZ$16,0)),"")</f>
        <v/>
      </c>
      <c r="J52" s="31" t="str">
        <f>IFERROR(INDEX('WINBUGS data'!$F$17:$ZZ$65,MATCH($C52,'WINBUGS data'!$F$17:$F$65,0),MATCH("t[,"&amp;J$4 &amp;"]",'WINBUGS data'!$F$16:$ZZ$16,0)),"")</f>
        <v/>
      </c>
      <c r="K52" s="31" t="str">
        <f>IFERROR(INDEX('WINBUGS data'!$F$17:$ZZ$65,MATCH($C52,'WINBUGS data'!$F$17:$F$65,0),MATCH("t[,"&amp;K$4 &amp;"]",'WINBUGS data'!$F$16:$ZZ$16,0)),"")</f>
        <v/>
      </c>
      <c r="L52" s="31" t="str">
        <f>IFERROR(INDEX('WINBUGS data'!$F$17:$ZZ$65,MATCH($C52,'WINBUGS data'!$F$17:$F$65,0),MATCH("t[,"&amp;L$4 &amp;"]",'WINBUGS data'!$F$16:$ZZ$16,0)),"")</f>
        <v/>
      </c>
      <c r="M52" s="31" t="str">
        <f>IFERROR(INDEX('WINBUGS data'!$F$17:$ZZ$65,MATCH($C52,'WINBUGS data'!$F$17:$F$65,0),MATCH("t[,"&amp;M$4 &amp;"]",'WINBUGS data'!$F$16:$ZZ$16,0)),"")</f>
        <v/>
      </c>
      <c r="N52" s="31" t="str">
        <f>IFERROR(INDEX('WINBUGS data'!$F$17:$ZZ$65,MATCH($C52,'WINBUGS data'!$F$17:$F$65,0),MATCH("t[,"&amp;N$4 &amp;"]",'WINBUGS data'!$F$16:$ZZ$16,0)),"")</f>
        <v/>
      </c>
      <c r="O52" s="31" t="str">
        <f>IFERROR(INDEX('WINBUGS data'!$F$17:$ZZ$65,MATCH($C52,'WINBUGS data'!$F$17:$F$65,0),MATCH("t[,"&amp;O$4 &amp;"]",'WINBUGS data'!$F$16:$ZZ$16,0)),"")</f>
        <v/>
      </c>
      <c r="P52" s="31" t="str">
        <f>IFERROR(INDEX('WINBUGS data'!$F$17:$ZZ$65,MATCH($C52,'WINBUGS data'!$F$17:$F$65,0),MATCH("t[,"&amp;P$4 &amp;"]",'WINBUGS data'!$F$16:$ZZ$16,0)),"")</f>
        <v/>
      </c>
      <c r="Q52" s="31" t="str">
        <f>IFERROR(INDEX('WINBUGS data'!$F$17:$ZZ$65,MATCH($C52,'WINBUGS data'!$F$17:$F$65,0),MATCH("t[,"&amp;Q$4 &amp;"]",'WINBUGS data'!$F$16:$ZZ$16,0)),"")</f>
        <v/>
      </c>
      <c r="R52" s="31" t="str">
        <f>IFERROR(INDEX('WINBUGS data'!$F$17:$ZZ$65,MATCH($C52,'WINBUGS data'!$F$17:$F$65,0),MATCH("t[,"&amp;R$4 &amp;"]",'WINBUGS data'!$F$16:$ZZ$16,0)),"")</f>
        <v/>
      </c>
      <c r="S52" s="31" t="str">
        <f>IFERROR(INDEX('WINBUGS data'!$F$17:$ZZ$65,MATCH($C52,'WINBUGS data'!$F$17:$F$65,0),MATCH("t[,"&amp;S$4 &amp;"]",'WINBUGS data'!$F$16:$ZZ$16,0)),"")</f>
        <v/>
      </c>
      <c r="T52" s="1" t="str">
        <f>IFERROR(INDEX('WINBUGS data'!$F$17:$ZZ$65,MATCH($C52,'WINBUGS data'!$F$17:$F$65,0),MATCH("t[,"&amp;T$4 &amp;"]",'WINBUGS data'!$F$16:$ZZ$16,0)),"")</f>
        <v/>
      </c>
    </row>
    <row r="53" spans="2:20" ht="15.75" thickBot="1" x14ac:dyDescent="0.3">
      <c r="B53" s="31"/>
      <c r="C53" s="27" t="str">
        <f>IF('WINBUGS data'!F65&lt;&gt;"",'WINBUGS data'!F65,"")</f>
        <v/>
      </c>
      <c r="D53" s="32" t="str">
        <f>IFERROR(INDEX('WINBUGS data'!$F$17:$ZZ$65,MATCH(C53,'WINBUGS data'!$F$17:$F$65,0),MATCH("na[]",'WINBUGS data'!$F$16:$ZZ$16,0)),"")</f>
        <v/>
      </c>
      <c r="E53" s="32" t="str">
        <f t="shared" si="0"/>
        <v/>
      </c>
      <c r="F53" s="32" t="str">
        <f>IFERROR(INDEX('WINBUGS data'!$F$17:$ZZ$65,MATCH($C53,'WINBUGS data'!$F$17:$F$65,0),MATCH("t[,"&amp;F$4 &amp;"]",'WINBUGS data'!$F$16:$ZZ$16,0)),"")</f>
        <v/>
      </c>
      <c r="G53" s="32" t="str">
        <f>IFERROR(INDEX('WINBUGS data'!$F$17:$ZZ$65,MATCH($C53,'WINBUGS data'!$F$17:$F$65,0),MATCH("t[,"&amp;G$4 &amp;"]",'WINBUGS data'!$F$16:$ZZ$16,0)),"")</f>
        <v/>
      </c>
      <c r="H53" s="32" t="str">
        <f>IFERROR(INDEX('WINBUGS data'!$F$17:$ZZ$65,MATCH($C53,'WINBUGS data'!$F$17:$F$65,0),MATCH("t[,"&amp;H$4 &amp;"]",'WINBUGS data'!$F$16:$ZZ$16,0)),"")</f>
        <v/>
      </c>
      <c r="I53" s="32" t="str">
        <f>IFERROR(INDEX('WINBUGS data'!$F$17:$ZZ$65,MATCH($C53,'WINBUGS data'!$F$17:$F$65,0),MATCH("t[,"&amp;I$4 &amp;"]",'WINBUGS data'!$F$16:$ZZ$16,0)),"")</f>
        <v/>
      </c>
      <c r="J53" s="32" t="str">
        <f>IFERROR(INDEX('WINBUGS data'!$F$17:$ZZ$65,MATCH($C53,'WINBUGS data'!$F$17:$F$65,0),MATCH("t[,"&amp;J$4 &amp;"]",'WINBUGS data'!$F$16:$ZZ$16,0)),"")</f>
        <v/>
      </c>
      <c r="K53" s="32" t="str">
        <f>IFERROR(INDEX('WINBUGS data'!$F$17:$ZZ$65,MATCH($C53,'WINBUGS data'!$F$17:$F$65,0),MATCH("t[,"&amp;K$4 &amp;"]",'WINBUGS data'!$F$16:$ZZ$16,0)),"")</f>
        <v/>
      </c>
      <c r="L53" s="32" t="str">
        <f>IFERROR(INDEX('WINBUGS data'!$F$17:$ZZ$65,MATCH($C53,'WINBUGS data'!$F$17:$F$65,0),MATCH("t[,"&amp;L$4 &amp;"]",'WINBUGS data'!$F$16:$ZZ$16,0)),"")</f>
        <v/>
      </c>
      <c r="M53" s="32" t="str">
        <f>IFERROR(INDEX('WINBUGS data'!$F$17:$ZZ$65,MATCH($C53,'WINBUGS data'!$F$17:$F$65,0),MATCH("t[,"&amp;M$4 &amp;"]",'WINBUGS data'!$F$16:$ZZ$16,0)),"")</f>
        <v/>
      </c>
      <c r="N53" s="32" t="str">
        <f>IFERROR(INDEX('WINBUGS data'!$F$17:$ZZ$65,MATCH($C53,'WINBUGS data'!$F$17:$F$65,0),MATCH("t[,"&amp;N$4 &amp;"]",'WINBUGS data'!$F$16:$ZZ$16,0)),"")</f>
        <v/>
      </c>
      <c r="O53" s="32" t="str">
        <f>IFERROR(INDEX('WINBUGS data'!$F$17:$ZZ$65,MATCH($C53,'WINBUGS data'!$F$17:$F$65,0),MATCH("t[,"&amp;O$4 &amp;"]",'WINBUGS data'!$F$16:$ZZ$16,0)),"")</f>
        <v/>
      </c>
      <c r="P53" s="32" t="str">
        <f>IFERROR(INDEX('WINBUGS data'!$F$17:$ZZ$65,MATCH($C53,'WINBUGS data'!$F$17:$F$65,0),MATCH("t[,"&amp;P$4 &amp;"]",'WINBUGS data'!$F$16:$ZZ$16,0)),"")</f>
        <v/>
      </c>
      <c r="Q53" s="32" t="str">
        <f>IFERROR(INDEX('WINBUGS data'!$F$17:$ZZ$65,MATCH($C53,'WINBUGS data'!$F$17:$F$65,0),MATCH("t[,"&amp;Q$4 &amp;"]",'WINBUGS data'!$F$16:$ZZ$16,0)),"")</f>
        <v/>
      </c>
      <c r="R53" s="32" t="str">
        <f>IFERROR(INDEX('WINBUGS data'!$F$17:$ZZ$65,MATCH($C53,'WINBUGS data'!$F$17:$F$65,0),MATCH("t[,"&amp;R$4 &amp;"]",'WINBUGS data'!$F$16:$ZZ$16,0)),"")</f>
        <v/>
      </c>
      <c r="S53" s="32" t="str">
        <f>IFERROR(INDEX('WINBUGS data'!$F$17:$ZZ$65,MATCH($C53,'WINBUGS data'!$F$17:$F$65,0),MATCH("t[,"&amp;S$4 &amp;"]",'WINBUGS data'!$F$16:$ZZ$16,0)),"")</f>
        <v/>
      </c>
      <c r="T53" s="2" t="str">
        <f>IFERROR(INDEX('WINBUGS data'!$F$17:$ZZ$65,MATCH($C53,'WINBUGS data'!$F$17:$F$65,0),MATCH("t[,"&amp;T$4 &amp;"]",'WINBUGS data'!$F$16:$ZZ$16,0)),"")</f>
        <v/>
      </c>
    </row>
    <row r="54" spans="2:20" x14ac:dyDescent="0.25">
      <c r="C54" s="19" t="str">
        <f>IF('WINBUGS data'!F62&lt;&gt;"",'WINBUGS data'!F62,"")</f>
        <v/>
      </c>
      <c r="D54" s="16" t="str">
        <f>IFERROR(INDEX('WINBUGS data'!$F$12:$AI$26,MATCH(C54,'WINBUGS data'!$F$12:$F$26,0),MATCH("na[]",'WINBUGS data'!$F$12:$AI$12,0)),"")</f>
        <v/>
      </c>
      <c r="E54" t="str">
        <f t="shared" ref="E54:E59" si="1">CONCATENATE(IF(ISNUMBER(F54),F54,""),IF(ISNUMBER(G54),","&amp;G54,""),IF(ISNUMBER(H54),","&amp;H54,""),IF(ISNUMBER(I54),","&amp;I54,""),IF(ISNUMBER(J54),","&amp;J54,""),IF(ISNUMBER(K54),","&amp;K54,""),IF(ISNUMBER(L54),","&amp;L54,""),IF(ISNUMBER(M54),","&amp;M54,""),IF(ISNUMBER(N54),","&amp;N54,""),IF(ISNUMBER(O54),","&amp;O54,""),IF(ISNUMBER(P54),","&amp;P54,""),IF(ISNUMBER(Q54),","&amp;Q54,""),IF(ISNUMBER(R54),","&amp;R54,""),IF(ISNUMBER(S54),","&amp;S54,""),IF(ISNUMBER(T54),","&amp;T54,""))</f>
        <v/>
      </c>
      <c r="F54" t="str">
        <f>IFERROR(INDEX('WINBUGS data'!$F$12:$AI$26,MATCH($C54,'WINBUGS data'!$F$12:$F$26,0),MATCH("t[,"&amp;F$4 &amp;"]",'WINBUGS data'!$F$12:$AI$12,0)),"")</f>
        <v/>
      </c>
      <c r="G54" t="str">
        <f>IFERROR(INDEX('WINBUGS data'!$F$12:$AI$26,MATCH($C54,'WINBUGS data'!$F$12:$F$26,0),MATCH("t[,"&amp;G$4 &amp;"]",'WINBUGS data'!$F$12:$AI$12,0)),"")</f>
        <v/>
      </c>
      <c r="H54" t="str">
        <f>IFERROR(INDEX('WINBUGS data'!$F$12:$AI$26,MATCH($C54,'WINBUGS data'!$F$12:$F$26,0),MATCH("t[,"&amp;H$4 &amp;"]",'WINBUGS data'!$F$12:$AI$12,0)),"")</f>
        <v/>
      </c>
      <c r="I54" t="str">
        <f>IFERROR(INDEX('WINBUGS data'!$F$12:$AI$26,MATCH($C54,'WINBUGS data'!$F$12:$F$26,0),MATCH("t[,"&amp;I$4 &amp;"]",'WINBUGS data'!$F$12:$AI$12,0)),"")</f>
        <v/>
      </c>
      <c r="J54" t="str">
        <f>IFERROR(INDEX('WINBUGS data'!$F$12:$AI$26,MATCH($C54,'WINBUGS data'!$F$12:$F$26,0),MATCH("t[,"&amp;J$4 &amp;"]",'WINBUGS data'!$F$12:$AI$12,0)),"")</f>
        <v/>
      </c>
      <c r="K54" t="str">
        <f>IFERROR(INDEX('WINBUGS data'!$F$12:$AI$26,MATCH($C54,'WINBUGS data'!$F$12:$F$26,0),MATCH("t[,"&amp;K$4 &amp;"]",'WINBUGS data'!$F$12:$AI$12,0)),"")</f>
        <v/>
      </c>
      <c r="L54" t="str">
        <f>IFERROR(INDEX('WINBUGS data'!$F$12:$AI$26,MATCH($C54,'WINBUGS data'!$F$12:$F$26,0),MATCH("t[,"&amp;L$4 &amp;"]",'WINBUGS data'!$F$12:$AI$12,0)),"")</f>
        <v/>
      </c>
      <c r="M54" t="str">
        <f>IFERROR(INDEX('WINBUGS data'!$F$12:$AI$26,MATCH($C54,'WINBUGS data'!$F$12:$F$26,0),MATCH("t[,"&amp;M$4 &amp;"]",'WINBUGS data'!$F$12:$AI$12,0)),"")</f>
        <v/>
      </c>
      <c r="N54" t="str">
        <f>IFERROR(INDEX('WINBUGS data'!$F$12:$AI$26,MATCH($C54,'WINBUGS data'!$F$12:$F$26,0),MATCH("t[,"&amp;N$4 &amp;"]",'WINBUGS data'!$F$12:$AI$12,0)),"")</f>
        <v/>
      </c>
      <c r="O54" t="str">
        <f>IFERROR(INDEX('WINBUGS data'!$F$12:$AI$26,MATCH($C54,'WINBUGS data'!$F$12:$F$26,0),MATCH("t[,"&amp;O$4 &amp;"]",'WINBUGS data'!$F$12:$AI$12,0)),"")</f>
        <v/>
      </c>
      <c r="P54" t="str">
        <f>IFERROR(INDEX('WINBUGS data'!$F$12:$AI$26,MATCH($C54,'WINBUGS data'!$F$12:$F$26,0),MATCH("t[,"&amp;P$4 &amp;"]",'WINBUGS data'!$F$12:$AI$12,0)),"")</f>
        <v/>
      </c>
      <c r="Q54" t="str">
        <f>IFERROR(INDEX('WINBUGS data'!$F$12:$AI$26,MATCH($C54,'WINBUGS data'!$F$12:$F$26,0),MATCH("t[,"&amp;Q$4 &amp;"]",'WINBUGS data'!$F$12:$AI$12,0)),"")</f>
        <v/>
      </c>
      <c r="R54" t="str">
        <f>IFERROR(INDEX('WINBUGS data'!$F$12:$AI$26,MATCH($C54,'WINBUGS data'!$F$12:$F$26,0),MATCH("t[,"&amp;R$4 &amp;"]",'WINBUGS data'!$F$12:$AI$12,0)),"")</f>
        <v/>
      </c>
      <c r="S54" t="str">
        <f>IFERROR(INDEX('WINBUGS data'!$F$12:$AI$26,MATCH($C54,'WINBUGS data'!$F$12:$F$26,0),MATCH("t[,"&amp;S$4 &amp;"]",'WINBUGS data'!$F$12:$AI$12,0)),"")</f>
        <v/>
      </c>
      <c r="T54" t="str">
        <f>IFERROR(INDEX('WINBUGS data'!$F$12:$AI$26,MATCH($C54,'WINBUGS data'!$F$12:$F$26,0),MATCH("t[,"&amp;T$4 &amp;"]",'WINBUGS data'!$F$12:$AI$12,0)),"")</f>
        <v/>
      </c>
    </row>
    <row r="55" spans="2:20" x14ac:dyDescent="0.25">
      <c r="C55" s="19" t="str">
        <f>IF('WINBUGS data'!F63&lt;&gt;"",'WINBUGS data'!F63,"")</f>
        <v/>
      </c>
      <c r="D55" s="16" t="str">
        <f>IFERROR(INDEX('WINBUGS data'!$F$12:$AI$26,MATCH(C55,'WINBUGS data'!$F$12:$F$26,0),MATCH("na[]",'WINBUGS data'!$F$12:$AI$12,0)),"")</f>
        <v/>
      </c>
      <c r="E55" t="str">
        <f t="shared" si="1"/>
        <v/>
      </c>
      <c r="F55" t="str">
        <f>IFERROR(INDEX('WINBUGS data'!$F$12:$AI$26,MATCH($C55,'WINBUGS data'!$F$12:$F$26,0),MATCH("t[,"&amp;F$4 &amp;"]",'WINBUGS data'!$F$12:$AI$12,0)),"")</f>
        <v/>
      </c>
      <c r="G55" t="str">
        <f>IFERROR(INDEX('WINBUGS data'!$F$12:$AI$26,MATCH($C55,'WINBUGS data'!$F$12:$F$26,0),MATCH("t[,"&amp;G$4 &amp;"]",'WINBUGS data'!$F$12:$AI$12,0)),"")</f>
        <v/>
      </c>
      <c r="H55" t="str">
        <f>IFERROR(INDEX('WINBUGS data'!$F$12:$AI$26,MATCH($C55,'WINBUGS data'!$F$12:$F$26,0),MATCH("t[,"&amp;H$4 &amp;"]",'WINBUGS data'!$F$12:$AI$12,0)),"")</f>
        <v/>
      </c>
      <c r="I55" t="str">
        <f>IFERROR(INDEX('WINBUGS data'!$F$12:$AI$26,MATCH($C55,'WINBUGS data'!$F$12:$F$26,0),MATCH("t[,"&amp;I$4 &amp;"]",'WINBUGS data'!$F$12:$AI$12,0)),"")</f>
        <v/>
      </c>
      <c r="J55" t="str">
        <f>IFERROR(INDEX('WINBUGS data'!$F$12:$AI$26,MATCH($C55,'WINBUGS data'!$F$12:$F$26,0),MATCH("t[,"&amp;J$4 &amp;"]",'WINBUGS data'!$F$12:$AI$12,0)),"")</f>
        <v/>
      </c>
      <c r="K55" t="str">
        <f>IFERROR(INDEX('WINBUGS data'!$F$12:$AI$26,MATCH($C55,'WINBUGS data'!$F$12:$F$26,0),MATCH("t[,"&amp;K$4 &amp;"]",'WINBUGS data'!$F$12:$AI$12,0)),"")</f>
        <v/>
      </c>
      <c r="L55" t="str">
        <f>IFERROR(INDEX('WINBUGS data'!$F$12:$AI$26,MATCH($C55,'WINBUGS data'!$F$12:$F$26,0),MATCH("t[,"&amp;L$4 &amp;"]",'WINBUGS data'!$F$12:$AI$12,0)),"")</f>
        <v/>
      </c>
      <c r="M55" t="str">
        <f>IFERROR(INDEX('WINBUGS data'!$F$12:$AI$26,MATCH($C55,'WINBUGS data'!$F$12:$F$26,0),MATCH("t[,"&amp;M$4 &amp;"]",'WINBUGS data'!$F$12:$AI$12,0)),"")</f>
        <v/>
      </c>
      <c r="N55" t="str">
        <f>IFERROR(INDEX('WINBUGS data'!$F$12:$AI$26,MATCH($C55,'WINBUGS data'!$F$12:$F$26,0),MATCH("t[,"&amp;N$4 &amp;"]",'WINBUGS data'!$F$12:$AI$12,0)),"")</f>
        <v/>
      </c>
      <c r="O55" t="str">
        <f>IFERROR(INDEX('WINBUGS data'!$F$12:$AI$26,MATCH($C55,'WINBUGS data'!$F$12:$F$26,0),MATCH("t[,"&amp;O$4 &amp;"]",'WINBUGS data'!$F$12:$AI$12,0)),"")</f>
        <v/>
      </c>
      <c r="P55" t="str">
        <f>IFERROR(INDEX('WINBUGS data'!$F$12:$AI$26,MATCH($C55,'WINBUGS data'!$F$12:$F$26,0),MATCH("t[,"&amp;P$4 &amp;"]",'WINBUGS data'!$F$12:$AI$12,0)),"")</f>
        <v/>
      </c>
      <c r="Q55" t="str">
        <f>IFERROR(INDEX('WINBUGS data'!$F$12:$AI$26,MATCH($C55,'WINBUGS data'!$F$12:$F$26,0),MATCH("t[,"&amp;Q$4 &amp;"]",'WINBUGS data'!$F$12:$AI$12,0)),"")</f>
        <v/>
      </c>
      <c r="R55" t="str">
        <f>IFERROR(INDEX('WINBUGS data'!$F$12:$AI$26,MATCH($C55,'WINBUGS data'!$F$12:$F$26,0),MATCH("t[,"&amp;R$4 &amp;"]",'WINBUGS data'!$F$12:$AI$12,0)),"")</f>
        <v/>
      </c>
      <c r="S55" t="str">
        <f>IFERROR(INDEX('WINBUGS data'!$F$12:$AI$26,MATCH($C55,'WINBUGS data'!$F$12:$F$26,0),MATCH("t[,"&amp;S$4 &amp;"]",'WINBUGS data'!$F$12:$AI$12,0)),"")</f>
        <v/>
      </c>
      <c r="T55" t="str">
        <f>IFERROR(INDEX('WINBUGS data'!$F$12:$AI$26,MATCH($C55,'WINBUGS data'!$F$12:$F$26,0),MATCH("t[,"&amp;T$4 &amp;"]",'WINBUGS data'!$F$12:$AI$12,0)),"")</f>
        <v/>
      </c>
    </row>
    <row r="56" spans="2:20" x14ac:dyDescent="0.25">
      <c r="C56" s="19" t="str">
        <f>IF('WINBUGS data'!F64&lt;&gt;"",'WINBUGS data'!F64,"")</f>
        <v/>
      </c>
      <c r="D56" s="16" t="str">
        <f>IFERROR(INDEX('WINBUGS data'!$F$12:$AI$26,MATCH(C56,'WINBUGS data'!$F$12:$F$26,0),MATCH("na[]",'WINBUGS data'!$F$12:$AI$12,0)),"")</f>
        <v/>
      </c>
      <c r="E56" t="str">
        <f t="shared" si="1"/>
        <v/>
      </c>
      <c r="F56" t="str">
        <f>IFERROR(INDEX('WINBUGS data'!$F$12:$AI$26,MATCH($C56,'WINBUGS data'!$F$12:$F$26,0),MATCH("t[,"&amp;F$4 &amp;"]",'WINBUGS data'!$F$12:$AI$12,0)),"")</f>
        <v/>
      </c>
      <c r="G56" t="str">
        <f>IFERROR(INDEX('WINBUGS data'!$F$12:$AI$26,MATCH($C56,'WINBUGS data'!$F$12:$F$26,0),MATCH("t[,"&amp;G$4 &amp;"]",'WINBUGS data'!$F$12:$AI$12,0)),"")</f>
        <v/>
      </c>
      <c r="H56" t="str">
        <f>IFERROR(INDEX('WINBUGS data'!$F$12:$AI$26,MATCH($C56,'WINBUGS data'!$F$12:$F$26,0),MATCH("t[,"&amp;H$4 &amp;"]",'WINBUGS data'!$F$12:$AI$12,0)),"")</f>
        <v/>
      </c>
      <c r="I56" t="str">
        <f>IFERROR(INDEX('WINBUGS data'!$F$12:$AI$26,MATCH($C56,'WINBUGS data'!$F$12:$F$26,0),MATCH("t[,"&amp;I$4 &amp;"]",'WINBUGS data'!$F$12:$AI$12,0)),"")</f>
        <v/>
      </c>
      <c r="J56" t="str">
        <f>IFERROR(INDEX('WINBUGS data'!$F$12:$AI$26,MATCH($C56,'WINBUGS data'!$F$12:$F$26,0),MATCH("t[,"&amp;J$4 &amp;"]",'WINBUGS data'!$F$12:$AI$12,0)),"")</f>
        <v/>
      </c>
      <c r="K56" t="str">
        <f>IFERROR(INDEX('WINBUGS data'!$F$12:$AI$26,MATCH($C56,'WINBUGS data'!$F$12:$F$26,0),MATCH("t[,"&amp;K$4 &amp;"]",'WINBUGS data'!$F$12:$AI$12,0)),"")</f>
        <v/>
      </c>
      <c r="L56" t="str">
        <f>IFERROR(INDEX('WINBUGS data'!$F$12:$AI$26,MATCH($C56,'WINBUGS data'!$F$12:$F$26,0),MATCH("t[,"&amp;L$4 &amp;"]",'WINBUGS data'!$F$12:$AI$12,0)),"")</f>
        <v/>
      </c>
      <c r="M56" t="str">
        <f>IFERROR(INDEX('WINBUGS data'!$F$12:$AI$26,MATCH($C56,'WINBUGS data'!$F$12:$F$26,0),MATCH("t[,"&amp;M$4 &amp;"]",'WINBUGS data'!$F$12:$AI$12,0)),"")</f>
        <v/>
      </c>
      <c r="N56" t="str">
        <f>IFERROR(INDEX('WINBUGS data'!$F$12:$AI$26,MATCH($C56,'WINBUGS data'!$F$12:$F$26,0),MATCH("t[,"&amp;N$4 &amp;"]",'WINBUGS data'!$F$12:$AI$12,0)),"")</f>
        <v/>
      </c>
      <c r="O56" t="str">
        <f>IFERROR(INDEX('WINBUGS data'!$F$12:$AI$26,MATCH($C56,'WINBUGS data'!$F$12:$F$26,0),MATCH("t[,"&amp;O$4 &amp;"]",'WINBUGS data'!$F$12:$AI$12,0)),"")</f>
        <v/>
      </c>
      <c r="P56" t="str">
        <f>IFERROR(INDEX('WINBUGS data'!$F$12:$AI$26,MATCH($C56,'WINBUGS data'!$F$12:$F$26,0),MATCH("t[,"&amp;P$4 &amp;"]",'WINBUGS data'!$F$12:$AI$12,0)),"")</f>
        <v/>
      </c>
      <c r="Q56" t="str">
        <f>IFERROR(INDEX('WINBUGS data'!$F$12:$AI$26,MATCH($C56,'WINBUGS data'!$F$12:$F$26,0),MATCH("t[,"&amp;Q$4 &amp;"]",'WINBUGS data'!$F$12:$AI$12,0)),"")</f>
        <v/>
      </c>
      <c r="R56" t="str">
        <f>IFERROR(INDEX('WINBUGS data'!$F$12:$AI$26,MATCH($C56,'WINBUGS data'!$F$12:$F$26,0),MATCH("t[,"&amp;R$4 &amp;"]",'WINBUGS data'!$F$12:$AI$12,0)),"")</f>
        <v/>
      </c>
      <c r="S56" t="str">
        <f>IFERROR(INDEX('WINBUGS data'!$F$12:$AI$26,MATCH($C56,'WINBUGS data'!$F$12:$F$26,0),MATCH("t[,"&amp;S$4 &amp;"]",'WINBUGS data'!$F$12:$AI$12,0)),"")</f>
        <v/>
      </c>
      <c r="T56" t="str">
        <f>IFERROR(INDEX('WINBUGS data'!$F$12:$AI$26,MATCH($C56,'WINBUGS data'!$F$12:$F$26,0),MATCH("t[,"&amp;T$4 &amp;"]",'WINBUGS data'!$F$12:$AI$12,0)),"")</f>
        <v/>
      </c>
    </row>
    <row r="57" spans="2:20" x14ac:dyDescent="0.25">
      <c r="C57" s="19" t="str">
        <f>IF('WINBUGS data'!F65&lt;&gt;"",'WINBUGS data'!F65,"")</f>
        <v/>
      </c>
      <c r="D57" t="str">
        <f>IFERROR(INDEX('WINBUGS data'!$F$12:$AI$26,MATCH(C57,'WINBUGS data'!$F$12:$F$26,0),MATCH("na[]",'WINBUGS data'!$F$12:$AI$12,0)),"")</f>
        <v/>
      </c>
      <c r="E57" t="str">
        <f t="shared" si="1"/>
        <v/>
      </c>
      <c r="F57" t="str">
        <f>IFERROR(INDEX('WINBUGS data'!$F$12:$AI$26,MATCH($C57,'WINBUGS data'!$F$12:$F$26,0),MATCH("t[,"&amp;F$4 &amp;"]",'WINBUGS data'!$F$12:$AI$12,0)),"")</f>
        <v/>
      </c>
      <c r="G57" t="str">
        <f>IFERROR(INDEX('WINBUGS data'!$F$12:$AI$26,MATCH($C57,'WINBUGS data'!$F$12:$F$26,0),MATCH("t[,"&amp;G$4 &amp;"]",'WINBUGS data'!$F$12:$AI$12,0)),"")</f>
        <v/>
      </c>
      <c r="H57" t="str">
        <f>IFERROR(INDEX('WINBUGS data'!$F$12:$AI$26,MATCH($C57,'WINBUGS data'!$F$12:$F$26,0),MATCH("t[,"&amp;H$4 &amp;"]",'WINBUGS data'!$F$12:$AI$12,0)),"")</f>
        <v/>
      </c>
      <c r="I57" t="str">
        <f>IFERROR(INDEX('WINBUGS data'!$F$12:$AI$26,MATCH($C57,'WINBUGS data'!$F$12:$F$26,0),MATCH("t[,"&amp;I$4 &amp;"]",'WINBUGS data'!$F$12:$AI$12,0)),"")</f>
        <v/>
      </c>
      <c r="J57" t="str">
        <f>IFERROR(INDEX('WINBUGS data'!$F$12:$AI$26,MATCH($C57,'WINBUGS data'!$F$12:$F$26,0),MATCH("t[,"&amp;J$4 &amp;"]",'WINBUGS data'!$F$12:$AI$12,0)),"")</f>
        <v/>
      </c>
      <c r="K57" t="str">
        <f>IFERROR(INDEX('WINBUGS data'!$F$12:$AI$26,MATCH($C57,'WINBUGS data'!$F$12:$F$26,0),MATCH("t[,"&amp;K$4 &amp;"]",'WINBUGS data'!$F$12:$AI$12,0)),"")</f>
        <v/>
      </c>
      <c r="L57" t="str">
        <f>IFERROR(INDEX('WINBUGS data'!$F$12:$AI$26,MATCH($C57,'WINBUGS data'!$F$12:$F$26,0),MATCH("t[,"&amp;L$4 &amp;"]",'WINBUGS data'!$F$12:$AI$12,0)),"")</f>
        <v/>
      </c>
      <c r="M57" t="str">
        <f>IFERROR(INDEX('WINBUGS data'!$F$12:$AI$26,MATCH($C57,'WINBUGS data'!$F$12:$F$26,0),MATCH("t[,"&amp;M$4 &amp;"]",'WINBUGS data'!$F$12:$AI$12,0)),"")</f>
        <v/>
      </c>
      <c r="N57" t="str">
        <f>IFERROR(INDEX('WINBUGS data'!$F$12:$AI$26,MATCH($C57,'WINBUGS data'!$F$12:$F$26,0),MATCH("t[,"&amp;N$4 &amp;"]",'WINBUGS data'!$F$12:$AI$12,0)),"")</f>
        <v/>
      </c>
      <c r="O57" t="str">
        <f>IFERROR(INDEX('WINBUGS data'!$F$12:$AI$26,MATCH($C57,'WINBUGS data'!$F$12:$F$26,0),MATCH("t[,"&amp;O$4 &amp;"]",'WINBUGS data'!$F$12:$AI$12,0)),"")</f>
        <v/>
      </c>
      <c r="P57" t="str">
        <f>IFERROR(INDEX('WINBUGS data'!$F$12:$AI$26,MATCH($C57,'WINBUGS data'!$F$12:$F$26,0),MATCH("t[,"&amp;P$4 &amp;"]",'WINBUGS data'!$F$12:$AI$12,0)),"")</f>
        <v/>
      </c>
      <c r="Q57" t="str">
        <f>IFERROR(INDEX('WINBUGS data'!$F$12:$AI$26,MATCH($C57,'WINBUGS data'!$F$12:$F$26,0),MATCH("t[,"&amp;Q$4 &amp;"]",'WINBUGS data'!$F$12:$AI$12,0)),"")</f>
        <v/>
      </c>
      <c r="R57" t="str">
        <f>IFERROR(INDEX('WINBUGS data'!$F$12:$AI$26,MATCH($C57,'WINBUGS data'!$F$12:$F$26,0),MATCH("t[,"&amp;R$4 &amp;"]",'WINBUGS data'!$F$12:$AI$12,0)),"")</f>
        <v/>
      </c>
      <c r="S57" t="str">
        <f>IFERROR(INDEX('WINBUGS data'!$F$12:$AI$26,MATCH($C57,'WINBUGS data'!$F$12:$F$26,0),MATCH("t[,"&amp;S$4 &amp;"]",'WINBUGS data'!$F$12:$AI$12,0)),"")</f>
        <v/>
      </c>
      <c r="T57" t="str">
        <f>IFERROR(INDEX('WINBUGS data'!$F$12:$AI$26,MATCH($C57,'WINBUGS data'!$F$12:$F$26,0),MATCH("t[,"&amp;T$4 &amp;"]",'WINBUGS data'!$F$12:$AI$12,0)),"")</f>
        <v/>
      </c>
    </row>
    <row r="58" spans="2:20" x14ac:dyDescent="0.25">
      <c r="C58" s="19" t="str">
        <f>IF('WINBUGS data'!F66&lt;&gt;"",'WINBUGS data'!F66,"")</f>
        <v/>
      </c>
      <c r="D58" t="str">
        <f>IFERROR(INDEX('WINBUGS data'!$F$12:$AI$26,MATCH(C58,'WINBUGS data'!$F$12:$F$26,0),MATCH("na[]",'WINBUGS data'!$F$12:$AI$12,0)),"")</f>
        <v/>
      </c>
      <c r="E58" t="str">
        <f t="shared" si="1"/>
        <v/>
      </c>
      <c r="F58" t="str">
        <f>IFERROR(INDEX('WINBUGS data'!$F$12:$AI$26,MATCH($C58,'WINBUGS data'!$F$12:$F$26,0),MATCH("t[,"&amp;F$4 &amp;"]",'WINBUGS data'!$F$12:$AI$12,0)),"")</f>
        <v/>
      </c>
      <c r="G58" t="str">
        <f>IFERROR(INDEX('WINBUGS data'!$F$12:$AI$26,MATCH($C58,'WINBUGS data'!$F$12:$F$26,0),MATCH("t[,"&amp;G$4 &amp;"]",'WINBUGS data'!$F$12:$AI$12,0)),"")</f>
        <v/>
      </c>
      <c r="H58" t="str">
        <f>IFERROR(INDEX('WINBUGS data'!$F$12:$AI$26,MATCH($C58,'WINBUGS data'!$F$12:$F$26,0),MATCH("t[,"&amp;H$4 &amp;"]",'WINBUGS data'!$F$12:$AI$12,0)),"")</f>
        <v/>
      </c>
      <c r="I58" t="str">
        <f>IFERROR(INDEX('WINBUGS data'!$F$12:$AI$26,MATCH($C58,'WINBUGS data'!$F$12:$F$26,0),MATCH("t[,"&amp;I$4 &amp;"]",'WINBUGS data'!$F$12:$AI$12,0)),"")</f>
        <v/>
      </c>
      <c r="J58" t="str">
        <f>IFERROR(INDEX('WINBUGS data'!$F$12:$AI$26,MATCH($C58,'WINBUGS data'!$F$12:$F$26,0),MATCH("t[,"&amp;J$4 &amp;"]",'WINBUGS data'!$F$12:$AI$12,0)),"")</f>
        <v/>
      </c>
      <c r="K58" t="str">
        <f>IFERROR(INDEX('WINBUGS data'!$F$12:$AI$26,MATCH($C58,'WINBUGS data'!$F$12:$F$26,0),MATCH("t[,"&amp;K$4 &amp;"]",'WINBUGS data'!$F$12:$AI$12,0)),"")</f>
        <v/>
      </c>
      <c r="L58" t="str">
        <f>IFERROR(INDEX('WINBUGS data'!$F$12:$AI$26,MATCH($C58,'WINBUGS data'!$F$12:$F$26,0),MATCH("t[,"&amp;L$4 &amp;"]",'WINBUGS data'!$F$12:$AI$12,0)),"")</f>
        <v/>
      </c>
      <c r="M58" t="str">
        <f>IFERROR(INDEX('WINBUGS data'!$F$12:$AI$26,MATCH($C58,'WINBUGS data'!$F$12:$F$26,0),MATCH("t[,"&amp;M$4 &amp;"]",'WINBUGS data'!$F$12:$AI$12,0)),"")</f>
        <v/>
      </c>
      <c r="N58" t="str">
        <f>IFERROR(INDEX('WINBUGS data'!$F$12:$AI$26,MATCH($C58,'WINBUGS data'!$F$12:$F$26,0),MATCH("t[,"&amp;N$4 &amp;"]",'WINBUGS data'!$F$12:$AI$12,0)),"")</f>
        <v/>
      </c>
      <c r="O58" t="str">
        <f>IFERROR(INDEX('WINBUGS data'!$F$12:$AI$26,MATCH($C58,'WINBUGS data'!$F$12:$F$26,0),MATCH("t[,"&amp;O$4 &amp;"]",'WINBUGS data'!$F$12:$AI$12,0)),"")</f>
        <v/>
      </c>
      <c r="P58" t="str">
        <f>IFERROR(INDEX('WINBUGS data'!$F$12:$AI$26,MATCH($C58,'WINBUGS data'!$F$12:$F$26,0),MATCH("t[,"&amp;P$4 &amp;"]",'WINBUGS data'!$F$12:$AI$12,0)),"")</f>
        <v/>
      </c>
      <c r="Q58" t="str">
        <f>IFERROR(INDEX('WINBUGS data'!$F$12:$AI$26,MATCH($C58,'WINBUGS data'!$F$12:$F$26,0),MATCH("t[,"&amp;Q$4 &amp;"]",'WINBUGS data'!$F$12:$AI$12,0)),"")</f>
        <v/>
      </c>
      <c r="R58" t="str">
        <f>IFERROR(INDEX('WINBUGS data'!$F$12:$AI$26,MATCH($C58,'WINBUGS data'!$F$12:$F$26,0),MATCH("t[,"&amp;R$4 &amp;"]",'WINBUGS data'!$F$12:$AI$12,0)),"")</f>
        <v/>
      </c>
      <c r="S58" t="str">
        <f>IFERROR(INDEX('WINBUGS data'!$F$12:$AI$26,MATCH($C58,'WINBUGS data'!$F$12:$F$26,0),MATCH("t[,"&amp;S$4 &amp;"]",'WINBUGS data'!$F$12:$AI$12,0)),"")</f>
        <v/>
      </c>
      <c r="T58" t="str">
        <f>IFERROR(INDEX('WINBUGS data'!$F$12:$AI$26,MATCH($C58,'WINBUGS data'!$F$12:$F$26,0),MATCH("t[,"&amp;T$4 &amp;"]",'WINBUGS data'!$F$12:$AI$12,0)),"")</f>
        <v/>
      </c>
    </row>
    <row r="59" spans="2:20" x14ac:dyDescent="0.25">
      <c r="C59" s="19" t="str">
        <f>IF('WINBUGS data'!F67&lt;&gt;"",'WINBUGS data'!F67,"")</f>
        <v/>
      </c>
      <c r="D59" t="str">
        <f>IFERROR(INDEX('WINBUGS data'!$F$12:$AI$26,MATCH(C59,'WINBUGS data'!$F$12:$F$26,0),MATCH("na[]",'WINBUGS data'!$F$12:$AI$12,0)),"")</f>
        <v/>
      </c>
      <c r="E59" t="str">
        <f t="shared" si="1"/>
        <v/>
      </c>
      <c r="F59" t="str">
        <f>IFERROR(INDEX('WINBUGS data'!$F$12:$AI$26,MATCH($C59,'WINBUGS data'!$F$12:$F$26,0),MATCH("t[,"&amp;F$4 &amp;"]",'WINBUGS data'!$F$12:$AI$12,0)),"")</f>
        <v/>
      </c>
      <c r="G59" t="str">
        <f>IFERROR(INDEX('WINBUGS data'!$F$12:$AI$26,MATCH($C59,'WINBUGS data'!$F$12:$F$26,0),MATCH("t[,"&amp;G$4 &amp;"]",'WINBUGS data'!$F$12:$AI$12,0)),"")</f>
        <v/>
      </c>
      <c r="H59" t="str">
        <f>IFERROR(INDEX('WINBUGS data'!$F$12:$AI$26,MATCH($C59,'WINBUGS data'!$F$12:$F$26,0),MATCH("t[,"&amp;H$4 &amp;"]",'WINBUGS data'!$F$12:$AI$12,0)),"")</f>
        <v/>
      </c>
      <c r="I59" t="str">
        <f>IFERROR(INDEX('WINBUGS data'!$F$12:$AI$26,MATCH($C59,'WINBUGS data'!$F$12:$F$26,0),MATCH("t[,"&amp;I$4 &amp;"]",'WINBUGS data'!$F$12:$AI$12,0)),"")</f>
        <v/>
      </c>
      <c r="J59" t="str">
        <f>IFERROR(INDEX('WINBUGS data'!$F$12:$AI$26,MATCH($C59,'WINBUGS data'!$F$12:$F$26,0),MATCH("t[,"&amp;J$4 &amp;"]",'WINBUGS data'!$F$12:$AI$12,0)),"")</f>
        <v/>
      </c>
      <c r="K59" t="str">
        <f>IFERROR(INDEX('WINBUGS data'!$F$12:$AI$26,MATCH($C59,'WINBUGS data'!$F$12:$F$26,0),MATCH("t[,"&amp;K$4 &amp;"]",'WINBUGS data'!$F$12:$AI$12,0)),"")</f>
        <v/>
      </c>
      <c r="L59" t="str">
        <f>IFERROR(INDEX('WINBUGS data'!$F$12:$AI$26,MATCH($C59,'WINBUGS data'!$F$12:$F$26,0),MATCH("t[,"&amp;L$4 &amp;"]",'WINBUGS data'!$F$12:$AI$12,0)),"")</f>
        <v/>
      </c>
      <c r="M59" t="str">
        <f>IFERROR(INDEX('WINBUGS data'!$F$12:$AI$26,MATCH($C59,'WINBUGS data'!$F$12:$F$26,0),MATCH("t[,"&amp;M$4 &amp;"]",'WINBUGS data'!$F$12:$AI$12,0)),"")</f>
        <v/>
      </c>
      <c r="N59" t="str">
        <f>IFERROR(INDEX('WINBUGS data'!$F$12:$AI$26,MATCH($C59,'WINBUGS data'!$F$12:$F$26,0),MATCH("t[,"&amp;N$4 &amp;"]",'WINBUGS data'!$F$12:$AI$12,0)),"")</f>
        <v/>
      </c>
      <c r="O59" t="str">
        <f>IFERROR(INDEX('WINBUGS data'!$F$12:$AI$26,MATCH($C59,'WINBUGS data'!$F$12:$F$26,0),MATCH("t[,"&amp;O$4 &amp;"]",'WINBUGS data'!$F$12:$AI$12,0)),"")</f>
        <v/>
      </c>
      <c r="P59" t="str">
        <f>IFERROR(INDEX('WINBUGS data'!$F$12:$AI$26,MATCH($C59,'WINBUGS data'!$F$12:$F$26,0),MATCH("t[,"&amp;P$4 &amp;"]",'WINBUGS data'!$F$12:$AI$12,0)),"")</f>
        <v/>
      </c>
      <c r="Q59" t="str">
        <f>IFERROR(INDEX('WINBUGS data'!$F$12:$AI$26,MATCH($C59,'WINBUGS data'!$F$12:$F$26,0),MATCH("t[,"&amp;Q$4 &amp;"]",'WINBUGS data'!$F$12:$AI$12,0)),"")</f>
        <v/>
      </c>
      <c r="R59" t="str">
        <f>IFERROR(INDEX('WINBUGS data'!$F$12:$AI$26,MATCH($C59,'WINBUGS data'!$F$12:$F$26,0),MATCH("t[,"&amp;R$4 &amp;"]",'WINBUGS data'!$F$12:$AI$12,0)),"")</f>
        <v/>
      </c>
      <c r="S59" t="str">
        <f>IFERROR(INDEX('WINBUGS data'!$F$12:$AI$26,MATCH($C59,'WINBUGS data'!$F$12:$F$26,0),MATCH("t[,"&amp;S$4 &amp;"]",'WINBUGS data'!$F$12:$AI$12,0)),"")</f>
        <v/>
      </c>
      <c r="T59" t="str">
        <f>IFERROR(INDEX('WINBUGS data'!$F$12:$AI$26,MATCH($C59,'WINBUGS data'!$F$12:$F$26,0),MATCH("t[,"&amp;T$4 &amp;"]",'WINBUGS data'!$F$12:$AI$12,0)),"")</f>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3"/>
  </sheetPr>
  <dimension ref="B1:AL62"/>
  <sheetViews>
    <sheetView showGridLines="0" zoomScale="120" zoomScaleNormal="120" workbookViewId="0">
      <selection activeCell="H9" sqref="H9"/>
    </sheetView>
  </sheetViews>
  <sheetFormatPr defaultRowHeight="15" x14ac:dyDescent="0.25"/>
  <cols>
    <col min="1" max="1" width="6.28515625" customWidth="1"/>
    <col min="2" max="2" width="21.85546875" customWidth="1"/>
    <col min="3" max="3" width="12.5703125" bestFit="1" customWidth="1"/>
    <col min="4" max="4" width="8.85546875" customWidth="1"/>
    <col min="5" max="5" width="8.85546875" hidden="1" customWidth="1"/>
    <col min="6" max="6" width="11.140625" customWidth="1"/>
    <col min="7" max="7" width="20" customWidth="1"/>
    <col min="8" max="11" width="9.140625" bestFit="1" customWidth="1"/>
    <col min="12" max="12" width="8.7109375" bestFit="1" customWidth="1"/>
    <col min="13" max="13" width="9.140625" bestFit="1" customWidth="1"/>
    <col min="14" max="14" width="4.7109375" bestFit="1" customWidth="1"/>
    <col min="15" max="15" width="5.140625" bestFit="1" customWidth="1"/>
    <col min="16" max="16" width="4.7109375" bestFit="1" customWidth="1"/>
    <col min="17" max="17" width="5.140625" bestFit="1" customWidth="1"/>
  </cols>
  <sheetData>
    <row r="1" spans="2:38" ht="87" customHeight="1" thickBot="1" x14ac:dyDescent="0.3">
      <c r="J1" s="22" t="s">
        <v>121</v>
      </c>
    </row>
    <row r="2" spans="2:38" ht="19.5" thickBot="1" x14ac:dyDescent="0.35">
      <c r="B2" s="256" t="s">
        <v>13</v>
      </c>
      <c r="C2" s="257"/>
      <c r="H2" s="9" t="s">
        <v>263</v>
      </c>
      <c r="I2" s="10"/>
      <c r="J2" s="10"/>
      <c r="K2" s="10"/>
      <c r="L2" s="10"/>
      <c r="M2" s="10"/>
      <c r="N2" s="10"/>
      <c r="O2" s="10"/>
      <c r="P2" s="10"/>
      <c r="Q2" s="10"/>
      <c r="R2" s="10"/>
      <c r="S2" s="10"/>
      <c r="T2" s="10"/>
    </row>
    <row r="3" spans="2:38" ht="15.75" thickBot="1" x14ac:dyDescent="0.3">
      <c r="B3" s="4" t="s">
        <v>8</v>
      </c>
      <c r="C3" s="3" t="s">
        <v>7</v>
      </c>
      <c r="H3" t="s">
        <v>854</v>
      </c>
    </row>
    <row r="4" spans="2:38" x14ac:dyDescent="0.25">
      <c r="B4" s="5" t="str">
        <f>IF('DATA Input'!E5="","",'DATA Input'!E5)</f>
        <v>INDOIV</v>
      </c>
      <c r="C4" s="1">
        <f>IF(B4="","",1)</f>
        <v>1</v>
      </c>
      <c r="H4" t="s">
        <v>855</v>
      </c>
    </row>
    <row r="5" spans="2:38" x14ac:dyDescent="0.25">
      <c r="B5" s="5" t="str">
        <f>IF('DATA Input'!G5="","",'DATA Input'!G5)</f>
        <v>IBUIV</v>
      </c>
      <c r="C5" s="1">
        <f>IF(B5="","",C4+1)</f>
        <v>2</v>
      </c>
      <c r="H5" t="s">
        <v>856</v>
      </c>
    </row>
    <row r="6" spans="2:38" ht="15.75" x14ac:dyDescent="0.25">
      <c r="B6" s="5" t="str">
        <f>IF('DATA Input'!I5="","",'DATA Input'!I5)</f>
        <v>IBUPO</v>
      </c>
      <c r="C6" s="1">
        <f t="shared" ref="C6:C18" si="0">IF(B6="","",C5+1)</f>
        <v>3</v>
      </c>
      <c r="H6" s="9" t="s">
        <v>264</v>
      </c>
      <c r="I6" s="10"/>
      <c r="J6" s="10"/>
      <c r="K6" s="10"/>
      <c r="L6" s="10"/>
      <c r="M6" s="10"/>
      <c r="N6" s="10"/>
      <c r="O6" s="10"/>
      <c r="P6" s="10"/>
      <c r="Q6" s="10"/>
      <c r="R6" s="10"/>
      <c r="S6" s="10"/>
      <c r="T6" s="10"/>
    </row>
    <row r="7" spans="2:38" x14ac:dyDescent="0.25">
      <c r="B7" s="5" t="str">
        <f>IF('DATA Input'!K$5="","",'DATA Input'!K$5)</f>
        <v>PARAPO</v>
      </c>
      <c r="C7" s="1">
        <f t="shared" si="0"/>
        <v>4</v>
      </c>
      <c r="H7" t="s">
        <v>857</v>
      </c>
    </row>
    <row r="8" spans="2:38" x14ac:dyDescent="0.25">
      <c r="B8" s="5" t="str">
        <f>IF('DATA Input'!M$5="","",'DATA Input'!M$5)</f>
        <v>IBUIVHIGHDOSE</v>
      </c>
      <c r="C8" s="1">
        <f t="shared" si="0"/>
        <v>5</v>
      </c>
      <c r="H8" t="s">
        <v>858</v>
      </c>
    </row>
    <row r="9" spans="2:38" x14ac:dyDescent="0.25">
      <c r="B9" s="5" t="str">
        <f>IF('DATA Input'!O$5="","",'DATA Input'!O$5)</f>
        <v>IBUPOHIGHDOSE</v>
      </c>
      <c r="C9" s="1">
        <f t="shared" si="0"/>
        <v>6</v>
      </c>
      <c r="H9" t="s">
        <v>859</v>
      </c>
    </row>
    <row r="10" spans="2:38" ht="15.75" x14ac:dyDescent="0.25">
      <c r="B10" s="5" t="str">
        <f>IF('DATA Input'!Q$5="","",'DATA Input'!Q$5)</f>
        <v>IBUIVCONT</v>
      </c>
      <c r="C10" s="1">
        <f t="shared" si="0"/>
        <v>7</v>
      </c>
      <c r="H10" s="9" t="s">
        <v>265</v>
      </c>
      <c r="I10" s="10"/>
      <c r="J10" s="10"/>
      <c r="K10" s="10"/>
      <c r="L10" s="10"/>
      <c r="M10" s="10"/>
      <c r="N10" s="10"/>
      <c r="O10" s="10"/>
      <c r="P10" s="10"/>
      <c r="Q10" s="10"/>
      <c r="R10" s="10"/>
      <c r="S10" s="10"/>
      <c r="T10" s="10"/>
    </row>
    <row r="11" spans="2:38" x14ac:dyDescent="0.25">
      <c r="B11" s="5" t="str">
        <f>IF('DATA Input'!S$5="","",'DATA Input'!S$5)</f>
        <v>INDOIVCONT</v>
      </c>
      <c r="C11" s="1">
        <f t="shared" si="0"/>
        <v>8</v>
      </c>
      <c r="H11" t="s">
        <v>860</v>
      </c>
    </row>
    <row r="12" spans="2:38" x14ac:dyDescent="0.25">
      <c r="B12" s="5" t="str">
        <f>IF('DATA Input'!U$5="","",'DATA Input'!U$5)</f>
        <v>INDOTHERS</v>
      </c>
      <c r="C12" s="1">
        <f t="shared" si="0"/>
        <v>9</v>
      </c>
      <c r="F12" s="172" t="s">
        <v>268</v>
      </c>
      <c r="G12" s="146"/>
      <c r="H12" s="54" t="s">
        <v>861</v>
      </c>
      <c r="I12" s="19"/>
      <c r="J12" s="19"/>
      <c r="K12" s="19"/>
      <c r="L12" s="19"/>
      <c r="M12" s="19"/>
      <c r="N12" s="19"/>
      <c r="O12" s="19"/>
      <c r="P12" s="19"/>
      <c r="Q12" s="19"/>
      <c r="R12" s="19"/>
      <c r="S12" s="19"/>
      <c r="T12" s="19"/>
      <c r="U12" s="19"/>
      <c r="V12" s="19"/>
      <c r="W12" s="19"/>
      <c r="X12" s="19"/>
    </row>
    <row r="13" spans="2:38" x14ac:dyDescent="0.25">
      <c r="B13" s="5" t="str">
        <f>IF('DATA Input'!W$5="","",'DATA Input'!W$5)</f>
        <v>PLAC_NORX</v>
      </c>
      <c r="C13" s="1">
        <f t="shared" si="0"/>
        <v>10</v>
      </c>
      <c r="F13" s="8"/>
      <c r="G13" s="16"/>
      <c r="H13" s="54" t="s">
        <v>862</v>
      </c>
      <c r="I13" s="19"/>
      <c r="J13" s="19"/>
      <c r="K13" s="19"/>
      <c r="L13" s="19"/>
      <c r="M13" s="19"/>
      <c r="N13" s="19"/>
      <c r="O13" s="19"/>
      <c r="P13" s="19"/>
      <c r="Q13" s="19"/>
      <c r="R13" s="19"/>
      <c r="S13" s="19"/>
      <c r="T13" s="19"/>
      <c r="U13" s="19"/>
      <c r="V13" s="19"/>
      <c r="W13" s="19"/>
      <c r="X13" s="19"/>
    </row>
    <row r="14" spans="2:38" x14ac:dyDescent="0.25">
      <c r="B14" s="5" t="str">
        <f>IF('DATA Input'!Y$5="","",'DATA Input'!Y$5)</f>
        <v/>
      </c>
      <c r="C14" s="1" t="str">
        <f t="shared" si="0"/>
        <v/>
      </c>
      <c r="F14" s="8"/>
      <c r="G14" s="16"/>
      <c r="H14" s="147" t="s">
        <v>128</v>
      </c>
      <c r="I14" s="147"/>
      <c r="J14" s="147"/>
      <c r="K14" s="147"/>
      <c r="L14" s="147"/>
      <c r="M14" s="147"/>
      <c r="N14" s="147"/>
      <c r="O14" s="147"/>
      <c r="P14" s="147"/>
      <c r="Q14" s="147"/>
      <c r="R14" s="147"/>
      <c r="S14" s="147"/>
      <c r="T14" s="147"/>
      <c r="U14" s="147"/>
      <c r="V14" s="147"/>
      <c r="W14" s="147"/>
      <c r="X14" s="19"/>
    </row>
    <row r="15" spans="2:38" x14ac:dyDescent="0.25">
      <c r="B15" s="5" t="str">
        <f>IF('DATA Input'!AA$5="","",'DATA Input'!AA$5)</f>
        <v/>
      </c>
      <c r="C15" s="1" t="str">
        <f t="shared" si="0"/>
        <v/>
      </c>
      <c r="F15" s="8"/>
      <c r="G15" s="16"/>
      <c r="H15" s="148" t="s">
        <v>853</v>
      </c>
      <c r="I15" s="19"/>
      <c r="J15" s="19"/>
      <c r="K15" s="19"/>
      <c r="L15" s="19"/>
      <c r="M15" s="19"/>
      <c r="N15" s="19"/>
      <c r="O15" s="19"/>
      <c r="P15" s="19"/>
      <c r="Q15" s="19"/>
      <c r="R15" s="19"/>
      <c r="S15" s="19"/>
      <c r="T15" s="19"/>
      <c r="U15" s="19"/>
      <c r="V15" s="19"/>
      <c r="W15" s="19"/>
      <c r="X15" s="19"/>
    </row>
    <row r="16" spans="2:38" x14ac:dyDescent="0.25">
      <c r="B16" s="5" t="str">
        <f>IF('DATA Input'!AC$5="","",'DATA Input'!AC$5)</f>
        <v/>
      </c>
      <c r="C16" s="1" t="str">
        <f t="shared" si="0"/>
        <v/>
      </c>
      <c r="F16" s="220" t="s">
        <v>266</v>
      </c>
      <c r="G16" s="220" t="s">
        <v>10</v>
      </c>
      <c r="H16" s="16" t="s">
        <v>0</v>
      </c>
      <c r="I16" s="16" t="s">
        <v>1</v>
      </c>
      <c r="J16" s="16" t="s">
        <v>2</v>
      </c>
      <c r="K16" s="16" t="s">
        <v>3</v>
      </c>
      <c r="L16" s="16" t="s">
        <v>42</v>
      </c>
      <c r="M16" s="16" t="s">
        <v>43</v>
      </c>
      <c r="N16" s="16" t="s">
        <v>44</v>
      </c>
      <c r="O16" s="16" t="s">
        <v>45</v>
      </c>
      <c r="P16" s="16" t="s">
        <v>251</v>
      </c>
      <c r="Q16" s="16" t="s">
        <v>252</v>
      </c>
      <c r="R16" s="16" t="s">
        <v>361</v>
      </c>
      <c r="S16" s="16" t="s">
        <v>362</v>
      </c>
      <c r="T16" s="16" t="s">
        <v>363</v>
      </c>
      <c r="U16" s="16" t="s">
        <v>364</v>
      </c>
      <c r="V16" s="16" t="s">
        <v>365</v>
      </c>
      <c r="W16" s="16" t="s">
        <v>366</v>
      </c>
      <c r="X16" s="19" t="s">
        <v>367</v>
      </c>
      <c r="Y16" t="s">
        <v>368</v>
      </c>
      <c r="Z16" t="s">
        <v>369</v>
      </c>
      <c r="AA16" t="s">
        <v>370</v>
      </c>
      <c r="AB16" t="s">
        <v>4</v>
      </c>
      <c r="AC16" t="s">
        <v>5</v>
      </c>
      <c r="AD16" t="s">
        <v>46</v>
      </c>
      <c r="AE16" t="s">
        <v>47</v>
      </c>
      <c r="AF16" t="s">
        <v>253</v>
      </c>
      <c r="AG16" t="s">
        <v>371</v>
      </c>
      <c r="AH16" t="s">
        <v>372</v>
      </c>
      <c r="AI16" t="s">
        <v>373</v>
      </c>
      <c r="AJ16" t="s">
        <v>374</v>
      </c>
      <c r="AK16" t="s">
        <v>375</v>
      </c>
      <c r="AL16" t="s">
        <v>6</v>
      </c>
    </row>
    <row r="17" spans="2:38" x14ac:dyDescent="0.25">
      <c r="B17" s="5" t="str">
        <f>IF('DATA Input'!AE$5="","",'DATA Input'!AE$5)</f>
        <v/>
      </c>
      <c r="C17" s="1" t="str">
        <f t="shared" si="0"/>
        <v/>
      </c>
      <c r="F17" s="16">
        <v>1</v>
      </c>
      <c r="G17" s="104">
        <v>2</v>
      </c>
      <c r="H17" s="144">
        <v>47</v>
      </c>
      <c r="I17" s="144">
        <v>68</v>
      </c>
      <c r="J17" s="144">
        <v>32</v>
      </c>
      <c r="K17" s="144">
        <v>68</v>
      </c>
      <c r="L17" s="144" t="s">
        <v>376</v>
      </c>
      <c r="M17" s="144">
        <v>1</v>
      </c>
      <c r="N17" s="19" t="s">
        <v>376</v>
      </c>
      <c r="O17" s="19">
        <v>1</v>
      </c>
      <c r="P17" s="19" t="s">
        <v>376</v>
      </c>
      <c r="Q17" s="19">
        <v>1</v>
      </c>
      <c r="R17" s="19" t="s">
        <v>376</v>
      </c>
      <c r="S17" s="19">
        <v>1</v>
      </c>
      <c r="T17" s="19" t="s">
        <v>376</v>
      </c>
      <c r="U17" s="19">
        <v>1</v>
      </c>
      <c r="V17" s="19" t="s">
        <v>376</v>
      </c>
      <c r="W17" s="19">
        <v>1</v>
      </c>
      <c r="X17" s="19" t="s">
        <v>376</v>
      </c>
      <c r="Y17">
        <v>1</v>
      </c>
      <c r="Z17" t="s">
        <v>376</v>
      </c>
      <c r="AA17">
        <v>1</v>
      </c>
      <c r="AB17">
        <v>2</v>
      </c>
      <c r="AC17">
        <v>10</v>
      </c>
      <c r="AD17" t="s">
        <v>376</v>
      </c>
      <c r="AE17" t="s">
        <v>376</v>
      </c>
      <c r="AF17" t="s">
        <v>376</v>
      </c>
      <c r="AG17" t="s">
        <v>376</v>
      </c>
      <c r="AH17" t="s">
        <v>376</v>
      </c>
      <c r="AI17" t="s">
        <v>376</v>
      </c>
      <c r="AJ17" t="s">
        <v>376</v>
      </c>
      <c r="AK17" t="s">
        <v>376</v>
      </c>
      <c r="AL17">
        <v>2</v>
      </c>
    </row>
    <row r="18" spans="2:38" ht="15.75" thickBot="1" x14ac:dyDescent="0.3">
      <c r="B18" s="6" t="str">
        <f>IF('DATA Input'!AG$5="","",'DATA Input'!AG$5)</f>
        <v/>
      </c>
      <c r="C18" s="2" t="str">
        <f t="shared" si="0"/>
        <v/>
      </c>
      <c r="F18" s="16">
        <v>2</v>
      </c>
      <c r="G18" s="104">
        <v>4</v>
      </c>
      <c r="H18" s="19">
        <v>35</v>
      </c>
      <c r="I18" s="19">
        <v>37</v>
      </c>
      <c r="J18" s="19">
        <v>35</v>
      </c>
      <c r="K18" s="19">
        <v>36</v>
      </c>
      <c r="L18" s="19" t="s">
        <v>376</v>
      </c>
      <c r="M18" s="19">
        <v>1</v>
      </c>
      <c r="N18" s="19" t="s">
        <v>376</v>
      </c>
      <c r="O18" s="19">
        <v>1</v>
      </c>
      <c r="P18" s="19" t="s">
        <v>376</v>
      </c>
      <c r="Q18" s="19">
        <v>1</v>
      </c>
      <c r="R18" s="19" t="s">
        <v>376</v>
      </c>
      <c r="S18" s="19">
        <v>1</v>
      </c>
      <c r="T18" s="19" t="s">
        <v>376</v>
      </c>
      <c r="U18" s="19">
        <v>1</v>
      </c>
      <c r="V18" s="19" t="s">
        <v>376</v>
      </c>
      <c r="W18" s="19">
        <v>1</v>
      </c>
      <c r="X18" s="19" t="s">
        <v>376</v>
      </c>
      <c r="Y18">
        <v>1</v>
      </c>
      <c r="Z18" t="s">
        <v>376</v>
      </c>
      <c r="AA18">
        <v>1</v>
      </c>
      <c r="AB18">
        <v>1</v>
      </c>
      <c r="AC18">
        <v>4</v>
      </c>
      <c r="AD18" t="s">
        <v>376</v>
      </c>
      <c r="AE18" t="s">
        <v>376</v>
      </c>
      <c r="AF18" t="s">
        <v>376</v>
      </c>
      <c r="AG18" t="s">
        <v>376</v>
      </c>
      <c r="AH18" t="s">
        <v>376</v>
      </c>
      <c r="AI18" t="s">
        <v>376</v>
      </c>
      <c r="AJ18" t="s">
        <v>376</v>
      </c>
      <c r="AK18" t="s">
        <v>376</v>
      </c>
      <c r="AL18">
        <v>2</v>
      </c>
    </row>
    <row r="19" spans="2:38" x14ac:dyDescent="0.25">
      <c r="F19" s="16">
        <v>3</v>
      </c>
      <c r="G19" s="104">
        <v>8</v>
      </c>
      <c r="H19" s="19">
        <v>21</v>
      </c>
      <c r="I19" s="19">
        <v>34</v>
      </c>
      <c r="J19" s="19">
        <v>30</v>
      </c>
      <c r="K19" s="19">
        <v>36</v>
      </c>
      <c r="L19" s="19" t="s">
        <v>376</v>
      </c>
      <c r="M19" s="19">
        <v>1</v>
      </c>
      <c r="N19" s="19" t="s">
        <v>376</v>
      </c>
      <c r="O19" s="19">
        <v>1</v>
      </c>
      <c r="P19" s="19" t="s">
        <v>376</v>
      </c>
      <c r="Q19" s="19">
        <v>1</v>
      </c>
      <c r="R19" s="19" t="s">
        <v>376</v>
      </c>
      <c r="S19" s="19">
        <v>1</v>
      </c>
      <c r="T19" s="19" t="s">
        <v>376</v>
      </c>
      <c r="U19" s="19">
        <v>1</v>
      </c>
      <c r="V19" s="19" t="s">
        <v>376</v>
      </c>
      <c r="W19" s="19">
        <v>1</v>
      </c>
      <c r="X19" s="19" t="s">
        <v>376</v>
      </c>
      <c r="Y19">
        <v>1</v>
      </c>
      <c r="Z19" t="s">
        <v>376</v>
      </c>
      <c r="AA19">
        <v>1</v>
      </c>
      <c r="AB19">
        <v>2</v>
      </c>
      <c r="AC19">
        <v>3</v>
      </c>
      <c r="AD19" t="s">
        <v>376</v>
      </c>
      <c r="AE19" t="s">
        <v>376</v>
      </c>
      <c r="AF19" t="s">
        <v>376</v>
      </c>
      <c r="AG19" t="s">
        <v>376</v>
      </c>
      <c r="AH19" t="s">
        <v>376</v>
      </c>
      <c r="AI19" t="s">
        <v>376</v>
      </c>
      <c r="AJ19" t="s">
        <v>376</v>
      </c>
      <c r="AK19" t="s">
        <v>376</v>
      </c>
      <c r="AL19">
        <v>2</v>
      </c>
    </row>
    <row r="20" spans="2:38" x14ac:dyDescent="0.25">
      <c r="F20" s="16">
        <v>4</v>
      </c>
      <c r="G20" s="104">
        <v>9</v>
      </c>
      <c r="H20" s="19">
        <v>31</v>
      </c>
      <c r="I20" s="19">
        <v>50</v>
      </c>
      <c r="J20" s="19">
        <v>46</v>
      </c>
      <c r="K20" s="19">
        <v>52</v>
      </c>
      <c r="L20" s="19" t="s">
        <v>376</v>
      </c>
      <c r="M20" s="19">
        <v>1</v>
      </c>
      <c r="N20" s="19" t="s">
        <v>376</v>
      </c>
      <c r="O20" s="19">
        <v>1</v>
      </c>
      <c r="P20" s="19" t="s">
        <v>376</v>
      </c>
      <c r="Q20" s="19">
        <v>1</v>
      </c>
      <c r="R20" s="19" t="s">
        <v>376</v>
      </c>
      <c r="S20" s="19">
        <v>1</v>
      </c>
      <c r="T20" s="19" t="s">
        <v>376</v>
      </c>
      <c r="U20" s="19">
        <v>1</v>
      </c>
      <c r="V20" s="19" t="s">
        <v>376</v>
      </c>
      <c r="W20" s="19">
        <v>1</v>
      </c>
      <c r="X20" s="19" t="s">
        <v>376</v>
      </c>
      <c r="Y20">
        <v>1</v>
      </c>
      <c r="Z20" t="s">
        <v>376</v>
      </c>
      <c r="AA20">
        <v>1</v>
      </c>
      <c r="AB20">
        <v>2</v>
      </c>
      <c r="AC20">
        <v>3</v>
      </c>
      <c r="AD20" t="s">
        <v>376</v>
      </c>
      <c r="AE20" t="s">
        <v>376</v>
      </c>
      <c r="AF20" t="s">
        <v>376</v>
      </c>
      <c r="AG20" t="s">
        <v>376</v>
      </c>
      <c r="AH20" t="s">
        <v>376</v>
      </c>
      <c r="AI20" t="s">
        <v>376</v>
      </c>
      <c r="AJ20" t="s">
        <v>376</v>
      </c>
      <c r="AK20" t="s">
        <v>376</v>
      </c>
      <c r="AL20">
        <v>2</v>
      </c>
    </row>
    <row r="21" spans="2:38" x14ac:dyDescent="0.25">
      <c r="F21" s="16">
        <v>5</v>
      </c>
      <c r="G21" s="104">
        <v>11</v>
      </c>
      <c r="H21" s="19">
        <v>20</v>
      </c>
      <c r="I21" s="19">
        <v>32</v>
      </c>
      <c r="J21" s="19">
        <v>27</v>
      </c>
      <c r="K21" s="19">
        <v>32</v>
      </c>
      <c r="L21" s="19" t="s">
        <v>376</v>
      </c>
      <c r="M21" s="19">
        <v>1</v>
      </c>
      <c r="N21" s="19" t="s">
        <v>376</v>
      </c>
      <c r="O21" s="19">
        <v>1</v>
      </c>
      <c r="P21" s="19" t="s">
        <v>376</v>
      </c>
      <c r="Q21" s="19">
        <v>1</v>
      </c>
      <c r="R21" s="19" t="s">
        <v>376</v>
      </c>
      <c r="S21" s="19">
        <v>1</v>
      </c>
      <c r="T21" s="19" t="s">
        <v>376</v>
      </c>
      <c r="U21" s="19">
        <v>1</v>
      </c>
      <c r="V21" s="19" t="s">
        <v>376</v>
      </c>
      <c r="W21" s="19">
        <v>1</v>
      </c>
      <c r="X21" s="19" t="s">
        <v>376</v>
      </c>
      <c r="Y21">
        <v>1</v>
      </c>
      <c r="Z21" t="s">
        <v>376</v>
      </c>
      <c r="AA21">
        <v>1</v>
      </c>
      <c r="AB21">
        <v>2</v>
      </c>
      <c r="AC21">
        <v>3</v>
      </c>
      <c r="AD21" t="s">
        <v>376</v>
      </c>
      <c r="AE21" t="s">
        <v>376</v>
      </c>
      <c r="AF21" t="s">
        <v>376</v>
      </c>
      <c r="AG21" t="s">
        <v>376</v>
      </c>
      <c r="AH21" t="s">
        <v>376</v>
      </c>
      <c r="AI21" t="s">
        <v>376</v>
      </c>
      <c r="AJ21" t="s">
        <v>376</v>
      </c>
      <c r="AK21" t="s">
        <v>376</v>
      </c>
      <c r="AL21">
        <v>2</v>
      </c>
    </row>
    <row r="22" spans="2:38" x14ac:dyDescent="0.25">
      <c r="F22" s="16">
        <v>6</v>
      </c>
      <c r="G22" s="104">
        <v>17</v>
      </c>
      <c r="H22" s="19">
        <v>19</v>
      </c>
      <c r="I22" s="19">
        <v>32</v>
      </c>
      <c r="J22" s="19">
        <v>23</v>
      </c>
      <c r="K22" s="19">
        <v>31</v>
      </c>
      <c r="L22" s="19" t="s">
        <v>376</v>
      </c>
      <c r="M22" s="19">
        <v>1</v>
      </c>
      <c r="N22" s="19" t="s">
        <v>376</v>
      </c>
      <c r="O22" s="19">
        <v>1</v>
      </c>
      <c r="P22" s="19" t="s">
        <v>376</v>
      </c>
      <c r="Q22" s="19">
        <v>1</v>
      </c>
      <c r="R22" s="19" t="s">
        <v>376</v>
      </c>
      <c r="S22" s="19">
        <v>1</v>
      </c>
      <c r="T22" s="19" t="s">
        <v>376</v>
      </c>
      <c r="U22" s="19">
        <v>1</v>
      </c>
      <c r="V22" s="19" t="s">
        <v>376</v>
      </c>
      <c r="W22" s="19">
        <v>1</v>
      </c>
      <c r="X22" s="19" t="s">
        <v>376</v>
      </c>
      <c r="Y22">
        <v>1</v>
      </c>
      <c r="Z22" t="s">
        <v>376</v>
      </c>
      <c r="AA22">
        <v>1</v>
      </c>
      <c r="AB22">
        <v>2</v>
      </c>
      <c r="AC22">
        <v>8</v>
      </c>
      <c r="AD22" t="s">
        <v>376</v>
      </c>
      <c r="AE22" t="s">
        <v>376</v>
      </c>
      <c r="AF22" t="s">
        <v>376</v>
      </c>
      <c r="AG22" t="s">
        <v>376</v>
      </c>
      <c r="AH22" t="s">
        <v>376</v>
      </c>
      <c r="AI22" t="s">
        <v>376</v>
      </c>
      <c r="AJ22" t="s">
        <v>376</v>
      </c>
      <c r="AK22" t="s">
        <v>376</v>
      </c>
      <c r="AL22">
        <v>2</v>
      </c>
    </row>
    <row r="23" spans="2:38" x14ac:dyDescent="0.25">
      <c r="F23" s="16">
        <v>7</v>
      </c>
      <c r="G23" s="104">
        <v>18</v>
      </c>
      <c r="H23" s="19">
        <v>22</v>
      </c>
      <c r="I23" s="19">
        <v>35</v>
      </c>
      <c r="J23" s="19">
        <v>30</v>
      </c>
      <c r="K23" s="19">
        <v>35</v>
      </c>
      <c r="L23" s="19" t="s">
        <v>376</v>
      </c>
      <c r="M23" s="19">
        <v>1</v>
      </c>
      <c r="N23" s="19" t="s">
        <v>376</v>
      </c>
      <c r="O23" s="19">
        <v>1</v>
      </c>
      <c r="P23" s="19" t="s">
        <v>376</v>
      </c>
      <c r="Q23" s="19">
        <v>1</v>
      </c>
      <c r="R23" s="19" t="s">
        <v>376</v>
      </c>
      <c r="S23" s="19">
        <v>1</v>
      </c>
      <c r="T23" s="19" t="s">
        <v>376</v>
      </c>
      <c r="U23" s="19">
        <v>1</v>
      </c>
      <c r="V23" s="19" t="s">
        <v>376</v>
      </c>
      <c r="W23" s="19">
        <v>1</v>
      </c>
      <c r="X23" s="19" t="s">
        <v>376</v>
      </c>
      <c r="Y23">
        <v>1</v>
      </c>
      <c r="Z23" t="s">
        <v>376</v>
      </c>
      <c r="AA23">
        <v>1</v>
      </c>
      <c r="AB23">
        <v>2</v>
      </c>
      <c r="AC23">
        <v>5</v>
      </c>
      <c r="AD23" t="s">
        <v>376</v>
      </c>
      <c r="AE23" t="s">
        <v>376</v>
      </c>
      <c r="AF23" t="s">
        <v>376</v>
      </c>
      <c r="AG23" t="s">
        <v>376</v>
      </c>
      <c r="AH23" t="s">
        <v>376</v>
      </c>
      <c r="AI23" t="s">
        <v>376</v>
      </c>
      <c r="AJ23" t="s">
        <v>376</v>
      </c>
      <c r="AK23" t="s">
        <v>376</v>
      </c>
      <c r="AL23">
        <v>2</v>
      </c>
    </row>
    <row r="24" spans="2:38" x14ac:dyDescent="0.25">
      <c r="F24" s="16">
        <v>8</v>
      </c>
      <c r="G24" s="104">
        <v>20</v>
      </c>
      <c r="H24" s="19">
        <v>107</v>
      </c>
      <c r="I24" s="19">
        <v>135</v>
      </c>
      <c r="J24" s="19">
        <v>95</v>
      </c>
      <c r="K24" s="19">
        <v>270</v>
      </c>
      <c r="L24" s="19" t="s">
        <v>376</v>
      </c>
      <c r="M24" s="19">
        <v>1</v>
      </c>
      <c r="N24" s="19" t="s">
        <v>376</v>
      </c>
      <c r="O24" s="19">
        <v>1</v>
      </c>
      <c r="P24" s="19" t="s">
        <v>376</v>
      </c>
      <c r="Q24" s="19">
        <v>1</v>
      </c>
      <c r="R24" s="19" t="s">
        <v>376</v>
      </c>
      <c r="S24" s="19">
        <v>1</v>
      </c>
      <c r="T24" s="19" t="s">
        <v>376</v>
      </c>
      <c r="U24" s="19">
        <v>1</v>
      </c>
      <c r="V24" s="19" t="s">
        <v>376</v>
      </c>
      <c r="W24" s="19">
        <v>1</v>
      </c>
      <c r="X24" s="19" t="s">
        <v>376</v>
      </c>
      <c r="Y24">
        <v>1</v>
      </c>
      <c r="Z24" t="s">
        <v>376</v>
      </c>
      <c r="AA24">
        <v>1</v>
      </c>
      <c r="AB24">
        <v>1</v>
      </c>
      <c r="AC24">
        <v>10</v>
      </c>
      <c r="AD24" t="s">
        <v>376</v>
      </c>
      <c r="AE24" t="s">
        <v>376</v>
      </c>
      <c r="AF24" t="s">
        <v>376</v>
      </c>
      <c r="AG24" t="s">
        <v>376</v>
      </c>
      <c r="AH24" t="s">
        <v>376</v>
      </c>
      <c r="AI24" t="s">
        <v>376</v>
      </c>
      <c r="AJ24" t="s">
        <v>376</v>
      </c>
      <c r="AK24" t="s">
        <v>376</v>
      </c>
      <c r="AL24">
        <v>2</v>
      </c>
    </row>
    <row r="25" spans="2:38" x14ac:dyDescent="0.25">
      <c r="F25" s="16">
        <v>9</v>
      </c>
      <c r="G25" s="104">
        <v>25</v>
      </c>
      <c r="H25" s="19">
        <v>32</v>
      </c>
      <c r="I25" s="19">
        <v>56</v>
      </c>
      <c r="J25" s="19">
        <v>27</v>
      </c>
      <c r="K25" s="19">
        <v>55</v>
      </c>
      <c r="L25" s="19" t="s">
        <v>376</v>
      </c>
      <c r="M25" s="19">
        <v>1</v>
      </c>
      <c r="N25" s="19" t="s">
        <v>376</v>
      </c>
      <c r="O25" s="19">
        <v>1</v>
      </c>
      <c r="P25" s="19" t="s">
        <v>376</v>
      </c>
      <c r="Q25" s="19">
        <v>1</v>
      </c>
      <c r="R25" s="19" t="s">
        <v>376</v>
      </c>
      <c r="S25" s="19">
        <v>1</v>
      </c>
      <c r="T25" s="19" t="s">
        <v>376</v>
      </c>
      <c r="U25" s="19">
        <v>1</v>
      </c>
      <c r="V25" s="19" t="s">
        <v>376</v>
      </c>
      <c r="W25" s="19">
        <v>1</v>
      </c>
      <c r="X25" s="19" t="s">
        <v>376</v>
      </c>
      <c r="Y25">
        <v>1</v>
      </c>
      <c r="Z25" t="s">
        <v>376</v>
      </c>
      <c r="AA25">
        <v>1</v>
      </c>
      <c r="AB25">
        <v>2</v>
      </c>
      <c r="AC25">
        <v>7</v>
      </c>
      <c r="AD25" t="s">
        <v>376</v>
      </c>
      <c r="AE25" t="s">
        <v>376</v>
      </c>
      <c r="AF25" t="s">
        <v>376</v>
      </c>
      <c r="AG25" t="s">
        <v>376</v>
      </c>
      <c r="AH25" t="s">
        <v>376</v>
      </c>
      <c r="AI25" t="s">
        <v>376</v>
      </c>
      <c r="AJ25" t="s">
        <v>376</v>
      </c>
      <c r="AK25" t="s">
        <v>376</v>
      </c>
      <c r="AL25">
        <v>2</v>
      </c>
    </row>
    <row r="26" spans="2:38" x14ac:dyDescent="0.25">
      <c r="F26" s="16">
        <v>10</v>
      </c>
      <c r="G26" s="104">
        <v>66</v>
      </c>
      <c r="H26" s="19">
        <v>55</v>
      </c>
      <c r="I26" s="19">
        <v>73</v>
      </c>
      <c r="J26" s="19">
        <v>46</v>
      </c>
      <c r="K26" s="19">
        <v>71</v>
      </c>
      <c r="L26" s="19" t="s">
        <v>376</v>
      </c>
      <c r="M26" s="19">
        <v>1</v>
      </c>
      <c r="N26" s="19" t="s">
        <v>376</v>
      </c>
      <c r="O26" s="19">
        <v>1</v>
      </c>
      <c r="P26" s="19" t="s">
        <v>376</v>
      </c>
      <c r="Q26" s="19">
        <v>1</v>
      </c>
      <c r="R26" s="19" t="s">
        <v>376</v>
      </c>
      <c r="S26" s="19">
        <v>1</v>
      </c>
      <c r="T26" s="19" t="s">
        <v>376</v>
      </c>
      <c r="U26" s="19">
        <v>1</v>
      </c>
      <c r="V26" s="19" t="s">
        <v>376</v>
      </c>
      <c r="W26" s="19">
        <v>1</v>
      </c>
      <c r="X26" s="19" t="s">
        <v>376</v>
      </c>
      <c r="Y26">
        <v>1</v>
      </c>
      <c r="Z26" t="s">
        <v>376</v>
      </c>
      <c r="AA26">
        <v>1</v>
      </c>
      <c r="AB26">
        <v>1</v>
      </c>
      <c r="AC26">
        <v>2</v>
      </c>
      <c r="AD26" t="s">
        <v>376</v>
      </c>
      <c r="AE26" t="s">
        <v>376</v>
      </c>
      <c r="AF26" t="s">
        <v>376</v>
      </c>
      <c r="AG26" t="s">
        <v>376</v>
      </c>
      <c r="AH26" t="s">
        <v>376</v>
      </c>
      <c r="AI26" t="s">
        <v>376</v>
      </c>
      <c r="AJ26" t="s">
        <v>376</v>
      </c>
      <c r="AK26" t="s">
        <v>376</v>
      </c>
      <c r="AL26">
        <v>2</v>
      </c>
    </row>
    <row r="27" spans="2:38" x14ac:dyDescent="0.25">
      <c r="F27" s="16">
        <v>11</v>
      </c>
      <c r="G27" s="104">
        <v>1</v>
      </c>
      <c r="H27" s="19">
        <v>7</v>
      </c>
      <c r="I27" s="16">
        <v>9</v>
      </c>
      <c r="J27" s="16">
        <v>10</v>
      </c>
      <c r="K27" s="16">
        <v>12</v>
      </c>
      <c r="L27" s="16" t="s">
        <v>376</v>
      </c>
      <c r="M27" s="16">
        <v>1</v>
      </c>
      <c r="N27" s="16" t="s">
        <v>376</v>
      </c>
      <c r="O27" s="16">
        <v>1</v>
      </c>
      <c r="P27" s="16" t="s">
        <v>376</v>
      </c>
      <c r="Q27" s="16">
        <v>1</v>
      </c>
      <c r="R27" s="16" t="s">
        <v>376</v>
      </c>
      <c r="S27" s="16">
        <v>1</v>
      </c>
      <c r="T27" s="16" t="s">
        <v>376</v>
      </c>
      <c r="U27" s="16">
        <v>1</v>
      </c>
      <c r="V27" s="16" t="s">
        <v>376</v>
      </c>
      <c r="W27" s="16">
        <v>1</v>
      </c>
      <c r="X27" s="16" t="s">
        <v>376</v>
      </c>
      <c r="Y27">
        <v>1</v>
      </c>
      <c r="Z27" t="s">
        <v>376</v>
      </c>
      <c r="AA27">
        <v>1</v>
      </c>
      <c r="AB27">
        <v>1</v>
      </c>
      <c r="AC27">
        <v>3</v>
      </c>
      <c r="AD27" t="s">
        <v>376</v>
      </c>
      <c r="AE27" t="s">
        <v>376</v>
      </c>
      <c r="AF27" t="s">
        <v>376</v>
      </c>
      <c r="AG27" t="s">
        <v>376</v>
      </c>
      <c r="AH27" t="s">
        <v>376</v>
      </c>
      <c r="AI27" t="s">
        <v>376</v>
      </c>
      <c r="AJ27" t="s">
        <v>376</v>
      </c>
      <c r="AK27" t="s">
        <v>376</v>
      </c>
      <c r="AL27">
        <v>2</v>
      </c>
    </row>
    <row r="28" spans="2:38" x14ac:dyDescent="0.25">
      <c r="F28" s="16">
        <v>12</v>
      </c>
      <c r="G28" s="104">
        <v>7</v>
      </c>
      <c r="H28" s="16">
        <v>38</v>
      </c>
      <c r="I28" s="16">
        <v>80</v>
      </c>
      <c r="J28" s="16">
        <v>45</v>
      </c>
      <c r="K28" s="16">
        <v>80</v>
      </c>
      <c r="L28" s="16" t="s">
        <v>376</v>
      </c>
      <c r="M28" s="16">
        <v>1</v>
      </c>
      <c r="N28" s="16" t="s">
        <v>376</v>
      </c>
      <c r="O28" s="16">
        <v>1</v>
      </c>
      <c r="P28" s="16" t="s">
        <v>376</v>
      </c>
      <c r="Q28" s="16">
        <v>1</v>
      </c>
      <c r="R28" s="16" t="s">
        <v>376</v>
      </c>
      <c r="S28" s="16">
        <v>1</v>
      </c>
      <c r="T28" s="16" t="s">
        <v>376</v>
      </c>
      <c r="U28" s="16">
        <v>1</v>
      </c>
      <c r="V28" s="16" t="s">
        <v>376</v>
      </c>
      <c r="W28" s="16">
        <v>1</v>
      </c>
      <c r="X28" s="16" t="s">
        <v>376</v>
      </c>
      <c r="Y28">
        <v>1</v>
      </c>
      <c r="Z28" t="s">
        <v>376</v>
      </c>
      <c r="AA28">
        <v>1</v>
      </c>
      <c r="AB28">
        <v>3</v>
      </c>
      <c r="AC28">
        <v>4</v>
      </c>
      <c r="AD28" t="s">
        <v>376</v>
      </c>
      <c r="AE28" t="s">
        <v>376</v>
      </c>
      <c r="AF28" t="s">
        <v>376</v>
      </c>
      <c r="AG28" t="s">
        <v>376</v>
      </c>
      <c r="AH28" t="s">
        <v>376</v>
      </c>
      <c r="AI28" t="s">
        <v>376</v>
      </c>
      <c r="AJ28" t="s">
        <v>376</v>
      </c>
      <c r="AK28" t="s">
        <v>376</v>
      </c>
      <c r="AL28">
        <v>2</v>
      </c>
    </row>
    <row r="29" spans="2:38" x14ac:dyDescent="0.25">
      <c r="F29" s="16">
        <v>13</v>
      </c>
      <c r="G29" s="104">
        <v>14</v>
      </c>
      <c r="H29" s="16">
        <v>11</v>
      </c>
      <c r="I29" s="16">
        <v>14</v>
      </c>
      <c r="J29" s="16">
        <v>10</v>
      </c>
      <c r="K29" s="16">
        <v>18</v>
      </c>
      <c r="L29" s="16" t="s">
        <v>376</v>
      </c>
      <c r="M29" s="16">
        <v>1</v>
      </c>
      <c r="N29" s="16" t="s">
        <v>376</v>
      </c>
      <c r="O29" s="16">
        <v>1</v>
      </c>
      <c r="P29" s="16" t="s">
        <v>376</v>
      </c>
      <c r="Q29" s="16">
        <v>1</v>
      </c>
      <c r="R29" s="16" t="s">
        <v>376</v>
      </c>
      <c r="S29" s="16">
        <v>1</v>
      </c>
      <c r="T29" s="16" t="s">
        <v>376</v>
      </c>
      <c r="U29" s="16">
        <v>1</v>
      </c>
      <c r="V29" s="16" t="s">
        <v>376</v>
      </c>
      <c r="W29" s="16">
        <v>1</v>
      </c>
      <c r="X29" s="16" t="s">
        <v>376</v>
      </c>
      <c r="Y29">
        <v>1</v>
      </c>
      <c r="Z29" t="s">
        <v>376</v>
      </c>
      <c r="AA29">
        <v>1</v>
      </c>
      <c r="AB29">
        <v>1</v>
      </c>
      <c r="AC29">
        <v>8</v>
      </c>
      <c r="AD29" t="s">
        <v>376</v>
      </c>
      <c r="AE29" t="s">
        <v>376</v>
      </c>
      <c r="AF29" t="s">
        <v>376</v>
      </c>
      <c r="AG29" t="s">
        <v>376</v>
      </c>
      <c r="AH29" t="s">
        <v>376</v>
      </c>
      <c r="AI29" t="s">
        <v>376</v>
      </c>
      <c r="AJ29" t="s">
        <v>376</v>
      </c>
      <c r="AK29" t="s">
        <v>376</v>
      </c>
      <c r="AL29">
        <v>2</v>
      </c>
    </row>
    <row r="30" spans="2:38" x14ac:dyDescent="0.25">
      <c r="F30" s="16">
        <v>14</v>
      </c>
      <c r="G30" s="104">
        <v>15</v>
      </c>
      <c r="H30" s="16">
        <v>18</v>
      </c>
      <c r="I30" s="16">
        <v>20</v>
      </c>
      <c r="J30" s="16">
        <v>14</v>
      </c>
      <c r="K30" s="16">
        <v>19</v>
      </c>
      <c r="L30" s="16" t="s">
        <v>376</v>
      </c>
      <c r="M30" s="16">
        <v>1</v>
      </c>
      <c r="N30" s="16" t="s">
        <v>376</v>
      </c>
      <c r="O30" s="16">
        <v>1</v>
      </c>
      <c r="P30" s="16" t="s">
        <v>376</v>
      </c>
      <c r="Q30" s="16">
        <v>1</v>
      </c>
      <c r="R30" s="16" t="s">
        <v>376</v>
      </c>
      <c r="S30" s="16">
        <v>1</v>
      </c>
      <c r="T30" s="16" t="s">
        <v>376</v>
      </c>
      <c r="U30" s="16">
        <v>1</v>
      </c>
      <c r="V30" s="16" t="s">
        <v>376</v>
      </c>
      <c r="W30" s="16">
        <v>1</v>
      </c>
      <c r="X30" s="16" t="s">
        <v>376</v>
      </c>
      <c r="Y30">
        <v>1</v>
      </c>
      <c r="Z30" t="s">
        <v>376</v>
      </c>
      <c r="AA30">
        <v>1</v>
      </c>
      <c r="AB30">
        <v>1</v>
      </c>
      <c r="AC30">
        <v>10</v>
      </c>
      <c r="AD30" t="s">
        <v>376</v>
      </c>
      <c r="AE30" t="s">
        <v>376</v>
      </c>
      <c r="AF30" t="s">
        <v>376</v>
      </c>
      <c r="AG30" t="s">
        <v>376</v>
      </c>
      <c r="AH30" t="s">
        <v>376</v>
      </c>
      <c r="AI30" t="s">
        <v>376</v>
      </c>
      <c r="AJ30" t="s">
        <v>376</v>
      </c>
      <c r="AK30" t="s">
        <v>376</v>
      </c>
      <c r="AL30">
        <v>2</v>
      </c>
    </row>
    <row r="31" spans="2:38" x14ac:dyDescent="0.25">
      <c r="F31" s="16">
        <v>15</v>
      </c>
      <c r="G31" s="104">
        <v>16</v>
      </c>
      <c r="H31" s="16">
        <v>8</v>
      </c>
      <c r="I31" s="16">
        <v>9</v>
      </c>
      <c r="J31" s="16">
        <v>8</v>
      </c>
      <c r="K31" s="16">
        <v>9</v>
      </c>
      <c r="L31" s="16" t="s">
        <v>376</v>
      </c>
      <c r="M31" s="16">
        <v>1</v>
      </c>
      <c r="N31" s="16" t="s">
        <v>376</v>
      </c>
      <c r="O31" s="16">
        <v>1</v>
      </c>
      <c r="P31" s="16" t="s">
        <v>376</v>
      </c>
      <c r="Q31" s="16">
        <v>1</v>
      </c>
      <c r="R31" s="16" t="s">
        <v>376</v>
      </c>
      <c r="S31" s="16">
        <v>1</v>
      </c>
      <c r="T31" s="16" t="s">
        <v>376</v>
      </c>
      <c r="U31" s="16">
        <v>1</v>
      </c>
      <c r="V31" s="16" t="s">
        <v>376</v>
      </c>
      <c r="W31" s="16">
        <v>1</v>
      </c>
      <c r="X31" s="16" t="s">
        <v>376</v>
      </c>
      <c r="Y31">
        <v>1</v>
      </c>
      <c r="Z31" t="s">
        <v>376</v>
      </c>
      <c r="AA31">
        <v>1</v>
      </c>
      <c r="AB31">
        <v>1</v>
      </c>
      <c r="AC31">
        <v>8</v>
      </c>
      <c r="AD31" t="s">
        <v>376</v>
      </c>
      <c r="AE31" t="s">
        <v>376</v>
      </c>
      <c r="AF31" t="s">
        <v>376</v>
      </c>
      <c r="AG31" t="s">
        <v>376</v>
      </c>
      <c r="AH31" t="s">
        <v>376</v>
      </c>
      <c r="AI31" t="s">
        <v>376</v>
      </c>
      <c r="AJ31" t="s">
        <v>376</v>
      </c>
      <c r="AK31" t="s">
        <v>376</v>
      </c>
      <c r="AL31">
        <v>2</v>
      </c>
    </row>
    <row r="32" spans="2:38" x14ac:dyDescent="0.25">
      <c r="F32" s="16">
        <v>16</v>
      </c>
      <c r="G32" s="104">
        <v>32</v>
      </c>
      <c r="H32" s="16">
        <v>31</v>
      </c>
      <c r="I32" s="16">
        <v>40</v>
      </c>
      <c r="J32" s="16">
        <v>29</v>
      </c>
      <c r="K32" s="16">
        <v>40</v>
      </c>
      <c r="L32" s="16" t="s">
        <v>376</v>
      </c>
      <c r="M32" s="16">
        <v>1</v>
      </c>
      <c r="N32" s="16" t="s">
        <v>376</v>
      </c>
      <c r="O32" s="16">
        <v>1</v>
      </c>
      <c r="P32" s="16" t="s">
        <v>376</v>
      </c>
      <c r="Q32" s="16">
        <v>1</v>
      </c>
      <c r="R32" s="16" t="s">
        <v>376</v>
      </c>
      <c r="S32" s="16">
        <v>1</v>
      </c>
      <c r="T32" s="16" t="s">
        <v>376</v>
      </c>
      <c r="U32" s="16">
        <v>1</v>
      </c>
      <c r="V32" s="16" t="s">
        <v>376</v>
      </c>
      <c r="W32" s="16">
        <v>1</v>
      </c>
      <c r="X32" s="16" t="s">
        <v>376</v>
      </c>
      <c r="Y32">
        <v>1</v>
      </c>
      <c r="Z32" t="s">
        <v>376</v>
      </c>
      <c r="AA32">
        <v>1</v>
      </c>
      <c r="AB32">
        <v>3</v>
      </c>
      <c r="AC32">
        <v>4</v>
      </c>
      <c r="AD32" t="s">
        <v>376</v>
      </c>
      <c r="AE32" t="s">
        <v>376</v>
      </c>
      <c r="AF32" t="s">
        <v>376</v>
      </c>
      <c r="AG32" t="s">
        <v>376</v>
      </c>
      <c r="AH32" t="s">
        <v>376</v>
      </c>
      <c r="AI32" t="s">
        <v>376</v>
      </c>
      <c r="AJ32" t="s">
        <v>376</v>
      </c>
      <c r="AK32" t="s">
        <v>376</v>
      </c>
      <c r="AL32">
        <v>2</v>
      </c>
    </row>
    <row r="33" spans="6:38" x14ac:dyDescent="0.25">
      <c r="F33" s="16">
        <v>17</v>
      </c>
      <c r="G33" s="104">
        <v>35</v>
      </c>
      <c r="H33" s="16">
        <v>15</v>
      </c>
      <c r="I33" s="16">
        <v>20</v>
      </c>
      <c r="J33" s="16">
        <v>16</v>
      </c>
      <c r="K33" s="16">
        <v>20</v>
      </c>
      <c r="L33" s="16" t="s">
        <v>376</v>
      </c>
      <c r="M33" s="16">
        <v>1</v>
      </c>
      <c r="N33" s="16" t="s">
        <v>376</v>
      </c>
      <c r="O33" s="16">
        <v>1</v>
      </c>
      <c r="P33" s="16" t="s">
        <v>376</v>
      </c>
      <c r="Q33" s="16">
        <v>1</v>
      </c>
      <c r="R33" s="16" t="s">
        <v>376</v>
      </c>
      <c r="S33" s="16">
        <v>1</v>
      </c>
      <c r="T33" s="16" t="s">
        <v>376</v>
      </c>
      <c r="U33" s="16">
        <v>1</v>
      </c>
      <c r="V33" s="16" t="s">
        <v>376</v>
      </c>
      <c r="W33" s="16">
        <v>1</v>
      </c>
      <c r="X33" s="16" t="s">
        <v>376</v>
      </c>
      <c r="Y33">
        <v>1</v>
      </c>
      <c r="Z33" t="s">
        <v>376</v>
      </c>
      <c r="AA33">
        <v>1</v>
      </c>
      <c r="AB33">
        <v>1</v>
      </c>
      <c r="AC33">
        <v>2</v>
      </c>
      <c r="AD33" t="s">
        <v>376</v>
      </c>
      <c r="AE33" t="s">
        <v>376</v>
      </c>
      <c r="AF33" t="s">
        <v>376</v>
      </c>
      <c r="AG33" t="s">
        <v>376</v>
      </c>
      <c r="AH33" t="s">
        <v>376</v>
      </c>
      <c r="AI33" t="s">
        <v>376</v>
      </c>
      <c r="AJ33" t="s">
        <v>376</v>
      </c>
      <c r="AK33" t="s">
        <v>376</v>
      </c>
      <c r="AL33">
        <v>2</v>
      </c>
    </row>
    <row r="34" spans="6:38" x14ac:dyDescent="0.25">
      <c r="F34" s="16">
        <v>18</v>
      </c>
      <c r="G34" s="104">
        <v>37</v>
      </c>
      <c r="H34" s="16">
        <v>14</v>
      </c>
      <c r="I34" s="16">
        <v>15</v>
      </c>
      <c r="J34" s="16">
        <v>14</v>
      </c>
      <c r="K34" s="16">
        <v>18</v>
      </c>
      <c r="L34" s="16" t="s">
        <v>376</v>
      </c>
      <c r="M34" s="16">
        <v>1</v>
      </c>
      <c r="N34" s="16" t="s">
        <v>376</v>
      </c>
      <c r="O34" s="16">
        <v>1</v>
      </c>
      <c r="P34" s="16" t="s">
        <v>376</v>
      </c>
      <c r="Q34" s="16">
        <v>1</v>
      </c>
      <c r="R34" s="16" t="s">
        <v>376</v>
      </c>
      <c r="S34" s="16">
        <v>1</v>
      </c>
      <c r="T34" s="16" t="s">
        <v>376</v>
      </c>
      <c r="U34" s="16">
        <v>1</v>
      </c>
      <c r="V34" s="16" t="s">
        <v>376</v>
      </c>
      <c r="W34" s="16">
        <v>1</v>
      </c>
      <c r="X34" s="16" t="s">
        <v>376</v>
      </c>
      <c r="Y34">
        <v>1</v>
      </c>
      <c r="Z34" t="s">
        <v>376</v>
      </c>
      <c r="AA34">
        <v>1</v>
      </c>
      <c r="AB34">
        <v>1</v>
      </c>
      <c r="AC34">
        <v>2</v>
      </c>
      <c r="AD34" t="s">
        <v>376</v>
      </c>
      <c r="AE34" t="s">
        <v>376</v>
      </c>
      <c r="AF34" t="s">
        <v>376</v>
      </c>
      <c r="AG34" t="s">
        <v>376</v>
      </c>
      <c r="AH34" t="s">
        <v>376</v>
      </c>
      <c r="AI34" t="s">
        <v>376</v>
      </c>
      <c r="AJ34" t="s">
        <v>376</v>
      </c>
      <c r="AK34" t="s">
        <v>376</v>
      </c>
      <c r="AL34">
        <v>2</v>
      </c>
    </row>
    <row r="35" spans="6:38" x14ac:dyDescent="0.25">
      <c r="F35" s="16">
        <v>19</v>
      </c>
      <c r="G35" s="104">
        <v>40</v>
      </c>
      <c r="H35" s="16">
        <v>8</v>
      </c>
      <c r="I35" s="16">
        <v>10</v>
      </c>
      <c r="J35" s="16">
        <v>7</v>
      </c>
      <c r="K35" s="16">
        <v>10</v>
      </c>
      <c r="L35" s="16" t="s">
        <v>376</v>
      </c>
      <c r="M35" s="16">
        <v>1</v>
      </c>
      <c r="N35" s="16" t="s">
        <v>376</v>
      </c>
      <c r="O35" s="16">
        <v>1</v>
      </c>
      <c r="P35" s="16" t="s">
        <v>376</v>
      </c>
      <c r="Q35" s="16">
        <v>1</v>
      </c>
      <c r="R35" s="16" t="s">
        <v>376</v>
      </c>
      <c r="S35" s="16">
        <v>1</v>
      </c>
      <c r="T35" s="16" t="s">
        <v>376</v>
      </c>
      <c r="U35" s="16">
        <v>1</v>
      </c>
      <c r="V35" s="16" t="s">
        <v>376</v>
      </c>
      <c r="W35" s="16">
        <v>1</v>
      </c>
      <c r="X35" s="16" t="s">
        <v>376</v>
      </c>
      <c r="Y35">
        <v>1</v>
      </c>
      <c r="Z35" t="s">
        <v>376</v>
      </c>
      <c r="AA35">
        <v>1</v>
      </c>
      <c r="AB35">
        <v>3</v>
      </c>
      <c r="AC35">
        <v>9</v>
      </c>
      <c r="AD35" t="s">
        <v>376</v>
      </c>
      <c r="AE35" t="s">
        <v>376</v>
      </c>
      <c r="AF35" t="s">
        <v>376</v>
      </c>
      <c r="AG35" t="s">
        <v>376</v>
      </c>
      <c r="AH35" t="s">
        <v>376</v>
      </c>
      <c r="AI35" t="s">
        <v>376</v>
      </c>
      <c r="AJ35" t="s">
        <v>376</v>
      </c>
      <c r="AK35" t="s">
        <v>376</v>
      </c>
      <c r="AL35">
        <v>2</v>
      </c>
    </row>
    <row r="36" spans="6:38" x14ac:dyDescent="0.25">
      <c r="F36" s="16">
        <v>20</v>
      </c>
      <c r="G36" s="104">
        <v>41</v>
      </c>
      <c r="H36" s="16">
        <v>11</v>
      </c>
      <c r="I36" s="16">
        <v>30</v>
      </c>
      <c r="J36" s="16">
        <v>21</v>
      </c>
      <c r="K36" s="16">
        <v>30</v>
      </c>
      <c r="L36" s="16" t="s">
        <v>376</v>
      </c>
      <c r="M36" s="16">
        <v>1</v>
      </c>
      <c r="N36" s="16" t="s">
        <v>376</v>
      </c>
      <c r="O36" s="16">
        <v>1</v>
      </c>
      <c r="P36" s="16" t="s">
        <v>376</v>
      </c>
      <c r="Q36" s="16">
        <v>1</v>
      </c>
      <c r="R36" s="16" t="s">
        <v>376</v>
      </c>
      <c r="S36" s="16">
        <v>1</v>
      </c>
      <c r="T36" s="16" t="s">
        <v>376</v>
      </c>
      <c r="U36" s="16">
        <v>1</v>
      </c>
      <c r="V36" s="16" t="s">
        <v>376</v>
      </c>
      <c r="W36" s="16">
        <v>1</v>
      </c>
      <c r="X36" s="16" t="s">
        <v>376</v>
      </c>
      <c r="Y36">
        <v>1</v>
      </c>
      <c r="Z36" t="s">
        <v>376</v>
      </c>
      <c r="AA36">
        <v>1</v>
      </c>
      <c r="AB36">
        <v>3</v>
      </c>
      <c r="AC36">
        <v>6</v>
      </c>
      <c r="AD36" t="s">
        <v>376</v>
      </c>
      <c r="AE36" t="s">
        <v>376</v>
      </c>
      <c r="AF36" t="s">
        <v>376</v>
      </c>
      <c r="AG36" t="s">
        <v>376</v>
      </c>
      <c r="AH36" t="s">
        <v>376</v>
      </c>
      <c r="AI36" t="s">
        <v>376</v>
      </c>
      <c r="AJ36" t="s">
        <v>376</v>
      </c>
      <c r="AK36" t="s">
        <v>376</v>
      </c>
      <c r="AL36">
        <v>2</v>
      </c>
    </row>
    <row r="37" spans="6:38" x14ac:dyDescent="0.25">
      <c r="F37" s="16">
        <v>21</v>
      </c>
      <c r="G37" s="104">
        <v>46</v>
      </c>
      <c r="H37" s="16">
        <v>25</v>
      </c>
      <c r="I37" s="16">
        <v>31</v>
      </c>
      <c r="J37" s="16">
        <v>18</v>
      </c>
      <c r="K37" s="16">
        <v>31</v>
      </c>
      <c r="L37" s="16" t="s">
        <v>376</v>
      </c>
      <c r="M37" s="16">
        <v>1</v>
      </c>
      <c r="N37" s="16" t="s">
        <v>376</v>
      </c>
      <c r="O37" s="16">
        <v>1</v>
      </c>
      <c r="P37" s="16" t="s">
        <v>376</v>
      </c>
      <c r="Q37" s="16">
        <v>1</v>
      </c>
      <c r="R37" s="16" t="s">
        <v>376</v>
      </c>
      <c r="S37" s="16">
        <v>1</v>
      </c>
      <c r="T37" s="16" t="s">
        <v>376</v>
      </c>
      <c r="U37" s="16">
        <v>1</v>
      </c>
      <c r="V37" s="16" t="s">
        <v>376</v>
      </c>
      <c r="W37" s="16">
        <v>1</v>
      </c>
      <c r="X37" s="16" t="s">
        <v>376</v>
      </c>
      <c r="Y37">
        <v>1</v>
      </c>
      <c r="Z37" t="s">
        <v>376</v>
      </c>
      <c r="AA37">
        <v>1</v>
      </c>
      <c r="AB37">
        <v>3</v>
      </c>
      <c r="AC37">
        <v>10</v>
      </c>
      <c r="AD37" t="s">
        <v>376</v>
      </c>
      <c r="AE37" t="s">
        <v>376</v>
      </c>
      <c r="AF37" t="s">
        <v>376</v>
      </c>
      <c r="AG37" t="s">
        <v>376</v>
      </c>
      <c r="AH37" t="s">
        <v>376</v>
      </c>
      <c r="AI37" t="s">
        <v>376</v>
      </c>
      <c r="AJ37" t="s">
        <v>376</v>
      </c>
      <c r="AK37" t="s">
        <v>376</v>
      </c>
      <c r="AL37">
        <v>2</v>
      </c>
    </row>
    <row r="38" spans="6:38" x14ac:dyDescent="0.25">
      <c r="F38" s="16">
        <v>22</v>
      </c>
      <c r="G38" s="104">
        <v>49</v>
      </c>
      <c r="H38" s="16">
        <v>45</v>
      </c>
      <c r="I38" s="16">
        <v>59</v>
      </c>
      <c r="J38" s="16">
        <v>45</v>
      </c>
      <c r="K38" s="16">
        <v>60</v>
      </c>
      <c r="L38" s="16" t="s">
        <v>376</v>
      </c>
      <c r="M38" s="16">
        <v>1</v>
      </c>
      <c r="N38" s="16" t="s">
        <v>376</v>
      </c>
      <c r="O38" s="16">
        <v>1</v>
      </c>
      <c r="P38" s="16" t="s">
        <v>376</v>
      </c>
      <c r="Q38" s="16">
        <v>1</v>
      </c>
      <c r="R38" s="16" t="s">
        <v>376</v>
      </c>
      <c r="S38" s="16">
        <v>1</v>
      </c>
      <c r="T38" s="16" t="s">
        <v>376</v>
      </c>
      <c r="U38" s="16">
        <v>1</v>
      </c>
      <c r="V38" s="16" t="s">
        <v>376</v>
      </c>
      <c r="W38" s="16">
        <v>1</v>
      </c>
      <c r="X38" s="16" t="s">
        <v>376</v>
      </c>
      <c r="Y38">
        <v>1</v>
      </c>
      <c r="Z38" t="s">
        <v>376</v>
      </c>
      <c r="AA38">
        <v>1</v>
      </c>
      <c r="AB38">
        <v>1</v>
      </c>
      <c r="AC38">
        <v>2</v>
      </c>
      <c r="AD38" t="s">
        <v>376</v>
      </c>
      <c r="AE38" t="s">
        <v>376</v>
      </c>
      <c r="AF38" t="s">
        <v>376</v>
      </c>
      <c r="AG38" t="s">
        <v>376</v>
      </c>
      <c r="AH38" t="s">
        <v>376</v>
      </c>
      <c r="AI38" t="s">
        <v>376</v>
      </c>
      <c r="AJ38" t="s">
        <v>376</v>
      </c>
      <c r="AK38" t="s">
        <v>376</v>
      </c>
      <c r="AL38">
        <v>2</v>
      </c>
    </row>
    <row r="39" spans="6:38" x14ac:dyDescent="0.25">
      <c r="F39" s="16">
        <v>23</v>
      </c>
      <c r="G39" s="104">
        <v>53</v>
      </c>
      <c r="H39" s="16">
        <v>49</v>
      </c>
      <c r="I39" s="16">
        <v>74</v>
      </c>
      <c r="J39" s="16">
        <v>52</v>
      </c>
      <c r="K39" s="16">
        <v>74</v>
      </c>
      <c r="L39" s="16" t="s">
        <v>376</v>
      </c>
      <c r="M39" s="16">
        <v>1</v>
      </c>
      <c r="N39" s="16" t="s">
        <v>376</v>
      </c>
      <c r="O39" s="16">
        <v>1</v>
      </c>
      <c r="P39" s="16" t="s">
        <v>376</v>
      </c>
      <c r="Q39" s="16">
        <v>1</v>
      </c>
      <c r="R39" s="16" t="s">
        <v>376</v>
      </c>
      <c r="S39" s="16">
        <v>1</v>
      </c>
      <c r="T39" s="16" t="s">
        <v>376</v>
      </c>
      <c r="U39" s="16">
        <v>1</v>
      </c>
      <c r="V39" s="16" t="s">
        <v>376</v>
      </c>
      <c r="W39" s="16">
        <v>1</v>
      </c>
      <c r="X39" s="16" t="s">
        <v>376</v>
      </c>
      <c r="Y39">
        <v>1</v>
      </c>
      <c r="Z39" t="s">
        <v>376</v>
      </c>
      <c r="AA39">
        <v>1</v>
      </c>
      <c r="AB39">
        <v>1</v>
      </c>
      <c r="AC39">
        <v>2</v>
      </c>
      <c r="AD39" t="s">
        <v>376</v>
      </c>
      <c r="AE39" t="s">
        <v>376</v>
      </c>
      <c r="AF39" t="s">
        <v>376</v>
      </c>
      <c r="AG39" t="s">
        <v>376</v>
      </c>
      <c r="AH39" t="s">
        <v>376</v>
      </c>
      <c r="AI39" t="s">
        <v>376</v>
      </c>
      <c r="AJ39" t="s">
        <v>376</v>
      </c>
      <c r="AK39" t="s">
        <v>376</v>
      </c>
      <c r="AL39">
        <v>2</v>
      </c>
    </row>
    <row r="40" spans="6:38" x14ac:dyDescent="0.25">
      <c r="F40" s="16">
        <v>24</v>
      </c>
      <c r="G40" s="104">
        <v>54</v>
      </c>
      <c r="H40" s="16">
        <v>29</v>
      </c>
      <c r="I40" s="16">
        <v>48</v>
      </c>
      <c r="J40" s="16">
        <v>23</v>
      </c>
      <c r="K40" s="16">
        <v>35</v>
      </c>
      <c r="L40" s="16" t="s">
        <v>376</v>
      </c>
      <c r="M40" s="16">
        <v>1</v>
      </c>
      <c r="N40" s="16" t="s">
        <v>376</v>
      </c>
      <c r="O40" s="16">
        <v>1</v>
      </c>
      <c r="P40" s="16" t="s">
        <v>376</v>
      </c>
      <c r="Q40" s="16">
        <v>1</v>
      </c>
      <c r="R40" s="16" t="s">
        <v>376</v>
      </c>
      <c r="S40" s="16">
        <v>1</v>
      </c>
      <c r="T40" s="16" t="s">
        <v>376</v>
      </c>
      <c r="U40" s="16">
        <v>1</v>
      </c>
      <c r="V40" s="16" t="s">
        <v>376</v>
      </c>
      <c r="W40" s="16">
        <v>1</v>
      </c>
      <c r="X40" t="s">
        <v>376</v>
      </c>
      <c r="Y40">
        <v>1</v>
      </c>
      <c r="Z40" t="s">
        <v>376</v>
      </c>
      <c r="AA40">
        <v>1</v>
      </c>
      <c r="AB40">
        <v>3</v>
      </c>
      <c r="AC40">
        <v>9</v>
      </c>
      <c r="AD40" t="s">
        <v>376</v>
      </c>
      <c r="AE40" t="s">
        <v>376</v>
      </c>
      <c r="AF40" t="s">
        <v>376</v>
      </c>
      <c r="AG40" t="s">
        <v>376</v>
      </c>
      <c r="AH40" t="s">
        <v>376</v>
      </c>
      <c r="AI40" t="s">
        <v>376</v>
      </c>
      <c r="AJ40" t="s">
        <v>376</v>
      </c>
      <c r="AK40" t="s">
        <v>376</v>
      </c>
      <c r="AL40">
        <v>2</v>
      </c>
    </row>
    <row r="41" spans="6:38" x14ac:dyDescent="0.25">
      <c r="F41" s="16">
        <v>25</v>
      </c>
      <c r="G41" s="104">
        <v>56</v>
      </c>
      <c r="H41" s="16">
        <v>20</v>
      </c>
      <c r="I41" s="16">
        <v>30</v>
      </c>
      <c r="J41" s="16">
        <v>24</v>
      </c>
      <c r="K41" s="16">
        <v>30</v>
      </c>
      <c r="L41" s="16" t="s">
        <v>376</v>
      </c>
      <c r="M41" s="16">
        <v>1</v>
      </c>
      <c r="N41" s="16" t="s">
        <v>376</v>
      </c>
      <c r="O41" s="16">
        <v>1</v>
      </c>
      <c r="P41" s="16" t="s">
        <v>376</v>
      </c>
      <c r="Q41" s="16">
        <v>1</v>
      </c>
      <c r="R41" s="16" t="s">
        <v>376</v>
      </c>
      <c r="S41" s="16">
        <v>1</v>
      </c>
      <c r="T41" s="16" t="s">
        <v>376</v>
      </c>
      <c r="U41" s="16">
        <v>1</v>
      </c>
      <c r="V41" s="16" t="s">
        <v>376</v>
      </c>
      <c r="W41" s="16">
        <v>1</v>
      </c>
      <c r="X41" t="s">
        <v>376</v>
      </c>
      <c r="Y41">
        <v>1</v>
      </c>
      <c r="Z41" t="s">
        <v>376</v>
      </c>
      <c r="AA41">
        <v>1</v>
      </c>
      <c r="AB41">
        <v>3</v>
      </c>
      <c r="AC41">
        <v>6</v>
      </c>
      <c r="AD41" t="s">
        <v>376</v>
      </c>
      <c r="AE41" t="s">
        <v>376</v>
      </c>
      <c r="AF41" t="s">
        <v>376</v>
      </c>
      <c r="AG41" t="s">
        <v>376</v>
      </c>
      <c r="AH41" t="s">
        <v>376</v>
      </c>
      <c r="AI41" t="s">
        <v>376</v>
      </c>
      <c r="AJ41" t="s">
        <v>376</v>
      </c>
      <c r="AK41" t="s">
        <v>376</v>
      </c>
      <c r="AL41">
        <v>2</v>
      </c>
    </row>
    <row r="42" spans="6:38" x14ac:dyDescent="0.25">
      <c r="F42" s="16">
        <v>26</v>
      </c>
      <c r="G42" s="104">
        <v>57</v>
      </c>
      <c r="H42" s="16">
        <v>21</v>
      </c>
      <c r="I42" s="16">
        <v>24</v>
      </c>
      <c r="J42" s="16">
        <v>16</v>
      </c>
      <c r="K42" s="16">
        <v>22</v>
      </c>
      <c r="L42" s="16" t="s">
        <v>376</v>
      </c>
      <c r="M42" s="16">
        <v>1</v>
      </c>
      <c r="N42" s="16" t="s">
        <v>376</v>
      </c>
      <c r="O42" s="16">
        <v>1</v>
      </c>
      <c r="P42" s="16" t="s">
        <v>376</v>
      </c>
      <c r="Q42" s="16">
        <v>1</v>
      </c>
      <c r="R42" s="16" t="s">
        <v>376</v>
      </c>
      <c r="S42" s="16">
        <v>1</v>
      </c>
      <c r="T42" s="16" t="s">
        <v>376</v>
      </c>
      <c r="U42" s="16">
        <v>1</v>
      </c>
      <c r="V42" s="16" t="s">
        <v>376</v>
      </c>
      <c r="W42" s="16">
        <v>1</v>
      </c>
      <c r="X42" t="s">
        <v>376</v>
      </c>
      <c r="Y42">
        <v>1</v>
      </c>
      <c r="Z42" t="s">
        <v>376</v>
      </c>
      <c r="AA42">
        <v>1</v>
      </c>
      <c r="AB42">
        <v>1</v>
      </c>
      <c r="AC42">
        <v>2</v>
      </c>
      <c r="AD42" t="s">
        <v>376</v>
      </c>
      <c r="AE42" t="s">
        <v>376</v>
      </c>
      <c r="AF42" t="s">
        <v>376</v>
      </c>
      <c r="AG42" t="s">
        <v>376</v>
      </c>
      <c r="AH42" t="s">
        <v>376</v>
      </c>
      <c r="AI42" t="s">
        <v>376</v>
      </c>
      <c r="AJ42" t="s">
        <v>376</v>
      </c>
      <c r="AK42" t="s">
        <v>376</v>
      </c>
      <c r="AL42">
        <v>2</v>
      </c>
    </row>
    <row r="43" spans="6:38" x14ac:dyDescent="0.25">
      <c r="F43" s="16">
        <v>27</v>
      </c>
      <c r="G43" s="104">
        <v>60</v>
      </c>
      <c r="H43" s="16">
        <v>27</v>
      </c>
      <c r="I43" s="16">
        <v>32</v>
      </c>
      <c r="J43" s="16">
        <v>13</v>
      </c>
      <c r="K43" s="16">
        <v>32</v>
      </c>
      <c r="L43" s="16" t="s">
        <v>376</v>
      </c>
      <c r="M43" s="16">
        <v>1</v>
      </c>
      <c r="N43" s="16" t="s">
        <v>376</v>
      </c>
      <c r="O43" s="16">
        <v>1</v>
      </c>
      <c r="P43" s="16" t="s">
        <v>376</v>
      </c>
      <c r="Q43" s="16">
        <v>1</v>
      </c>
      <c r="R43" s="16" t="s">
        <v>376</v>
      </c>
      <c r="S43" s="16">
        <v>1</v>
      </c>
      <c r="T43" s="16" t="s">
        <v>376</v>
      </c>
      <c r="U43" s="16">
        <v>1</v>
      </c>
      <c r="V43" s="16" t="s">
        <v>376</v>
      </c>
      <c r="W43" s="16">
        <v>1</v>
      </c>
      <c r="X43" t="s">
        <v>376</v>
      </c>
      <c r="Y43">
        <v>1</v>
      </c>
      <c r="Z43" t="s">
        <v>376</v>
      </c>
      <c r="AA43">
        <v>1</v>
      </c>
      <c r="AB43">
        <v>3</v>
      </c>
      <c r="AC43">
        <v>10</v>
      </c>
      <c r="AD43" t="s">
        <v>376</v>
      </c>
      <c r="AE43" t="s">
        <v>376</v>
      </c>
      <c r="AF43" t="s">
        <v>376</v>
      </c>
      <c r="AG43" t="s">
        <v>376</v>
      </c>
      <c r="AH43" t="s">
        <v>376</v>
      </c>
      <c r="AI43" t="s">
        <v>376</v>
      </c>
      <c r="AJ43" t="s">
        <v>376</v>
      </c>
      <c r="AK43" t="s">
        <v>376</v>
      </c>
      <c r="AL43">
        <v>2</v>
      </c>
    </row>
    <row r="44" spans="6:38" x14ac:dyDescent="0.25">
      <c r="F44" s="16">
        <v>28</v>
      </c>
      <c r="G44" s="104">
        <v>62</v>
      </c>
      <c r="H44" s="16">
        <v>21</v>
      </c>
      <c r="I44" s="16">
        <v>24</v>
      </c>
      <c r="J44" s="16">
        <v>19</v>
      </c>
      <c r="K44" s="16">
        <v>23</v>
      </c>
      <c r="L44" s="16" t="s">
        <v>376</v>
      </c>
      <c r="M44" s="16">
        <v>1</v>
      </c>
      <c r="N44" s="16" t="s">
        <v>376</v>
      </c>
      <c r="O44" s="16">
        <v>1</v>
      </c>
      <c r="P44" s="16" t="s">
        <v>376</v>
      </c>
      <c r="Q44" s="16">
        <v>1</v>
      </c>
      <c r="R44" s="16" t="s">
        <v>376</v>
      </c>
      <c r="S44" s="16">
        <v>1</v>
      </c>
      <c r="T44" s="16" t="s">
        <v>376</v>
      </c>
      <c r="U44" s="16">
        <v>1</v>
      </c>
      <c r="V44" s="16" t="s">
        <v>376</v>
      </c>
      <c r="W44" s="16">
        <v>1</v>
      </c>
      <c r="X44" t="s">
        <v>376</v>
      </c>
      <c r="Y44">
        <v>1</v>
      </c>
      <c r="Z44" t="s">
        <v>376</v>
      </c>
      <c r="AA44">
        <v>1</v>
      </c>
      <c r="AB44">
        <v>1</v>
      </c>
      <c r="AC44">
        <v>2</v>
      </c>
      <c r="AD44" t="s">
        <v>376</v>
      </c>
      <c r="AE44" t="s">
        <v>376</v>
      </c>
      <c r="AF44" t="s">
        <v>376</v>
      </c>
      <c r="AG44" t="s">
        <v>376</v>
      </c>
      <c r="AH44" t="s">
        <v>376</v>
      </c>
      <c r="AI44" t="s">
        <v>376</v>
      </c>
      <c r="AJ44" t="s">
        <v>376</v>
      </c>
      <c r="AK44" t="s">
        <v>376</v>
      </c>
      <c r="AL44">
        <v>2</v>
      </c>
    </row>
    <row r="45" spans="6:38" x14ac:dyDescent="0.25">
      <c r="F45" s="16">
        <v>29</v>
      </c>
      <c r="G45" s="104">
        <v>63</v>
      </c>
      <c r="H45" s="16">
        <v>15</v>
      </c>
      <c r="I45" s="16">
        <v>19</v>
      </c>
      <c r="J45" s="16">
        <v>11</v>
      </c>
      <c r="K45" s="16">
        <v>16</v>
      </c>
      <c r="L45" s="16" t="s">
        <v>376</v>
      </c>
      <c r="M45" s="16">
        <v>1</v>
      </c>
      <c r="N45" s="16" t="s">
        <v>376</v>
      </c>
      <c r="O45" s="16">
        <v>1</v>
      </c>
      <c r="P45" s="16" t="s">
        <v>376</v>
      </c>
      <c r="Q45" s="16">
        <v>1</v>
      </c>
      <c r="R45" s="16" t="s">
        <v>376</v>
      </c>
      <c r="S45" s="16">
        <v>1</v>
      </c>
      <c r="T45" s="16" t="s">
        <v>376</v>
      </c>
      <c r="U45" s="16">
        <v>1</v>
      </c>
      <c r="V45" s="16" t="s">
        <v>376</v>
      </c>
      <c r="W45" s="16">
        <v>1</v>
      </c>
      <c r="X45" t="s">
        <v>376</v>
      </c>
      <c r="Y45">
        <v>1</v>
      </c>
      <c r="Z45" t="s">
        <v>376</v>
      </c>
      <c r="AA45">
        <v>1</v>
      </c>
      <c r="AB45">
        <v>1</v>
      </c>
      <c r="AC45">
        <v>2</v>
      </c>
      <c r="AD45" t="s">
        <v>376</v>
      </c>
      <c r="AE45" t="s">
        <v>376</v>
      </c>
      <c r="AF45" t="s">
        <v>376</v>
      </c>
      <c r="AG45" t="s">
        <v>376</v>
      </c>
      <c r="AH45" t="s">
        <v>376</v>
      </c>
      <c r="AI45" t="s">
        <v>376</v>
      </c>
      <c r="AJ45" t="s">
        <v>376</v>
      </c>
      <c r="AK45" t="s">
        <v>376</v>
      </c>
      <c r="AL45">
        <v>2</v>
      </c>
    </row>
    <row r="46" spans="6:38" x14ac:dyDescent="0.25">
      <c r="F46" s="16">
        <v>30</v>
      </c>
      <c r="G46" s="104">
        <v>65</v>
      </c>
      <c r="H46">
        <v>16</v>
      </c>
      <c r="I46">
        <v>18</v>
      </c>
      <c r="J46">
        <v>14</v>
      </c>
      <c r="K46">
        <v>16</v>
      </c>
      <c r="L46" t="s">
        <v>376</v>
      </c>
      <c r="M46">
        <v>1</v>
      </c>
      <c r="N46" t="s">
        <v>376</v>
      </c>
      <c r="O46">
        <v>1</v>
      </c>
      <c r="P46" t="s">
        <v>376</v>
      </c>
      <c r="Q46">
        <v>1</v>
      </c>
      <c r="R46" t="s">
        <v>376</v>
      </c>
      <c r="S46">
        <v>1</v>
      </c>
      <c r="T46" t="s">
        <v>376</v>
      </c>
      <c r="U46">
        <v>1</v>
      </c>
      <c r="V46" t="s">
        <v>376</v>
      </c>
      <c r="W46">
        <v>1</v>
      </c>
      <c r="X46" t="s">
        <v>376</v>
      </c>
      <c r="Y46">
        <v>1</v>
      </c>
      <c r="Z46" t="s">
        <v>376</v>
      </c>
      <c r="AA46">
        <v>1</v>
      </c>
      <c r="AB46">
        <v>1</v>
      </c>
      <c r="AC46">
        <v>3</v>
      </c>
      <c r="AD46" t="s">
        <v>376</v>
      </c>
      <c r="AE46" t="s">
        <v>376</v>
      </c>
      <c r="AF46" t="s">
        <v>376</v>
      </c>
      <c r="AG46" t="s">
        <v>376</v>
      </c>
      <c r="AH46" t="s">
        <v>376</v>
      </c>
      <c r="AI46" t="s">
        <v>376</v>
      </c>
      <c r="AJ46" t="s">
        <v>376</v>
      </c>
      <c r="AK46" t="s">
        <v>376</v>
      </c>
      <c r="AL46">
        <v>2</v>
      </c>
    </row>
    <row r="47" spans="6:38" x14ac:dyDescent="0.25">
      <c r="F47" s="16">
        <v>31</v>
      </c>
      <c r="G47" s="104">
        <v>67</v>
      </c>
      <c r="H47">
        <v>55</v>
      </c>
      <c r="I47">
        <v>67</v>
      </c>
      <c r="J47">
        <v>45</v>
      </c>
      <c r="K47">
        <v>62</v>
      </c>
      <c r="L47" t="s">
        <v>376</v>
      </c>
      <c r="M47">
        <v>1</v>
      </c>
      <c r="N47" t="s">
        <v>376</v>
      </c>
      <c r="O47">
        <v>1</v>
      </c>
      <c r="P47" t="s">
        <v>376</v>
      </c>
      <c r="Q47">
        <v>1</v>
      </c>
      <c r="R47" t="s">
        <v>376</v>
      </c>
      <c r="S47">
        <v>1</v>
      </c>
      <c r="T47" t="s">
        <v>376</v>
      </c>
      <c r="U47">
        <v>1</v>
      </c>
      <c r="V47" t="s">
        <v>376</v>
      </c>
      <c r="W47">
        <v>1</v>
      </c>
      <c r="X47" t="s">
        <v>376</v>
      </c>
      <c r="Y47">
        <v>1</v>
      </c>
      <c r="Z47" t="s">
        <v>376</v>
      </c>
      <c r="AA47">
        <v>1</v>
      </c>
      <c r="AB47">
        <v>4</v>
      </c>
      <c r="AC47">
        <v>6</v>
      </c>
      <c r="AD47" t="s">
        <v>376</v>
      </c>
      <c r="AE47" t="s">
        <v>376</v>
      </c>
      <c r="AF47" t="s">
        <v>376</v>
      </c>
      <c r="AG47" t="s">
        <v>376</v>
      </c>
      <c r="AH47" t="s">
        <v>376</v>
      </c>
      <c r="AI47" t="s">
        <v>376</v>
      </c>
      <c r="AJ47" t="s">
        <v>376</v>
      </c>
      <c r="AK47" t="s">
        <v>376</v>
      </c>
      <c r="AL47">
        <v>2</v>
      </c>
    </row>
    <row r="48" spans="6:38" x14ac:dyDescent="0.25">
      <c r="F48" s="16">
        <v>32</v>
      </c>
      <c r="G48" s="104">
        <v>26</v>
      </c>
      <c r="H48">
        <v>47</v>
      </c>
      <c r="I48">
        <v>69</v>
      </c>
      <c r="J48">
        <v>51</v>
      </c>
      <c r="K48">
        <v>71</v>
      </c>
      <c r="L48" t="s">
        <v>376</v>
      </c>
      <c r="M48">
        <v>1</v>
      </c>
      <c r="N48" t="s">
        <v>376</v>
      </c>
      <c r="O48">
        <v>1</v>
      </c>
      <c r="P48" t="s">
        <v>376</v>
      </c>
      <c r="Q48">
        <v>1</v>
      </c>
      <c r="R48" t="s">
        <v>376</v>
      </c>
      <c r="S48">
        <v>1</v>
      </c>
      <c r="T48" t="s">
        <v>376</v>
      </c>
      <c r="U48">
        <v>1</v>
      </c>
      <c r="V48" t="s">
        <v>376</v>
      </c>
      <c r="W48">
        <v>1</v>
      </c>
      <c r="X48" t="s">
        <v>376</v>
      </c>
      <c r="Y48">
        <v>1</v>
      </c>
      <c r="Z48" t="s">
        <v>376</v>
      </c>
      <c r="AA48">
        <v>1</v>
      </c>
      <c r="AB48">
        <v>1</v>
      </c>
      <c r="AC48">
        <v>9</v>
      </c>
      <c r="AD48" t="s">
        <v>376</v>
      </c>
      <c r="AE48" t="s">
        <v>376</v>
      </c>
      <c r="AF48" t="s">
        <v>376</v>
      </c>
      <c r="AG48" t="s">
        <v>376</v>
      </c>
      <c r="AH48" t="s">
        <v>376</v>
      </c>
      <c r="AI48" t="s">
        <v>376</v>
      </c>
      <c r="AJ48" t="s">
        <v>376</v>
      </c>
      <c r="AK48" t="s">
        <v>376</v>
      </c>
      <c r="AL48">
        <v>2</v>
      </c>
    </row>
    <row r="49" spans="6:38" x14ac:dyDescent="0.25">
      <c r="F49" s="16">
        <v>33</v>
      </c>
      <c r="G49" s="104">
        <v>30</v>
      </c>
      <c r="H49">
        <v>7</v>
      </c>
      <c r="I49">
        <v>12</v>
      </c>
      <c r="J49">
        <v>2</v>
      </c>
      <c r="K49">
        <v>11</v>
      </c>
      <c r="L49" t="s">
        <v>376</v>
      </c>
      <c r="M49">
        <v>1</v>
      </c>
      <c r="N49" t="s">
        <v>376</v>
      </c>
      <c r="O49">
        <v>1</v>
      </c>
      <c r="P49" t="s">
        <v>376</v>
      </c>
      <c r="Q49">
        <v>1</v>
      </c>
      <c r="R49" t="s">
        <v>376</v>
      </c>
      <c r="S49">
        <v>1</v>
      </c>
      <c r="T49" t="s">
        <v>376</v>
      </c>
      <c r="U49">
        <v>1</v>
      </c>
      <c r="V49" t="s">
        <v>376</v>
      </c>
      <c r="W49">
        <v>1</v>
      </c>
      <c r="X49" t="s">
        <v>376</v>
      </c>
      <c r="Y49">
        <v>1</v>
      </c>
      <c r="Z49" t="s">
        <v>376</v>
      </c>
      <c r="AA49">
        <v>1</v>
      </c>
      <c r="AB49">
        <v>9</v>
      </c>
      <c r="AC49">
        <v>10</v>
      </c>
      <c r="AD49" t="s">
        <v>376</v>
      </c>
      <c r="AE49" t="s">
        <v>376</v>
      </c>
      <c r="AF49" t="s">
        <v>376</v>
      </c>
      <c r="AG49" t="s">
        <v>376</v>
      </c>
      <c r="AH49" t="s">
        <v>376</v>
      </c>
      <c r="AI49" t="s">
        <v>376</v>
      </c>
      <c r="AJ49" t="s">
        <v>376</v>
      </c>
      <c r="AK49" t="s">
        <v>376</v>
      </c>
      <c r="AL49">
        <v>2</v>
      </c>
    </row>
    <row r="50" spans="6:38" x14ac:dyDescent="0.25">
      <c r="F50" s="16">
        <v>34</v>
      </c>
      <c r="G50" s="104">
        <v>31</v>
      </c>
      <c r="H50">
        <v>8</v>
      </c>
      <c r="I50">
        <v>11</v>
      </c>
      <c r="J50">
        <v>2</v>
      </c>
      <c r="K50">
        <v>10</v>
      </c>
      <c r="L50" t="s">
        <v>376</v>
      </c>
      <c r="M50">
        <v>1</v>
      </c>
      <c r="N50" t="s">
        <v>376</v>
      </c>
      <c r="O50">
        <v>1</v>
      </c>
      <c r="P50" t="s">
        <v>376</v>
      </c>
      <c r="Q50">
        <v>1</v>
      </c>
      <c r="R50" t="s">
        <v>376</v>
      </c>
      <c r="S50">
        <v>1</v>
      </c>
      <c r="T50" t="s">
        <v>376</v>
      </c>
      <c r="U50">
        <v>1</v>
      </c>
      <c r="V50" t="s">
        <v>376</v>
      </c>
      <c r="W50">
        <v>1</v>
      </c>
      <c r="X50" t="s">
        <v>376</v>
      </c>
      <c r="Y50">
        <v>1</v>
      </c>
      <c r="Z50" t="s">
        <v>376</v>
      </c>
      <c r="AA50">
        <v>1</v>
      </c>
      <c r="AB50">
        <v>9</v>
      </c>
      <c r="AC50">
        <v>10</v>
      </c>
      <c r="AD50" t="s">
        <v>376</v>
      </c>
      <c r="AE50" t="s">
        <v>376</v>
      </c>
      <c r="AF50" t="s">
        <v>376</v>
      </c>
      <c r="AG50" t="s">
        <v>376</v>
      </c>
      <c r="AH50" t="s">
        <v>376</v>
      </c>
      <c r="AI50" t="s">
        <v>376</v>
      </c>
      <c r="AJ50" t="s">
        <v>376</v>
      </c>
      <c r="AK50" t="s">
        <v>376</v>
      </c>
      <c r="AL50">
        <v>2</v>
      </c>
    </row>
    <row r="51" spans="6:38" x14ac:dyDescent="0.25">
      <c r="F51" s="16">
        <v>35</v>
      </c>
      <c r="G51" s="104">
        <v>29</v>
      </c>
      <c r="H51">
        <v>12</v>
      </c>
      <c r="I51">
        <v>24</v>
      </c>
      <c r="J51">
        <v>1</v>
      </c>
      <c r="K51">
        <v>23</v>
      </c>
      <c r="L51" t="s">
        <v>376</v>
      </c>
      <c r="M51">
        <v>1</v>
      </c>
      <c r="N51" t="s">
        <v>376</v>
      </c>
      <c r="O51">
        <v>1</v>
      </c>
      <c r="P51" t="s">
        <v>376</v>
      </c>
      <c r="Q51">
        <v>1</v>
      </c>
      <c r="R51" t="s">
        <v>376</v>
      </c>
      <c r="S51">
        <v>1</v>
      </c>
      <c r="T51" t="s">
        <v>376</v>
      </c>
      <c r="U51">
        <v>1</v>
      </c>
      <c r="V51" t="s">
        <v>376</v>
      </c>
      <c r="W51">
        <v>1</v>
      </c>
      <c r="X51" t="s">
        <v>376</v>
      </c>
      <c r="Y51">
        <v>1</v>
      </c>
      <c r="Z51" t="s">
        <v>376</v>
      </c>
      <c r="AA51">
        <v>1</v>
      </c>
      <c r="AB51">
        <v>9</v>
      </c>
      <c r="AC51">
        <v>10</v>
      </c>
      <c r="AD51" t="s">
        <v>376</v>
      </c>
      <c r="AE51" t="s">
        <v>376</v>
      </c>
      <c r="AF51" t="s">
        <v>376</v>
      </c>
      <c r="AG51" t="s">
        <v>376</v>
      </c>
      <c r="AH51" t="s">
        <v>376</v>
      </c>
      <c r="AI51" t="s">
        <v>376</v>
      </c>
      <c r="AJ51" t="s">
        <v>376</v>
      </c>
      <c r="AK51" t="s">
        <v>376</v>
      </c>
      <c r="AL51">
        <v>2</v>
      </c>
    </row>
    <row r="52" spans="6:38" x14ac:dyDescent="0.25">
      <c r="F52" s="16">
        <v>36</v>
      </c>
      <c r="G52" s="104">
        <v>36</v>
      </c>
      <c r="H52">
        <v>47</v>
      </c>
      <c r="I52">
        <v>64</v>
      </c>
      <c r="J52">
        <v>28</v>
      </c>
      <c r="K52">
        <v>63</v>
      </c>
      <c r="L52" t="s">
        <v>376</v>
      </c>
      <c r="M52">
        <v>1</v>
      </c>
      <c r="N52" t="s">
        <v>376</v>
      </c>
      <c r="O52">
        <v>1</v>
      </c>
      <c r="P52" t="s">
        <v>376</v>
      </c>
      <c r="Q52">
        <v>1</v>
      </c>
      <c r="R52" t="s">
        <v>376</v>
      </c>
      <c r="S52">
        <v>1</v>
      </c>
      <c r="T52" t="s">
        <v>376</v>
      </c>
      <c r="U52">
        <v>1</v>
      </c>
      <c r="V52" t="s">
        <v>376</v>
      </c>
      <c r="W52">
        <v>1</v>
      </c>
      <c r="X52" t="s">
        <v>376</v>
      </c>
      <c r="Y52">
        <v>1</v>
      </c>
      <c r="Z52" t="s">
        <v>376</v>
      </c>
      <c r="AA52">
        <v>1</v>
      </c>
      <c r="AB52">
        <v>1</v>
      </c>
      <c r="AC52">
        <v>9</v>
      </c>
      <c r="AD52" t="s">
        <v>376</v>
      </c>
      <c r="AE52" t="s">
        <v>376</v>
      </c>
      <c r="AF52" t="s">
        <v>376</v>
      </c>
      <c r="AG52" t="s">
        <v>376</v>
      </c>
      <c r="AH52" t="s">
        <v>376</v>
      </c>
      <c r="AI52" t="s">
        <v>376</v>
      </c>
      <c r="AJ52" t="s">
        <v>376</v>
      </c>
      <c r="AK52" t="s">
        <v>376</v>
      </c>
      <c r="AL52">
        <v>2</v>
      </c>
    </row>
    <row r="53" spans="6:38" x14ac:dyDescent="0.25">
      <c r="F53" s="16">
        <v>37</v>
      </c>
      <c r="G53" s="104">
        <v>45</v>
      </c>
      <c r="H53">
        <v>13</v>
      </c>
      <c r="I53">
        <v>15</v>
      </c>
      <c r="J53">
        <v>3</v>
      </c>
      <c r="K53">
        <v>15</v>
      </c>
      <c r="L53" t="s">
        <v>376</v>
      </c>
      <c r="M53">
        <v>1</v>
      </c>
      <c r="N53" t="s">
        <v>376</v>
      </c>
      <c r="O53">
        <v>1</v>
      </c>
      <c r="P53" t="s">
        <v>376</v>
      </c>
      <c r="Q53">
        <v>1</v>
      </c>
      <c r="R53" t="s">
        <v>376</v>
      </c>
      <c r="S53">
        <v>1</v>
      </c>
      <c r="T53" t="s">
        <v>376</v>
      </c>
      <c r="U53">
        <v>1</v>
      </c>
      <c r="V53" t="s">
        <v>376</v>
      </c>
      <c r="W53">
        <v>1</v>
      </c>
      <c r="X53" t="s">
        <v>376</v>
      </c>
      <c r="Y53">
        <v>1</v>
      </c>
      <c r="Z53" t="s">
        <v>376</v>
      </c>
      <c r="AA53">
        <v>1</v>
      </c>
      <c r="AB53">
        <v>9</v>
      </c>
      <c r="AC53">
        <v>10</v>
      </c>
      <c r="AD53" t="s">
        <v>376</v>
      </c>
      <c r="AE53" t="s">
        <v>376</v>
      </c>
      <c r="AF53" t="s">
        <v>376</v>
      </c>
      <c r="AG53" t="s">
        <v>376</v>
      </c>
      <c r="AH53" t="s">
        <v>376</v>
      </c>
      <c r="AI53" t="s">
        <v>376</v>
      </c>
      <c r="AJ53" t="s">
        <v>376</v>
      </c>
      <c r="AK53" t="s">
        <v>376</v>
      </c>
      <c r="AL53">
        <v>2</v>
      </c>
    </row>
    <row r="54" spans="6:38" x14ac:dyDescent="0.25">
      <c r="F54" s="16">
        <v>38</v>
      </c>
      <c r="G54" s="104">
        <v>55</v>
      </c>
      <c r="H54">
        <v>17</v>
      </c>
      <c r="I54">
        <v>22</v>
      </c>
      <c r="J54">
        <v>5</v>
      </c>
      <c r="K54">
        <v>21</v>
      </c>
      <c r="L54" t="s">
        <v>376</v>
      </c>
      <c r="M54">
        <v>1</v>
      </c>
      <c r="N54" t="s">
        <v>376</v>
      </c>
      <c r="O54">
        <v>1</v>
      </c>
      <c r="P54" t="s">
        <v>376</v>
      </c>
      <c r="Q54">
        <v>1</v>
      </c>
      <c r="R54" t="s">
        <v>376</v>
      </c>
      <c r="S54">
        <v>1</v>
      </c>
      <c r="T54" t="s">
        <v>376</v>
      </c>
      <c r="U54">
        <v>1</v>
      </c>
      <c r="V54" t="s">
        <v>376</v>
      </c>
      <c r="W54">
        <v>1</v>
      </c>
      <c r="X54" t="s">
        <v>376</v>
      </c>
      <c r="Y54">
        <v>1</v>
      </c>
      <c r="Z54" t="s">
        <v>376</v>
      </c>
      <c r="AA54">
        <v>1</v>
      </c>
      <c r="AB54">
        <v>9</v>
      </c>
      <c r="AC54">
        <v>10</v>
      </c>
      <c r="AD54" t="s">
        <v>376</v>
      </c>
      <c r="AE54" t="s">
        <v>376</v>
      </c>
      <c r="AF54" t="s">
        <v>376</v>
      </c>
      <c r="AG54" t="s">
        <v>376</v>
      </c>
      <c r="AH54" t="s">
        <v>376</v>
      </c>
      <c r="AI54" t="s">
        <v>376</v>
      </c>
      <c r="AJ54" t="s">
        <v>376</v>
      </c>
      <c r="AK54" t="s">
        <v>376</v>
      </c>
      <c r="AL54">
        <v>2</v>
      </c>
    </row>
    <row r="55" spans="6:38" x14ac:dyDescent="0.25">
      <c r="F55" s="16">
        <v>39</v>
      </c>
      <c r="G55" s="104">
        <v>59</v>
      </c>
      <c r="H55">
        <v>7</v>
      </c>
      <c r="I55">
        <v>9</v>
      </c>
      <c r="J55">
        <v>7</v>
      </c>
      <c r="K55">
        <v>10</v>
      </c>
      <c r="L55" t="s">
        <v>376</v>
      </c>
      <c r="M55">
        <v>1</v>
      </c>
      <c r="N55" t="s">
        <v>376</v>
      </c>
      <c r="O55">
        <v>1</v>
      </c>
      <c r="P55" t="s">
        <v>376</v>
      </c>
      <c r="Q55">
        <v>1</v>
      </c>
      <c r="R55" t="s">
        <v>376</v>
      </c>
      <c r="S55">
        <v>1</v>
      </c>
      <c r="T55" t="s">
        <v>376</v>
      </c>
      <c r="U55">
        <v>1</v>
      </c>
      <c r="V55" t="s">
        <v>376</v>
      </c>
      <c r="W55">
        <v>1</v>
      </c>
      <c r="X55" t="s">
        <v>376</v>
      </c>
      <c r="Y55">
        <v>1</v>
      </c>
      <c r="Z55" t="s">
        <v>376</v>
      </c>
      <c r="AA55">
        <v>1</v>
      </c>
      <c r="AB55">
        <v>1</v>
      </c>
      <c r="AC55">
        <v>9</v>
      </c>
      <c r="AD55" t="s">
        <v>376</v>
      </c>
      <c r="AE55" t="s">
        <v>376</v>
      </c>
      <c r="AF55" t="s">
        <v>376</v>
      </c>
      <c r="AG55" t="s">
        <v>376</v>
      </c>
      <c r="AH55" t="s">
        <v>376</v>
      </c>
      <c r="AI55" t="s">
        <v>376</v>
      </c>
      <c r="AJ55" t="s">
        <v>376</v>
      </c>
      <c r="AK55" t="s">
        <v>376</v>
      </c>
      <c r="AL55">
        <v>2</v>
      </c>
    </row>
    <row r="56" spans="6:38" x14ac:dyDescent="0.25">
      <c r="F56" s="16"/>
      <c r="G56" s="104"/>
      <c r="H56" t="s">
        <v>377</v>
      </c>
    </row>
    <row r="57" spans="6:38" x14ac:dyDescent="0.25">
      <c r="F57" s="16"/>
      <c r="G57" s="104"/>
    </row>
    <row r="58" spans="6:38" x14ac:dyDescent="0.25">
      <c r="F58" s="16"/>
      <c r="G58" s="104"/>
    </row>
    <row r="59" spans="6:38" x14ac:dyDescent="0.25">
      <c r="G59" s="104"/>
    </row>
    <row r="60" spans="6:38" x14ac:dyDescent="0.25">
      <c r="G60" s="104"/>
    </row>
    <row r="61" spans="6:38" x14ac:dyDescent="0.25">
      <c r="G61" s="104"/>
    </row>
    <row r="62" spans="6:38" x14ac:dyDescent="0.25">
      <c r="G62" s="104"/>
    </row>
  </sheetData>
  <mergeCells count="1">
    <mergeCell ref="B2:C2"/>
  </mergeCells>
  <conditionalFormatting sqref="H27 H17:K26 H15:K15 H13:K13">
    <cfRule type="expression" dxfId="1" priority="1">
      <formula>H13="NA"</formula>
    </cfRule>
  </conditionalFormatting>
  <pageMargins left="0.7" right="0.7" top="0.75" bottom="0.75" header="0.3" footer="0.3"/>
  <pageSetup orientation="portrait" r:id="rId1"/>
  <customProperties>
    <customPr name="SSCSheetTrackingNo" r:id="rId2"/>
  </customPropertie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3"/>
  </sheetPr>
  <dimension ref="B1:Z20"/>
  <sheetViews>
    <sheetView showGridLines="0" zoomScale="120" zoomScaleNormal="120" workbookViewId="0">
      <selection activeCell="H5" sqref="H5"/>
    </sheetView>
  </sheetViews>
  <sheetFormatPr defaultRowHeight="15" x14ac:dyDescent="0.25"/>
  <cols>
    <col min="1" max="1" width="6.28515625" customWidth="1"/>
    <col min="2" max="2" width="21.85546875" customWidth="1"/>
    <col min="3" max="3" width="12.5703125" bestFit="1" customWidth="1"/>
    <col min="4" max="4" width="8.85546875" customWidth="1"/>
    <col min="5" max="5" width="8.85546875" hidden="1" customWidth="1"/>
    <col min="6" max="6" width="11.140625" customWidth="1"/>
    <col min="7" max="7" width="20" customWidth="1"/>
    <col min="8" max="8" width="4.7109375" bestFit="1" customWidth="1"/>
    <col min="9" max="9" width="5.140625" bestFit="1" customWidth="1"/>
    <col min="10" max="10" width="4.7109375" bestFit="1" customWidth="1"/>
    <col min="11" max="11" width="5.140625" bestFit="1" customWidth="1"/>
    <col min="12" max="12" width="4.7109375" bestFit="1" customWidth="1"/>
    <col min="13" max="13" width="5.140625" bestFit="1" customWidth="1"/>
    <col min="14" max="14" width="4.7109375" bestFit="1" customWidth="1"/>
    <col min="15" max="15" width="5.140625" bestFit="1" customWidth="1"/>
    <col min="16" max="16" width="4.7109375" bestFit="1" customWidth="1"/>
    <col min="17" max="17" width="5.140625" bestFit="1" customWidth="1"/>
  </cols>
  <sheetData>
    <row r="1" spans="2:26" ht="87" customHeight="1" thickBot="1" x14ac:dyDescent="0.3">
      <c r="J1" s="22" t="s">
        <v>121</v>
      </c>
    </row>
    <row r="2" spans="2:26" ht="19.5" thickBot="1" x14ac:dyDescent="0.35">
      <c r="B2" s="256" t="s">
        <v>13</v>
      </c>
      <c r="C2" s="257"/>
      <c r="H2" s="9" t="s">
        <v>127</v>
      </c>
      <c r="I2" s="10"/>
      <c r="J2" s="10"/>
      <c r="K2" s="10"/>
      <c r="L2" s="10"/>
      <c r="M2" s="10"/>
      <c r="N2" s="10"/>
      <c r="O2" s="10"/>
      <c r="P2" s="10"/>
      <c r="Q2" s="10"/>
      <c r="R2" s="10"/>
      <c r="S2" s="10"/>
      <c r="T2" s="10"/>
    </row>
    <row r="3" spans="2:26" ht="15.75" thickBot="1" x14ac:dyDescent="0.3">
      <c r="B3" s="4" t="s">
        <v>8</v>
      </c>
      <c r="C3" s="3" t="s">
        <v>7</v>
      </c>
      <c r="H3" t="s">
        <v>868</v>
      </c>
    </row>
    <row r="4" spans="2:26" x14ac:dyDescent="0.25">
      <c r="B4" s="5" t="str">
        <f>IF('DATA Input'!E5="","",'DATA Input'!E5)</f>
        <v>INDOIV</v>
      </c>
      <c r="C4" s="1">
        <f>IF(B4="","",1)</f>
        <v>1</v>
      </c>
      <c r="H4" t="s">
        <v>869</v>
      </c>
    </row>
    <row r="5" spans="2:26" x14ac:dyDescent="0.25">
      <c r="B5" s="5" t="str">
        <f>IF('DATA Input'!G5="","",'DATA Input'!G5)</f>
        <v>IBUIV</v>
      </c>
      <c r="C5" s="1">
        <f>IF(B5="","",C4+1)</f>
        <v>2</v>
      </c>
      <c r="H5" t="s">
        <v>870</v>
      </c>
    </row>
    <row r="6" spans="2:26" ht="15.75" x14ac:dyDescent="0.25">
      <c r="B6" s="5" t="str">
        <f>IF('DATA Input'!I5="","",'DATA Input'!I5)</f>
        <v>IBUPO</v>
      </c>
      <c r="C6" s="1">
        <f t="shared" ref="C6:C18" si="0">IF(B6="","",C5+1)</f>
        <v>3</v>
      </c>
      <c r="H6" s="9" t="s">
        <v>126</v>
      </c>
      <c r="I6" s="10"/>
      <c r="J6" s="10"/>
      <c r="K6" s="10"/>
      <c r="L6" s="10"/>
      <c r="M6" s="10"/>
      <c r="N6" s="10"/>
      <c r="O6" s="10"/>
      <c r="P6" s="10"/>
      <c r="Q6" s="10"/>
      <c r="R6" s="10"/>
      <c r="S6" s="10"/>
      <c r="T6" s="10"/>
    </row>
    <row r="7" spans="2:26" x14ac:dyDescent="0.25">
      <c r="B7" s="5" t="str">
        <f>IF('DATA Input'!K$5="","",'DATA Input'!K$5)</f>
        <v>PARAPO</v>
      </c>
      <c r="C7" s="1">
        <f t="shared" si="0"/>
        <v>4</v>
      </c>
      <c r="H7" t="s">
        <v>801</v>
      </c>
    </row>
    <row r="8" spans="2:26" x14ac:dyDescent="0.25">
      <c r="B8" s="5" t="str">
        <f>IF('DATA Input'!M$5="","",'DATA Input'!M$5)</f>
        <v>IBUIVHIGHDOSE</v>
      </c>
      <c r="C8" s="1">
        <f t="shared" si="0"/>
        <v>5</v>
      </c>
      <c r="H8" t="s">
        <v>802</v>
      </c>
    </row>
    <row r="9" spans="2:26" x14ac:dyDescent="0.25">
      <c r="B9" s="5" t="str">
        <f>IF('DATA Input'!O$5="","",'DATA Input'!O$5)</f>
        <v>IBUPOHIGHDOSE</v>
      </c>
      <c r="C9" s="1">
        <f t="shared" si="0"/>
        <v>6</v>
      </c>
      <c r="H9" t="s">
        <v>803</v>
      </c>
    </row>
    <row r="10" spans="2:26" x14ac:dyDescent="0.25">
      <c r="B10" s="5" t="str">
        <f>IF('DATA Input'!Q$5="","",'DATA Input'!Q$5)</f>
        <v>IBUIVCONT</v>
      </c>
      <c r="C10" s="1">
        <f t="shared" si="0"/>
        <v>7</v>
      </c>
      <c r="H10" s="258" t="s">
        <v>128</v>
      </c>
      <c r="I10" s="258"/>
      <c r="J10" s="258"/>
      <c r="K10" s="258"/>
      <c r="L10" s="258"/>
      <c r="M10" s="258"/>
      <c r="N10" s="258"/>
      <c r="O10" s="258"/>
      <c r="P10" s="258"/>
      <c r="Q10" s="258"/>
      <c r="R10" s="258"/>
      <c r="S10" s="258"/>
      <c r="T10" s="258"/>
      <c r="U10" s="258"/>
      <c r="V10" s="258"/>
      <c r="W10" s="258"/>
    </row>
    <row r="11" spans="2:26" x14ac:dyDescent="0.25">
      <c r="B11" s="5" t="str">
        <f>IF('DATA Input'!S$5="","",'DATA Input'!S$5)</f>
        <v>INDOIVCONT</v>
      </c>
      <c r="C11" s="1">
        <f t="shared" si="0"/>
        <v>8</v>
      </c>
      <c r="H11" t="s">
        <v>853</v>
      </c>
    </row>
    <row r="12" spans="2:26" x14ac:dyDescent="0.25">
      <c r="B12" s="5" t="str">
        <f>IF('DATA Input'!U$5="","",'DATA Input'!U$5)</f>
        <v>INDOTHERS</v>
      </c>
      <c r="C12" s="1">
        <f t="shared" si="0"/>
        <v>9</v>
      </c>
      <c r="F12" s="51"/>
      <c r="G12" s="7"/>
      <c r="H12" s="16"/>
      <c r="I12" s="16"/>
      <c r="J12" s="16"/>
      <c r="K12" s="16"/>
      <c r="L12" s="16"/>
      <c r="M12" s="16"/>
      <c r="N12" s="16"/>
      <c r="O12" s="16"/>
      <c r="P12" s="16"/>
      <c r="Q12" s="16"/>
    </row>
    <row r="13" spans="2:26" x14ac:dyDescent="0.25">
      <c r="B13" s="5" t="str">
        <f>IF('DATA Input'!W$5="","",'DATA Input'!W$5)</f>
        <v>PLAC_NORX</v>
      </c>
      <c r="C13" s="1">
        <f t="shared" si="0"/>
        <v>10</v>
      </c>
      <c r="F13" s="16"/>
      <c r="H13" s="16"/>
      <c r="I13" s="16"/>
      <c r="J13" s="16"/>
      <c r="K13" s="16"/>
      <c r="L13" s="16"/>
      <c r="M13" s="16"/>
      <c r="N13" s="16"/>
      <c r="O13" s="16"/>
      <c r="P13" s="16"/>
      <c r="Q13" s="16"/>
      <c r="R13" s="16"/>
      <c r="S13" s="16"/>
      <c r="T13" s="16"/>
      <c r="U13" s="16"/>
      <c r="V13" s="16"/>
      <c r="W13" s="16"/>
      <c r="X13" s="16"/>
      <c r="Y13" s="16"/>
      <c r="Z13" s="16"/>
    </row>
    <row r="14" spans="2:26" x14ac:dyDescent="0.25">
      <c r="B14" s="5" t="str">
        <f>IF('DATA Input'!Y$5="","",'DATA Input'!Y$5)</f>
        <v/>
      </c>
      <c r="C14" s="1" t="str">
        <f t="shared" si="0"/>
        <v/>
      </c>
      <c r="F14" s="16"/>
      <c r="H14" s="16"/>
      <c r="I14" s="16"/>
      <c r="J14" s="16"/>
      <c r="K14" s="16"/>
      <c r="L14" s="16"/>
      <c r="M14" s="16"/>
      <c r="N14" s="16"/>
      <c r="O14" s="16"/>
      <c r="P14" s="16"/>
      <c r="Q14" s="16"/>
      <c r="R14" s="16"/>
      <c r="S14" s="16"/>
      <c r="T14" s="16"/>
      <c r="U14" s="16"/>
      <c r="V14" s="16"/>
      <c r="W14" s="16"/>
      <c r="X14" s="16"/>
      <c r="Y14" s="16"/>
      <c r="Z14" s="16"/>
    </row>
    <row r="15" spans="2:26" x14ac:dyDescent="0.25">
      <c r="B15" s="5" t="str">
        <f>IF('DATA Input'!AA$5="","",'DATA Input'!AA$5)</f>
        <v/>
      </c>
      <c r="C15" s="1" t="str">
        <f t="shared" si="0"/>
        <v/>
      </c>
      <c r="F15" s="16"/>
      <c r="H15" s="16"/>
      <c r="I15" s="16"/>
      <c r="J15" s="16"/>
      <c r="K15" s="16"/>
      <c r="L15" s="16"/>
      <c r="M15" s="16"/>
      <c r="N15" s="16"/>
      <c r="O15" s="16"/>
      <c r="P15" s="16"/>
      <c r="Q15" s="16"/>
      <c r="R15" s="16"/>
      <c r="S15" s="16"/>
      <c r="T15" s="16"/>
      <c r="U15" s="16"/>
      <c r="V15" s="16"/>
      <c r="W15" s="16"/>
      <c r="X15" s="16"/>
      <c r="Y15" s="16"/>
      <c r="Z15" s="16"/>
    </row>
    <row r="16" spans="2:26" x14ac:dyDescent="0.25">
      <c r="B16" s="5" t="str">
        <f>IF('DATA Input'!AC$5="","",'DATA Input'!AC$5)</f>
        <v/>
      </c>
      <c r="C16" s="1" t="str">
        <f t="shared" si="0"/>
        <v/>
      </c>
      <c r="F16" s="16"/>
      <c r="H16" s="16"/>
      <c r="I16" s="16"/>
      <c r="J16" s="16"/>
      <c r="K16" s="16"/>
      <c r="L16" s="16"/>
      <c r="M16" s="16"/>
      <c r="N16" s="16"/>
      <c r="O16" s="16"/>
      <c r="P16" s="16"/>
      <c r="Q16" s="16"/>
      <c r="R16" s="16"/>
      <c r="S16" s="16"/>
      <c r="T16" s="16"/>
      <c r="U16" s="16"/>
      <c r="V16" s="16"/>
      <c r="W16" s="16"/>
      <c r="X16" s="16"/>
      <c r="Y16" s="16"/>
      <c r="Z16" s="16"/>
    </row>
    <row r="17" spans="2:26" x14ac:dyDescent="0.25">
      <c r="B17" s="5" t="str">
        <f>IF('DATA Input'!AE$5="","",'DATA Input'!AE$5)</f>
        <v/>
      </c>
      <c r="C17" s="1" t="str">
        <f t="shared" si="0"/>
        <v/>
      </c>
      <c r="F17" s="16"/>
      <c r="H17" s="16"/>
      <c r="I17" s="16"/>
      <c r="J17" s="16"/>
      <c r="K17" s="16"/>
      <c r="L17" s="16"/>
      <c r="M17" s="16"/>
      <c r="N17" s="16"/>
      <c r="O17" s="16"/>
      <c r="P17" s="16"/>
      <c r="Q17" s="16"/>
      <c r="R17" s="16"/>
      <c r="S17" s="16"/>
      <c r="T17" s="16"/>
      <c r="U17" s="16"/>
      <c r="V17" s="16"/>
      <c r="W17" s="16"/>
      <c r="X17" s="16"/>
      <c r="Y17" s="16"/>
      <c r="Z17" s="16"/>
    </row>
    <row r="18" spans="2:26" ht="15.75" thickBot="1" x14ac:dyDescent="0.3">
      <c r="B18" s="6" t="str">
        <f>IF('DATA Input'!AG$5="","",'DATA Input'!AG$5)</f>
        <v/>
      </c>
      <c r="C18" s="2" t="str">
        <f t="shared" si="0"/>
        <v/>
      </c>
      <c r="F18" s="16"/>
      <c r="H18" s="16"/>
      <c r="I18" s="16"/>
      <c r="J18" s="16"/>
      <c r="K18" s="16"/>
      <c r="L18" s="16"/>
      <c r="M18" s="16"/>
      <c r="N18" s="16"/>
      <c r="O18" s="16"/>
      <c r="P18" s="16"/>
      <c r="Q18" s="16"/>
      <c r="R18" s="16"/>
      <c r="S18" s="16"/>
      <c r="T18" s="16"/>
      <c r="U18" s="16"/>
      <c r="V18" s="16"/>
      <c r="W18" s="16"/>
      <c r="X18" s="16"/>
      <c r="Y18" s="16"/>
      <c r="Z18" s="16"/>
    </row>
    <row r="19" spans="2:26" x14ac:dyDescent="0.25">
      <c r="F19" s="16"/>
      <c r="H19" s="16"/>
      <c r="I19" s="16"/>
      <c r="J19" s="16"/>
      <c r="K19" s="16"/>
      <c r="L19" s="16"/>
      <c r="M19" s="16"/>
      <c r="N19" s="16"/>
      <c r="O19" s="16"/>
      <c r="P19" s="16"/>
      <c r="Q19" s="16"/>
      <c r="R19" s="16"/>
      <c r="S19" s="16"/>
      <c r="T19" s="16"/>
      <c r="U19" s="16"/>
      <c r="V19" s="16"/>
      <c r="W19" s="16"/>
      <c r="X19" s="16"/>
      <c r="Y19" s="16"/>
      <c r="Z19" s="16"/>
    </row>
    <row r="20" spans="2:26" x14ac:dyDescent="0.25">
      <c r="F20" s="16"/>
      <c r="H20" s="16"/>
      <c r="I20" s="16"/>
      <c r="J20" s="16"/>
      <c r="K20" s="16"/>
      <c r="L20" s="16"/>
      <c r="M20" s="16"/>
      <c r="N20" s="16"/>
      <c r="O20" s="16"/>
      <c r="P20" s="16"/>
      <c r="Q20" s="16"/>
      <c r="R20" s="16"/>
      <c r="S20" s="16"/>
      <c r="T20" s="16"/>
      <c r="U20" s="16"/>
      <c r="V20" s="16"/>
      <c r="W20" s="16"/>
      <c r="X20" s="16"/>
      <c r="Y20" s="16"/>
      <c r="Z20" s="16"/>
    </row>
  </sheetData>
  <mergeCells count="2">
    <mergeCell ref="B2:C2"/>
    <mergeCell ref="H10:W10"/>
  </mergeCells>
  <conditionalFormatting sqref="H13:K20">
    <cfRule type="expression" dxfId="0" priority="1">
      <formula>H13="NA"</formula>
    </cfRule>
  </conditionalFormatting>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C00000"/>
  </sheetPr>
  <dimension ref="D5:K148"/>
  <sheetViews>
    <sheetView showGridLines="0" tabSelected="1" workbookViewId="0">
      <selection activeCell="B150" sqref="B150"/>
    </sheetView>
  </sheetViews>
  <sheetFormatPr defaultRowHeight="15" x14ac:dyDescent="0.25"/>
  <cols>
    <col min="4" max="4" width="55.28515625" customWidth="1"/>
    <col min="5" max="5" width="11.42578125" customWidth="1"/>
    <col min="6" max="6" width="9.28515625" customWidth="1"/>
    <col min="7" max="7" width="12.42578125" customWidth="1"/>
    <col min="8" max="10" width="14.7109375" bestFit="1" customWidth="1"/>
  </cols>
  <sheetData>
    <row r="5" spans="4:5" ht="16.5" thickBot="1" x14ac:dyDescent="0.3">
      <c r="D5" s="204" t="s">
        <v>280</v>
      </c>
    </row>
    <row r="6" spans="4:5" ht="15.75" thickBot="1" x14ac:dyDescent="0.3">
      <c r="D6" s="207" t="s">
        <v>274</v>
      </c>
      <c r="E6" s="208" t="s">
        <v>275</v>
      </c>
    </row>
    <row r="7" spans="4:5" x14ac:dyDescent="0.25">
      <c r="D7" s="205" t="s">
        <v>287</v>
      </c>
      <c r="E7" s="206">
        <f>num_treatments</f>
        <v>10</v>
      </c>
    </row>
    <row r="8" spans="4:5" x14ac:dyDescent="0.25">
      <c r="D8" s="179" t="s">
        <v>14</v>
      </c>
      <c r="E8" s="181">
        <f>num_studies</f>
        <v>39</v>
      </c>
    </row>
    <row r="9" spans="4:5" x14ac:dyDescent="0.25">
      <c r="D9" s="179" t="s">
        <v>288</v>
      </c>
      <c r="E9" s="182">
        <f>max_total</f>
        <v>3018</v>
      </c>
    </row>
    <row r="10" spans="4:5" x14ac:dyDescent="0.25">
      <c r="D10" s="179" t="s">
        <v>289</v>
      </c>
      <c r="E10" s="182">
        <f>SUM('DATA Input'!E7:E55,'DATA Input'!G7:G56,'DATA Input'!I7:I56,'DATA Input'!K7:K56,'DATA Input'!M7:M56,'DATA Input'!O7:O56,'DATA Input'!Q7:Q56,'DATA Input'!S7:S56,'DATA Input'!U7:U56,'DATA Input'!W7:W56,'DATA Input'!Y7:Y56,'DATA Input'!AA7:AA56,'DATA Input'!AC7:AC56,'DATA Input'!AE7:AE56,'DATA Input'!AG7:AG56)</f>
        <v>1975</v>
      </c>
    </row>
    <row r="11" spans="4:5" x14ac:dyDescent="0.25">
      <c r="D11" s="179" t="s">
        <v>290</v>
      </c>
      <c r="E11" s="181">
        <f>COMBIN(E7,2)</f>
        <v>45</v>
      </c>
    </row>
    <row r="12" spans="4:5" x14ac:dyDescent="0.25">
      <c r="D12" s="179" t="s">
        <v>291</v>
      </c>
      <c r="E12" s="181">
        <f>Unique_connections(list)</f>
        <v>17</v>
      </c>
    </row>
    <row r="13" spans="4:5" x14ac:dyDescent="0.25">
      <c r="D13" s="179" t="s">
        <v>292</v>
      </c>
      <c r="E13" s="181">
        <f ca="1">COUNTIF(OFFSET('WINBUGS data'!G17:G66,0,MATCH("na[]",'WINBUGS data'!H16:BE16,0)),"2")</f>
        <v>39</v>
      </c>
    </row>
    <row r="14" spans="4:5" x14ac:dyDescent="0.25">
      <c r="D14" s="179" t="s">
        <v>293</v>
      </c>
      <c r="E14" s="181">
        <f ca="1">COUNTIF(OFFSET('WINBUGS data'!G17:G66,0,MATCH("na[]",'WINBUGS data'!H16:BE16,0)),"&gt;2")</f>
        <v>0</v>
      </c>
    </row>
    <row r="15" spans="4:5" x14ac:dyDescent="0.25">
      <c r="D15" s="179" t="s">
        <v>296</v>
      </c>
      <c r="E15" s="181">
        <f>No_zero('DATA Input'!E7:AH56)</f>
        <v>39</v>
      </c>
    </row>
    <row r="16" spans="4:5" x14ac:dyDescent="0.25">
      <c r="D16" s="179" t="s">
        <v>294</v>
      </c>
      <c r="E16" s="181">
        <f>num_studies-E15</f>
        <v>0</v>
      </c>
    </row>
    <row r="17" spans="4:11" ht="15.75" thickBot="1" x14ac:dyDescent="0.3">
      <c r="D17" s="180" t="s">
        <v>295</v>
      </c>
      <c r="E17" s="183">
        <f>All_zero('DATA Input'!E7:AH56)</f>
        <v>0</v>
      </c>
    </row>
    <row r="18" spans="4:11" x14ac:dyDescent="0.25">
      <c r="D18" s="177"/>
    </row>
    <row r="19" spans="4:11" hidden="1" x14ac:dyDescent="0.25">
      <c r="D19" s="177"/>
    </row>
    <row r="20" spans="4:11" x14ac:dyDescent="0.25">
      <c r="D20" s="177"/>
    </row>
    <row r="21" spans="4:11" ht="16.5" thickBot="1" x14ac:dyDescent="0.3">
      <c r="D21" s="259" t="s">
        <v>286</v>
      </c>
      <c r="E21" s="259"/>
      <c r="F21" s="259"/>
    </row>
    <row r="22" spans="4:11" ht="8.25" hidden="1" customHeight="1" thickBot="1" x14ac:dyDescent="0.3">
      <c r="D22" s="194" t="s">
        <v>277</v>
      </c>
      <c r="E22" s="194"/>
      <c r="F22" s="194"/>
      <c r="G22" s="194"/>
      <c r="H22" s="194"/>
      <c r="I22" s="194"/>
      <c r="J22" s="194"/>
      <c r="K22" s="47"/>
    </row>
    <row r="23" spans="4:11" ht="15.75" thickBot="1" x14ac:dyDescent="0.3">
      <c r="D23" s="212" t="s">
        <v>277</v>
      </c>
      <c r="E23" s="213" t="s">
        <v>283</v>
      </c>
      <c r="F23" s="213" t="s">
        <v>278</v>
      </c>
      <c r="G23" s="213" t="s">
        <v>279</v>
      </c>
      <c r="H23" s="213" t="s">
        <v>284</v>
      </c>
      <c r="I23" s="213" t="s">
        <v>281</v>
      </c>
      <c r="J23" s="208" t="s">
        <v>282</v>
      </c>
    </row>
    <row r="24" spans="4:11" x14ac:dyDescent="0.25">
      <c r="D24" s="205" t="str">
        <f>IF('DATA Input'!$E$5="","",'DATA Input'!$E$5)</f>
        <v>INDOIV</v>
      </c>
      <c r="E24" s="209">
        <f>COUNTIF('DATA Input'!$F$7:$F$56,"&lt;&gt;")</f>
        <v>18</v>
      </c>
      <c r="F24" s="209">
        <f>SUM('DATA Input'!$E$7:$E$56)</f>
        <v>538</v>
      </c>
      <c r="G24" s="209">
        <f>SUM('DATA Input'!$F$7:$F$56)</f>
        <v>692</v>
      </c>
      <c r="H24" s="210">
        <f>F24/G24</f>
        <v>0.7774566473988439</v>
      </c>
      <c r="I24" s="210">
        <f>MinRate(1,'DATA Input'!$E$7:$AH$56)</f>
        <v>0.662162184715271</v>
      </c>
      <c r="J24" s="211">
        <f>MaxRate(1,'DATA Input'!$E$7:$AH$56)</f>
        <v>0.94594591856002808</v>
      </c>
    </row>
    <row r="25" spans="4:11" x14ac:dyDescent="0.25">
      <c r="D25" s="179" t="str">
        <f>IF('DATA Input'!$G$5="","",'DATA Input'!$G$5)</f>
        <v>IBUIV</v>
      </c>
      <c r="E25" s="185">
        <f>COUNTIF('DATA Input'!$H$7:$H$56,"&lt;&gt;")</f>
        <v>15</v>
      </c>
      <c r="F25" s="184">
        <f>SUM('DATA Input'!$G$7:$G$56)</f>
        <v>411</v>
      </c>
      <c r="G25" s="185">
        <f>SUM('DATA Input'!$H$7:$H$56)</f>
        <v>611</v>
      </c>
      <c r="H25" s="188">
        <f t="shared" ref="H25:H38" si="0">F25/G25</f>
        <v>0.67266775777414078</v>
      </c>
      <c r="I25" s="188">
        <f>MinRate(2,'DATA Input'!$E$7:$AH$56)</f>
        <v>0.57142859697341919</v>
      </c>
      <c r="J25" s="190">
        <f>MaxRate(2,'DATA Input'!$E$7:$AH$56)</f>
        <v>0.82608693838119507</v>
      </c>
    </row>
    <row r="26" spans="4:11" x14ac:dyDescent="0.25">
      <c r="D26" s="179" t="str">
        <f>IF('DATA Input'!$I$5="","",'DATA Input'!$I$5)</f>
        <v>IBUPO</v>
      </c>
      <c r="E26" s="185">
        <f>COUNTIF('DATA Input'!$J$7:$J$56,"&lt;&gt;")</f>
        <v>13</v>
      </c>
      <c r="F26" s="184">
        <f>SUM('DATA Input'!$I$7:$I$56)</f>
        <v>316</v>
      </c>
      <c r="G26" s="185">
        <f>SUM('DATA Input'!$J$7:$J$56)</f>
        <v>449</v>
      </c>
      <c r="H26" s="188">
        <f t="shared" si="0"/>
        <v>0.70378619153674837</v>
      </c>
      <c r="I26" s="188">
        <f>MinRate(3,'DATA Input'!$E$7:$AH$56)</f>
        <v>0.36666667461395264</v>
      </c>
      <c r="J26" s="190">
        <f>MaxRate(3,'DATA Input'!$E$7:$AH$56)</f>
        <v>0.88461536169052124</v>
      </c>
    </row>
    <row r="27" spans="4:11" x14ac:dyDescent="0.25">
      <c r="D27" s="179" t="str">
        <f>IF('DATA Input'!$K$5="","",'DATA Input'!$K$5)</f>
        <v>PARAPO</v>
      </c>
      <c r="E27" s="184">
        <f>COUNTIF('DATA Input'!$L$7:$L$56,"&lt;&gt;")</f>
        <v>4</v>
      </c>
      <c r="F27" s="184">
        <f>SUM('DATA Input'!$K$7:$K$56)</f>
        <v>164</v>
      </c>
      <c r="G27" s="184">
        <f>SUM('DATA Input'!$L$7:$L$56)</f>
        <v>223</v>
      </c>
      <c r="H27" s="188">
        <f t="shared" si="0"/>
        <v>0.73542600896860988</v>
      </c>
      <c r="I27" s="188">
        <f>MinRate(4,'DATA Input'!$E$7:$AH$56)</f>
        <v>0.5625</v>
      </c>
      <c r="J27" s="190">
        <f>MaxRate(4,'DATA Input'!$E$7:$AH$56)</f>
        <v>0.97222220897674561</v>
      </c>
    </row>
    <row r="28" spans="4:11" x14ac:dyDescent="0.25">
      <c r="D28" s="179" t="str">
        <f>IF('DATA Input'!$M$5="","",'DATA Input'!$M$5)</f>
        <v>IBUIVHIGHDOSE</v>
      </c>
      <c r="E28" s="184">
        <f>COUNTIF('DATA Input'!$N$7:$N$56,"&lt;&gt;")</f>
        <v>1</v>
      </c>
      <c r="F28" s="184">
        <f>SUM('DATA Input'!$M$7:$M$56)</f>
        <v>30</v>
      </c>
      <c r="G28" s="184">
        <f>SUM('DATA Input'!$N$7:$N$56)</f>
        <v>35</v>
      </c>
      <c r="H28" s="188">
        <f t="shared" si="0"/>
        <v>0.8571428571428571</v>
      </c>
      <c r="I28" s="188">
        <f>MinRate(5,'DATA Input'!$E$7:$AH$56)</f>
        <v>0.8571428656578064</v>
      </c>
      <c r="J28" s="190">
        <f>MaxRate(5,'DATA Input'!$E$7:$AH$56)</f>
        <v>0.8571428656578064</v>
      </c>
    </row>
    <row r="29" spans="4:11" x14ac:dyDescent="0.25">
      <c r="D29" s="179" t="str">
        <f>IF('DATA Input'!$O$5="","",'DATA Input'!$O$5)</f>
        <v>IBUPOHIGHDOSE</v>
      </c>
      <c r="E29" s="184">
        <f>COUNTIF('DATA Input'!$P$7:$P$56,"&lt;&gt;")</f>
        <v>3</v>
      </c>
      <c r="F29" s="184">
        <f>SUM('DATA Input'!$O$7:$O$56)</f>
        <v>90</v>
      </c>
      <c r="G29" s="184">
        <f>SUM('DATA Input'!$P$7:$P$56)</f>
        <v>122</v>
      </c>
      <c r="H29" s="188">
        <f t="shared" si="0"/>
        <v>0.73770491803278693</v>
      </c>
      <c r="I29" s="188">
        <f>MinRate(6,'DATA Input'!$E$7:$AH$56)</f>
        <v>0.69999998807907104</v>
      </c>
      <c r="J29" s="190">
        <f>MaxRate(6,'DATA Input'!$E$7:$AH$56)</f>
        <v>0.80000001192092896</v>
      </c>
    </row>
    <row r="30" spans="4:11" x14ac:dyDescent="0.25">
      <c r="D30" s="179" t="str">
        <f>IF('DATA Input'!$Q$5="","",'DATA Input'!$Q$5)</f>
        <v>IBUIVCONT</v>
      </c>
      <c r="E30" s="184">
        <f>COUNTIF('DATA Input'!$R$7:$R$56,"&lt;&gt;")</f>
        <v>1</v>
      </c>
      <c r="F30" s="184">
        <f>SUM('DATA Input'!$Q$7:$Q$56)</f>
        <v>27</v>
      </c>
      <c r="G30" s="184">
        <f>SUM('DATA Input'!$R$7:$R$56)</f>
        <v>55</v>
      </c>
      <c r="H30" s="188">
        <f t="shared" si="0"/>
        <v>0.49090909090909091</v>
      </c>
      <c r="I30" s="188">
        <f>MinRate(7,'DATA Input'!$E$7:$AH$56)</f>
        <v>0.49090909957885742</v>
      </c>
      <c r="J30" s="190">
        <f>MaxRate(7,'DATA Input'!$E$7:$AH$56)</f>
        <v>0.49090909957885742</v>
      </c>
    </row>
    <row r="31" spans="4:11" x14ac:dyDescent="0.25">
      <c r="D31" s="179" t="str">
        <f>IF('DATA Input'!$S$5="","",'DATA Input'!$S$5)</f>
        <v>INDOIVCONT</v>
      </c>
      <c r="E31" s="184">
        <f>COUNTIF('DATA Input'!$T$7:$T$56,"&lt;&gt;")</f>
        <v>3</v>
      </c>
      <c r="F31" s="184">
        <f>SUM('DATA Input'!$S$7:$S$56)</f>
        <v>41</v>
      </c>
      <c r="G31" s="184">
        <f>SUM('DATA Input'!$T$7:$T$56)</f>
        <v>58</v>
      </c>
      <c r="H31" s="188">
        <f t="shared" si="0"/>
        <v>0.7068965517241379</v>
      </c>
      <c r="I31" s="188">
        <f>MinRate(8,'DATA Input'!$E$7:$AH$56)</f>
        <v>0.55555558204650879</v>
      </c>
      <c r="J31" s="190">
        <f>MaxRate(8,'DATA Input'!$E$7:$AH$56)</f>
        <v>0.8888888955116272</v>
      </c>
    </row>
    <row r="32" spans="4:11" x14ac:dyDescent="0.25">
      <c r="D32" s="179" t="str">
        <f>IF('DATA Input'!$U$5="","",'DATA Input'!$U$5)</f>
        <v>INDOTHERS</v>
      </c>
      <c r="E32" s="184">
        <f>COUNTIF('DATA Input'!$V$7:$V$56,"&lt;&gt;")</f>
        <v>10</v>
      </c>
      <c r="F32" s="184">
        <f>SUM('DATA Input'!$U$7:$U$56)</f>
        <v>173</v>
      </c>
      <c r="G32" s="184">
        <f>SUM('DATA Input'!$V$7:$V$56)</f>
        <v>273</v>
      </c>
      <c r="H32" s="188">
        <f t="shared" si="0"/>
        <v>0.63369963369963367</v>
      </c>
      <c r="I32" s="188">
        <f>MinRate(9,'DATA Input'!$E$7:$AH$56)</f>
        <v>0.4444444477558136</v>
      </c>
      <c r="J32" s="190">
        <f>MaxRate(9,'DATA Input'!$E$7:$AH$56)</f>
        <v>0.86666667461395264</v>
      </c>
    </row>
    <row r="33" spans="4:10" ht="15.75" thickBot="1" x14ac:dyDescent="0.3">
      <c r="D33" s="179" t="str">
        <f>IF('DATA Input'!$W$5="","",'DATA Input'!$W$5)</f>
        <v>PLAC_NORX</v>
      </c>
      <c r="E33" s="184">
        <f>COUNTIF('DATA Input'!$X$7:$X$56,"&lt;&gt;")</f>
        <v>10</v>
      </c>
      <c r="F33" s="184">
        <f>SUM('DATA Input'!$W$7:$W$56)</f>
        <v>185</v>
      </c>
      <c r="G33" s="184">
        <f>SUM('DATA Input'!$X$7:$X$56)</f>
        <v>500</v>
      </c>
      <c r="H33" s="188">
        <f t="shared" si="0"/>
        <v>0.37</v>
      </c>
      <c r="I33" s="188">
        <f>MinRate(10,'DATA Input'!$E$7:$AH$56)</f>
        <v>4.3478261679410934E-2</v>
      </c>
      <c r="J33" s="190">
        <f>MaxRate(10,'DATA Input'!$E$7:$AH$56)</f>
        <v>0.73684209585189819</v>
      </c>
    </row>
    <row r="34" spans="4:10" hidden="1" x14ac:dyDescent="0.25">
      <c r="D34" s="186" t="str">
        <f>IF('DATA Input'!$Y$5="","",'DATA Input'!$Y$5)</f>
        <v/>
      </c>
      <c r="E34" s="184">
        <f>COUNTIF('DATA Input'!$Z$7:$Z$56,"&lt;&gt;")</f>
        <v>0</v>
      </c>
      <c r="F34" s="184">
        <f>SUM('DATA Input'!$Y$7:$Y$56)</f>
        <v>0</v>
      </c>
      <c r="G34" s="184">
        <f>SUM('DATA Input'!$Z$7:$Z$56)</f>
        <v>0</v>
      </c>
      <c r="H34" s="188" t="e">
        <f t="shared" si="0"/>
        <v>#DIV/0!</v>
      </c>
      <c r="I34" s="188">
        <f>MinRate(11,'DATA Input'!$E$7:$AH$56)</f>
        <v>1</v>
      </c>
      <c r="J34" s="190">
        <f>MaxRate(11,'DATA Input'!$E$7:$AH$56)</f>
        <v>0</v>
      </c>
    </row>
    <row r="35" spans="4:10" hidden="1" x14ac:dyDescent="0.25">
      <c r="D35" s="179" t="str">
        <f>IF('DATA Input'!$AA$5="","",'DATA Input'!$AA$5)</f>
        <v/>
      </c>
      <c r="E35" s="184">
        <f>COUNTIF('DATA Input'!$AB$7:$AB$56,"&lt;&gt;")</f>
        <v>0</v>
      </c>
      <c r="F35" s="184">
        <f>SUM('DATA Input'!$AA$7:$AA$56)</f>
        <v>0</v>
      </c>
      <c r="G35" s="184">
        <f>SUM('DATA Input'!$AB$7:$AB$56)</f>
        <v>0</v>
      </c>
      <c r="H35" s="188" t="e">
        <f t="shared" si="0"/>
        <v>#DIV/0!</v>
      </c>
      <c r="I35" s="188">
        <f>MinRate(12,'DATA Input'!$E$7:$AH$56)</f>
        <v>1</v>
      </c>
      <c r="J35" s="190">
        <f>MaxRate(12,'DATA Input'!$E$7:$AH$56)</f>
        <v>0</v>
      </c>
    </row>
    <row r="36" spans="4:10" hidden="1" x14ac:dyDescent="0.25">
      <c r="D36" s="179" t="str">
        <f>IF('DATA Input'!$AC$5="","",'DATA Input'!$AC$5)</f>
        <v/>
      </c>
      <c r="E36" s="184">
        <f>COUNTIF('DATA Input'!$AD$7:$AD$56,"&lt;&gt;")</f>
        <v>0</v>
      </c>
      <c r="F36" s="184">
        <f>SUM('DATA Input'!$AC$7:$AC$56)</f>
        <v>0</v>
      </c>
      <c r="G36" s="184">
        <f>SUM('DATA Input'!$AD$7:$AD$56)</f>
        <v>0</v>
      </c>
      <c r="H36" s="188" t="e">
        <f t="shared" si="0"/>
        <v>#DIV/0!</v>
      </c>
      <c r="I36" s="188">
        <f>MinRate(13,'DATA Input'!$E$7:$AH$56)</f>
        <v>1</v>
      </c>
      <c r="J36" s="190">
        <f>MaxRate(13,'DATA Input'!$E$7:$AH$56)</f>
        <v>0</v>
      </c>
    </row>
    <row r="37" spans="4:10" hidden="1" x14ac:dyDescent="0.25">
      <c r="D37" s="179" t="str">
        <f>IF('DATA Input'!$AE$5="","",'DATA Input'!$AE$5)</f>
        <v/>
      </c>
      <c r="E37" s="185">
        <f>COUNTIF('DATA Input'!$AF$7:$AF$56,"&lt;&gt;")</f>
        <v>0</v>
      </c>
      <c r="F37" s="184">
        <f>SUM('DATA Input'!$AE$7:$AE$56)</f>
        <v>0</v>
      </c>
      <c r="G37" s="185">
        <f>SUM('DATA Input'!$AF$7:$AF$56)</f>
        <v>0</v>
      </c>
      <c r="H37" s="188" t="e">
        <f t="shared" si="0"/>
        <v>#DIV/0!</v>
      </c>
      <c r="I37" s="188">
        <f>MinRate(14,'DATA Input'!$E$7:$AH$56)</f>
        <v>1</v>
      </c>
      <c r="J37" s="190">
        <f>MaxRate(14,'DATA Input'!$E$7:$AH$56)</f>
        <v>0</v>
      </c>
    </row>
    <row r="38" spans="4:10" ht="15.75" hidden="1" thickBot="1" x14ac:dyDescent="0.3">
      <c r="D38" s="180" t="str">
        <f>IF('DATA Input'!$AG$5="","",'DATA Input'!$AG$5)</f>
        <v/>
      </c>
      <c r="E38" s="187">
        <f>COUNTIF('DATA Input'!$AH$7:$AH$56,"&lt;&gt;")</f>
        <v>0</v>
      </c>
      <c r="F38" s="191">
        <f>SUM('DATA Input'!$AG$7:$AG$56)</f>
        <v>0</v>
      </c>
      <c r="G38" s="187">
        <f>SUM('DATA Input'!$AH$7:$AH$56)</f>
        <v>0</v>
      </c>
      <c r="H38" s="189" t="e">
        <f t="shared" si="0"/>
        <v>#DIV/0!</v>
      </c>
      <c r="I38" s="189">
        <f>MinRate(15,'DATA Input'!$E$7:$AH$56)</f>
        <v>1</v>
      </c>
      <c r="J38" s="192">
        <f>MaxRate(15,'DATA Input'!$E$7:$AH$56)</f>
        <v>0</v>
      </c>
    </row>
    <row r="39" spans="4:10" x14ac:dyDescent="0.25">
      <c r="D39" s="215"/>
      <c r="E39" s="193"/>
      <c r="F39" s="193"/>
      <c r="G39" s="193"/>
      <c r="H39" s="193"/>
      <c r="I39" s="193"/>
      <c r="J39" s="193"/>
    </row>
    <row r="41" spans="4:10" ht="16.5" thickBot="1" x14ac:dyDescent="0.3">
      <c r="D41" s="259" t="s">
        <v>285</v>
      </c>
      <c r="E41" s="259"/>
      <c r="F41" s="259"/>
    </row>
    <row r="42" spans="4:10" ht="15.75" thickBot="1" x14ac:dyDescent="0.3">
      <c r="D42" s="214" t="s">
        <v>276</v>
      </c>
      <c r="E42" s="213" t="s">
        <v>283</v>
      </c>
      <c r="F42" s="213" t="s">
        <v>279</v>
      </c>
      <c r="G42" s="208" t="s">
        <v>278</v>
      </c>
    </row>
    <row r="43" spans="4:10" x14ac:dyDescent="0.25">
      <c r="D43" s="216" t="s">
        <v>379</v>
      </c>
      <c r="E43" s="195">
        <v>1</v>
      </c>
      <c r="F43" s="196">
        <v>136</v>
      </c>
      <c r="G43" s="197">
        <v>79</v>
      </c>
    </row>
    <row r="44" spans="4:10" x14ac:dyDescent="0.25">
      <c r="D44" s="179" t="s">
        <v>381</v>
      </c>
      <c r="E44" s="184">
        <v>1</v>
      </c>
      <c r="F44" s="185">
        <v>73</v>
      </c>
      <c r="G44" s="182">
        <v>70</v>
      </c>
    </row>
    <row r="45" spans="4:10" x14ac:dyDescent="0.25">
      <c r="D45" s="179" t="s">
        <v>384</v>
      </c>
      <c r="E45" s="184">
        <v>3</v>
      </c>
      <c r="F45" s="185">
        <v>236</v>
      </c>
      <c r="G45" s="182">
        <v>175</v>
      </c>
    </row>
    <row r="46" spans="4:10" x14ac:dyDescent="0.25">
      <c r="D46" s="179" t="s">
        <v>387</v>
      </c>
      <c r="E46" s="184">
        <v>1</v>
      </c>
      <c r="F46" s="185">
        <v>63</v>
      </c>
      <c r="G46" s="182">
        <v>42</v>
      </c>
    </row>
    <row r="47" spans="4:10" x14ac:dyDescent="0.25">
      <c r="D47" s="179" t="s">
        <v>388</v>
      </c>
      <c r="E47" s="184">
        <v>1</v>
      </c>
      <c r="F47" s="185">
        <v>70</v>
      </c>
      <c r="G47" s="182">
        <v>52</v>
      </c>
    </row>
    <row r="48" spans="4:10" x14ac:dyDescent="0.25">
      <c r="D48" s="179" t="s">
        <v>386</v>
      </c>
      <c r="E48" s="184">
        <v>2</v>
      </c>
      <c r="F48" s="185">
        <v>444</v>
      </c>
      <c r="G48" s="182">
        <v>234</v>
      </c>
    </row>
    <row r="49" spans="4:7" x14ac:dyDescent="0.25">
      <c r="D49" s="179" t="s">
        <v>391</v>
      </c>
      <c r="E49" s="184">
        <v>1</v>
      </c>
      <c r="F49" s="185">
        <v>111</v>
      </c>
      <c r="G49" s="182">
        <v>59</v>
      </c>
    </row>
    <row r="50" spans="4:7" x14ac:dyDescent="0.25">
      <c r="D50" s="178" t="s">
        <v>390</v>
      </c>
      <c r="E50" s="184">
        <v>8</v>
      </c>
      <c r="F50" s="185">
        <v>612</v>
      </c>
      <c r="G50" s="182">
        <v>454</v>
      </c>
    </row>
    <row r="51" spans="4:7" x14ac:dyDescent="0.25">
      <c r="D51" s="217" t="s">
        <v>378</v>
      </c>
      <c r="E51" s="198">
        <v>2</v>
      </c>
      <c r="F51" s="200">
        <v>55</v>
      </c>
      <c r="G51" s="201">
        <v>47</v>
      </c>
    </row>
    <row r="52" spans="4:7" x14ac:dyDescent="0.25">
      <c r="D52" s="217" t="s">
        <v>383</v>
      </c>
      <c r="E52" s="198">
        <v>2</v>
      </c>
      <c r="F52" s="200">
        <v>240</v>
      </c>
      <c r="G52" s="201">
        <v>143</v>
      </c>
    </row>
    <row r="53" spans="4:7" x14ac:dyDescent="0.25">
      <c r="D53" s="217" t="s">
        <v>385</v>
      </c>
      <c r="E53" s="198">
        <v>2</v>
      </c>
      <c r="F53" s="200">
        <v>50</v>
      </c>
      <c r="G53" s="201">
        <v>37</v>
      </c>
    </row>
    <row r="54" spans="4:7" x14ac:dyDescent="0.25">
      <c r="D54" s="217" t="s">
        <v>389</v>
      </c>
      <c r="E54" s="198">
        <v>2</v>
      </c>
      <c r="F54" s="200">
        <v>103</v>
      </c>
      <c r="G54" s="201">
        <v>67</v>
      </c>
    </row>
    <row r="55" spans="4:7" x14ac:dyDescent="0.25">
      <c r="D55" s="217" t="s">
        <v>392</v>
      </c>
      <c r="E55" s="198">
        <v>2</v>
      </c>
      <c r="F55" s="200">
        <v>120</v>
      </c>
      <c r="G55" s="201">
        <v>76</v>
      </c>
    </row>
    <row r="56" spans="4:7" x14ac:dyDescent="0.25">
      <c r="D56" s="217" t="s">
        <v>382</v>
      </c>
      <c r="E56" s="198">
        <v>2</v>
      </c>
      <c r="F56" s="200">
        <v>126</v>
      </c>
      <c r="G56" s="201">
        <v>83</v>
      </c>
    </row>
    <row r="57" spans="4:7" x14ac:dyDescent="0.25">
      <c r="D57" s="217" t="s">
        <v>872</v>
      </c>
      <c r="E57" s="198">
        <v>1</v>
      </c>
      <c r="F57" s="200">
        <v>129</v>
      </c>
      <c r="G57" s="201">
        <v>100</v>
      </c>
    </row>
    <row r="58" spans="4:7" x14ac:dyDescent="0.25">
      <c r="D58" s="217" t="s">
        <v>380</v>
      </c>
      <c r="E58" s="198">
        <v>3</v>
      </c>
      <c r="F58" s="200">
        <v>286</v>
      </c>
      <c r="G58" s="201">
        <v>187</v>
      </c>
    </row>
    <row r="59" spans="4:7" ht="15.75" thickBot="1" x14ac:dyDescent="0.3">
      <c r="D59" s="217" t="s">
        <v>393</v>
      </c>
      <c r="E59" s="198">
        <v>5</v>
      </c>
      <c r="F59" s="200">
        <v>164</v>
      </c>
      <c r="G59" s="201">
        <v>70</v>
      </c>
    </row>
    <row r="60" spans="4:7" hidden="1" x14ac:dyDescent="0.25">
      <c r="D60" s="217"/>
      <c r="E60" s="198"/>
      <c r="F60" s="200"/>
      <c r="G60" s="201"/>
    </row>
    <row r="61" spans="4:7" hidden="1" x14ac:dyDescent="0.25">
      <c r="D61" s="217"/>
      <c r="E61" s="198"/>
      <c r="F61" s="200"/>
      <c r="G61" s="201"/>
    </row>
    <row r="62" spans="4:7" hidden="1" x14ac:dyDescent="0.25">
      <c r="D62" s="217"/>
      <c r="E62" s="198"/>
      <c r="F62" s="200"/>
      <c r="G62" s="201"/>
    </row>
    <row r="63" spans="4:7" hidden="1" x14ac:dyDescent="0.25">
      <c r="D63" s="217"/>
      <c r="E63" s="198"/>
      <c r="F63" s="200"/>
      <c r="G63" s="201"/>
    </row>
    <row r="64" spans="4:7" hidden="1" x14ac:dyDescent="0.25">
      <c r="D64" s="217"/>
      <c r="E64" s="198"/>
      <c r="F64" s="200"/>
      <c r="G64" s="201"/>
    </row>
    <row r="65" spans="4:7" hidden="1" x14ac:dyDescent="0.25">
      <c r="D65" s="217"/>
      <c r="E65" s="198"/>
      <c r="F65" s="200"/>
      <c r="G65" s="201"/>
    </row>
    <row r="66" spans="4:7" hidden="1" x14ac:dyDescent="0.25">
      <c r="D66" s="217"/>
      <c r="E66" s="198"/>
      <c r="F66" s="200"/>
      <c r="G66" s="201"/>
    </row>
    <row r="67" spans="4:7" hidden="1" x14ac:dyDescent="0.25">
      <c r="D67" s="217"/>
      <c r="E67" s="198"/>
      <c r="F67" s="200"/>
      <c r="G67" s="201"/>
    </row>
    <row r="68" spans="4:7" hidden="1" x14ac:dyDescent="0.25">
      <c r="D68" s="217"/>
      <c r="E68" s="198"/>
      <c r="F68" s="200"/>
      <c r="G68" s="201"/>
    </row>
    <row r="69" spans="4:7" hidden="1" x14ac:dyDescent="0.25">
      <c r="D69" s="217"/>
      <c r="E69" s="198"/>
      <c r="F69" s="200"/>
      <c r="G69" s="201"/>
    </row>
    <row r="70" spans="4:7" hidden="1" x14ac:dyDescent="0.25">
      <c r="D70" s="217"/>
      <c r="E70" s="198"/>
      <c r="F70" s="200"/>
      <c r="G70" s="201"/>
    </row>
    <row r="71" spans="4:7" hidden="1" x14ac:dyDescent="0.25">
      <c r="D71" s="217"/>
      <c r="E71" s="198"/>
      <c r="F71" s="200"/>
      <c r="G71" s="201"/>
    </row>
    <row r="72" spans="4:7" hidden="1" x14ac:dyDescent="0.25">
      <c r="D72" s="217"/>
      <c r="E72" s="198"/>
      <c r="F72" s="200"/>
      <c r="G72" s="201"/>
    </row>
    <row r="73" spans="4:7" hidden="1" x14ac:dyDescent="0.25">
      <c r="D73" s="217"/>
      <c r="E73" s="198"/>
      <c r="F73" s="200"/>
      <c r="G73" s="201"/>
    </row>
    <row r="74" spans="4:7" hidden="1" x14ac:dyDescent="0.25">
      <c r="D74" s="217"/>
      <c r="E74" s="198"/>
      <c r="F74" s="200"/>
      <c r="G74" s="201"/>
    </row>
    <row r="75" spans="4:7" hidden="1" x14ac:dyDescent="0.25">
      <c r="D75" s="217"/>
      <c r="E75" s="198"/>
      <c r="F75" s="200"/>
      <c r="G75" s="201"/>
    </row>
    <row r="76" spans="4:7" hidden="1" x14ac:dyDescent="0.25">
      <c r="D76" s="217"/>
      <c r="E76" s="198"/>
      <c r="F76" s="200"/>
      <c r="G76" s="201"/>
    </row>
    <row r="77" spans="4:7" hidden="1" x14ac:dyDescent="0.25">
      <c r="D77" s="217"/>
      <c r="E77" s="198"/>
      <c r="F77" s="200"/>
      <c r="G77" s="201"/>
    </row>
    <row r="78" spans="4:7" hidden="1" x14ac:dyDescent="0.25">
      <c r="D78" s="217"/>
      <c r="E78" s="198"/>
      <c r="F78" s="200"/>
      <c r="G78" s="201"/>
    </row>
    <row r="79" spans="4:7" hidden="1" x14ac:dyDescent="0.25">
      <c r="D79" s="217"/>
      <c r="E79" s="198"/>
      <c r="F79" s="200"/>
      <c r="G79" s="201"/>
    </row>
    <row r="80" spans="4:7" hidden="1" x14ac:dyDescent="0.25">
      <c r="D80" s="217"/>
      <c r="E80" s="198"/>
      <c r="F80" s="200"/>
      <c r="G80" s="201"/>
    </row>
    <row r="81" spans="4:7" hidden="1" x14ac:dyDescent="0.25">
      <c r="D81" s="217"/>
      <c r="E81" s="198"/>
      <c r="F81" s="200"/>
      <c r="G81" s="201"/>
    </row>
    <row r="82" spans="4:7" hidden="1" x14ac:dyDescent="0.25">
      <c r="D82" s="217"/>
      <c r="E82" s="198"/>
      <c r="F82" s="200"/>
      <c r="G82" s="201"/>
    </row>
    <row r="83" spans="4:7" hidden="1" x14ac:dyDescent="0.25">
      <c r="D83" s="217"/>
      <c r="E83" s="198"/>
      <c r="F83" s="200"/>
      <c r="G83" s="201"/>
    </row>
    <row r="84" spans="4:7" hidden="1" x14ac:dyDescent="0.25">
      <c r="D84" s="217"/>
      <c r="E84" s="198"/>
      <c r="F84" s="200"/>
      <c r="G84" s="201"/>
    </row>
    <row r="85" spans="4:7" hidden="1" x14ac:dyDescent="0.25">
      <c r="D85" s="217"/>
      <c r="E85" s="198"/>
      <c r="F85" s="200"/>
      <c r="G85" s="201"/>
    </row>
    <row r="86" spans="4:7" hidden="1" x14ac:dyDescent="0.25">
      <c r="D86" s="217"/>
      <c r="E86" s="198"/>
      <c r="F86" s="200"/>
      <c r="G86" s="201"/>
    </row>
    <row r="87" spans="4:7" hidden="1" x14ac:dyDescent="0.25">
      <c r="D87" s="217"/>
      <c r="E87" s="198"/>
      <c r="F87" s="200"/>
      <c r="G87" s="201"/>
    </row>
    <row r="88" spans="4:7" hidden="1" x14ac:dyDescent="0.25">
      <c r="D88" s="217"/>
      <c r="E88" s="198"/>
      <c r="F88" s="200"/>
      <c r="G88" s="201"/>
    </row>
    <row r="89" spans="4:7" hidden="1" x14ac:dyDescent="0.25">
      <c r="D89" s="217"/>
      <c r="E89" s="198"/>
      <c r="F89" s="200"/>
      <c r="G89" s="201"/>
    </row>
    <row r="90" spans="4:7" hidden="1" x14ac:dyDescent="0.25">
      <c r="D90" s="217"/>
      <c r="E90" s="198"/>
      <c r="F90" s="200"/>
      <c r="G90" s="201"/>
    </row>
    <row r="91" spans="4:7" hidden="1" x14ac:dyDescent="0.25">
      <c r="D91" s="217"/>
      <c r="E91" s="198"/>
      <c r="F91" s="200"/>
      <c r="G91" s="201"/>
    </row>
    <row r="92" spans="4:7" hidden="1" x14ac:dyDescent="0.25">
      <c r="D92" s="217"/>
      <c r="E92" s="198"/>
      <c r="F92" s="200"/>
      <c r="G92" s="201"/>
    </row>
    <row r="93" spans="4:7" hidden="1" x14ac:dyDescent="0.25">
      <c r="D93" s="217"/>
      <c r="E93" s="198"/>
      <c r="F93" s="200"/>
      <c r="G93" s="201"/>
    </row>
    <row r="94" spans="4:7" hidden="1" x14ac:dyDescent="0.25">
      <c r="D94" s="217"/>
      <c r="E94" s="198"/>
      <c r="F94" s="200"/>
      <c r="G94" s="201"/>
    </row>
    <row r="95" spans="4:7" hidden="1" x14ac:dyDescent="0.25">
      <c r="D95" s="217"/>
      <c r="E95" s="198"/>
      <c r="F95" s="200"/>
      <c r="G95" s="201"/>
    </row>
    <row r="96" spans="4:7" hidden="1" x14ac:dyDescent="0.25">
      <c r="D96" s="217"/>
      <c r="E96" s="198"/>
      <c r="F96" s="200"/>
      <c r="G96" s="201"/>
    </row>
    <row r="97" spans="4:7" hidden="1" x14ac:dyDescent="0.25">
      <c r="D97" s="217"/>
      <c r="E97" s="198"/>
      <c r="F97" s="200"/>
      <c r="G97" s="201"/>
    </row>
    <row r="98" spans="4:7" hidden="1" x14ac:dyDescent="0.25">
      <c r="D98" s="217"/>
      <c r="E98" s="198"/>
      <c r="F98" s="200"/>
      <c r="G98" s="201"/>
    </row>
    <row r="99" spans="4:7" hidden="1" x14ac:dyDescent="0.25">
      <c r="D99" s="217"/>
      <c r="E99" s="198"/>
      <c r="F99" s="200"/>
      <c r="G99" s="201"/>
    </row>
    <row r="100" spans="4:7" hidden="1" x14ac:dyDescent="0.25">
      <c r="D100" s="217"/>
      <c r="E100" s="198"/>
      <c r="F100" s="200"/>
      <c r="G100" s="201"/>
    </row>
    <row r="101" spans="4:7" hidden="1" x14ac:dyDescent="0.25">
      <c r="D101" s="217"/>
      <c r="E101" s="198"/>
      <c r="F101" s="200"/>
      <c r="G101" s="201"/>
    </row>
    <row r="102" spans="4:7" hidden="1" x14ac:dyDescent="0.25">
      <c r="D102" s="217"/>
      <c r="E102" s="198"/>
      <c r="F102" s="200"/>
      <c r="G102" s="201"/>
    </row>
    <row r="103" spans="4:7" hidden="1" x14ac:dyDescent="0.25">
      <c r="D103" s="217"/>
      <c r="E103" s="198"/>
      <c r="F103" s="200"/>
      <c r="G103" s="201"/>
    </row>
    <row r="104" spans="4:7" hidden="1" x14ac:dyDescent="0.25">
      <c r="D104" s="217"/>
      <c r="E104" s="198"/>
      <c r="F104" s="200"/>
      <c r="G104" s="201"/>
    </row>
    <row r="105" spans="4:7" hidden="1" x14ac:dyDescent="0.25">
      <c r="D105" s="217"/>
      <c r="E105" s="198"/>
      <c r="F105" s="200"/>
      <c r="G105" s="201"/>
    </row>
    <row r="106" spans="4:7" hidden="1" x14ac:dyDescent="0.25">
      <c r="D106" s="217"/>
      <c r="E106" s="198"/>
      <c r="F106" s="200"/>
      <c r="G106" s="201"/>
    </row>
    <row r="107" spans="4:7" hidden="1" x14ac:dyDescent="0.25">
      <c r="D107" s="217"/>
      <c r="E107" s="198"/>
      <c r="F107" s="200"/>
      <c r="G107" s="201"/>
    </row>
    <row r="108" spans="4:7" hidden="1" x14ac:dyDescent="0.25">
      <c r="D108" s="217"/>
      <c r="E108" s="198"/>
      <c r="F108" s="200"/>
      <c r="G108" s="201"/>
    </row>
    <row r="109" spans="4:7" hidden="1" x14ac:dyDescent="0.25">
      <c r="D109" s="217"/>
      <c r="E109" s="198"/>
      <c r="F109" s="200"/>
      <c r="G109" s="201"/>
    </row>
    <row r="110" spans="4:7" hidden="1" x14ac:dyDescent="0.25">
      <c r="D110" s="217"/>
      <c r="E110" s="198"/>
      <c r="F110" s="200"/>
      <c r="G110" s="201"/>
    </row>
    <row r="111" spans="4:7" hidden="1" x14ac:dyDescent="0.25">
      <c r="D111" s="217"/>
      <c r="E111" s="198"/>
      <c r="F111" s="200"/>
      <c r="G111" s="201"/>
    </row>
    <row r="112" spans="4:7" hidden="1" x14ac:dyDescent="0.25">
      <c r="D112" s="217"/>
      <c r="E112" s="198"/>
      <c r="F112" s="200"/>
      <c r="G112" s="201"/>
    </row>
    <row r="113" spans="4:7" hidden="1" x14ac:dyDescent="0.25">
      <c r="D113" s="217"/>
      <c r="E113" s="198"/>
      <c r="F113" s="200"/>
      <c r="G113" s="201"/>
    </row>
    <row r="114" spans="4:7" hidden="1" x14ac:dyDescent="0.25">
      <c r="D114" s="217"/>
      <c r="E114" s="198"/>
      <c r="F114" s="200"/>
      <c r="G114" s="201"/>
    </row>
    <row r="115" spans="4:7" hidden="1" x14ac:dyDescent="0.25">
      <c r="D115" s="217"/>
      <c r="E115" s="198"/>
      <c r="F115" s="200"/>
      <c r="G115" s="201"/>
    </row>
    <row r="116" spans="4:7" hidden="1" x14ac:dyDescent="0.25">
      <c r="D116" s="217"/>
      <c r="E116" s="198"/>
      <c r="F116" s="200"/>
      <c r="G116" s="201"/>
    </row>
    <row r="117" spans="4:7" hidden="1" x14ac:dyDescent="0.25">
      <c r="D117" s="217"/>
      <c r="E117" s="198"/>
      <c r="F117" s="200"/>
      <c r="G117" s="201"/>
    </row>
    <row r="118" spans="4:7" hidden="1" x14ac:dyDescent="0.25">
      <c r="D118" s="217"/>
      <c r="E118" s="198"/>
      <c r="F118" s="200"/>
      <c r="G118" s="201"/>
    </row>
    <row r="119" spans="4:7" hidden="1" x14ac:dyDescent="0.25">
      <c r="D119" s="217"/>
      <c r="E119" s="198"/>
      <c r="F119" s="200"/>
      <c r="G119" s="201"/>
    </row>
    <row r="120" spans="4:7" hidden="1" x14ac:dyDescent="0.25">
      <c r="D120" s="217"/>
      <c r="E120" s="198"/>
      <c r="F120" s="200"/>
      <c r="G120" s="201"/>
    </row>
    <row r="121" spans="4:7" hidden="1" x14ac:dyDescent="0.25">
      <c r="D121" s="217"/>
      <c r="E121" s="198"/>
      <c r="F121" s="200"/>
      <c r="G121" s="201"/>
    </row>
    <row r="122" spans="4:7" hidden="1" x14ac:dyDescent="0.25">
      <c r="D122" s="217"/>
      <c r="E122" s="198"/>
      <c r="F122" s="200"/>
      <c r="G122" s="201"/>
    </row>
    <row r="123" spans="4:7" hidden="1" x14ac:dyDescent="0.25">
      <c r="D123" s="217"/>
      <c r="E123" s="198"/>
      <c r="F123" s="200"/>
      <c r="G123" s="201"/>
    </row>
    <row r="124" spans="4:7" hidden="1" x14ac:dyDescent="0.25">
      <c r="D124" s="217"/>
      <c r="E124" s="198"/>
      <c r="F124" s="200"/>
      <c r="G124" s="201"/>
    </row>
    <row r="125" spans="4:7" hidden="1" x14ac:dyDescent="0.25">
      <c r="D125" s="217"/>
      <c r="E125" s="198"/>
      <c r="F125" s="200"/>
      <c r="G125" s="201"/>
    </row>
    <row r="126" spans="4:7" hidden="1" x14ac:dyDescent="0.25">
      <c r="D126" s="217"/>
      <c r="E126" s="198"/>
      <c r="F126" s="200"/>
      <c r="G126" s="201"/>
    </row>
    <row r="127" spans="4:7" hidden="1" x14ac:dyDescent="0.25">
      <c r="D127" s="217"/>
      <c r="E127" s="198"/>
      <c r="F127" s="200"/>
      <c r="G127" s="201"/>
    </row>
    <row r="128" spans="4:7" hidden="1" x14ac:dyDescent="0.25">
      <c r="D128" s="217"/>
      <c r="E128" s="198"/>
      <c r="F128" s="200"/>
      <c r="G128" s="201"/>
    </row>
    <row r="129" spans="4:7" hidden="1" x14ac:dyDescent="0.25">
      <c r="D129" s="217"/>
      <c r="E129" s="198"/>
      <c r="F129" s="200"/>
      <c r="G129" s="201"/>
    </row>
    <row r="130" spans="4:7" hidden="1" x14ac:dyDescent="0.25">
      <c r="D130" s="217"/>
      <c r="E130" s="198"/>
      <c r="F130" s="200"/>
      <c r="G130" s="201"/>
    </row>
    <row r="131" spans="4:7" hidden="1" x14ac:dyDescent="0.25">
      <c r="D131" s="217"/>
      <c r="E131" s="198"/>
      <c r="F131" s="200"/>
      <c r="G131" s="201"/>
    </row>
    <row r="132" spans="4:7" hidden="1" x14ac:dyDescent="0.25">
      <c r="D132" s="217"/>
      <c r="E132" s="198"/>
      <c r="F132" s="200"/>
      <c r="G132" s="201"/>
    </row>
    <row r="133" spans="4:7" hidden="1" x14ac:dyDescent="0.25">
      <c r="D133" s="217"/>
      <c r="E133" s="198"/>
      <c r="F133" s="200"/>
      <c r="G133" s="201"/>
    </row>
    <row r="134" spans="4:7" hidden="1" x14ac:dyDescent="0.25">
      <c r="D134" s="217"/>
      <c r="E134" s="198"/>
      <c r="F134" s="200"/>
      <c r="G134" s="201"/>
    </row>
    <row r="135" spans="4:7" hidden="1" x14ac:dyDescent="0.25">
      <c r="D135" s="217"/>
      <c r="E135" s="198"/>
      <c r="F135" s="200"/>
      <c r="G135" s="201"/>
    </row>
    <row r="136" spans="4:7" hidden="1" x14ac:dyDescent="0.25">
      <c r="D136" s="217"/>
      <c r="E136" s="198"/>
      <c r="F136" s="200"/>
      <c r="G136" s="201"/>
    </row>
    <row r="137" spans="4:7" hidden="1" x14ac:dyDescent="0.25">
      <c r="D137" s="217"/>
      <c r="E137" s="198"/>
      <c r="F137" s="200"/>
      <c r="G137" s="201"/>
    </row>
    <row r="138" spans="4:7" hidden="1" x14ac:dyDescent="0.25">
      <c r="D138" s="217"/>
      <c r="E138" s="198"/>
      <c r="F138" s="200"/>
      <c r="G138" s="201"/>
    </row>
    <row r="139" spans="4:7" hidden="1" x14ac:dyDescent="0.25">
      <c r="D139" s="217"/>
      <c r="E139" s="198"/>
      <c r="F139" s="200"/>
      <c r="G139" s="201"/>
    </row>
    <row r="140" spans="4:7" hidden="1" x14ac:dyDescent="0.25">
      <c r="D140" s="217"/>
      <c r="E140" s="198"/>
      <c r="F140" s="200"/>
      <c r="G140" s="201"/>
    </row>
    <row r="141" spans="4:7" hidden="1" x14ac:dyDescent="0.25">
      <c r="D141" s="217"/>
      <c r="E141" s="198"/>
      <c r="F141" s="200"/>
      <c r="G141" s="201"/>
    </row>
    <row r="142" spans="4:7" hidden="1" x14ac:dyDescent="0.25">
      <c r="D142" s="217"/>
      <c r="E142" s="198"/>
      <c r="F142" s="200"/>
      <c r="G142" s="201"/>
    </row>
    <row r="143" spans="4:7" hidden="1" x14ac:dyDescent="0.25">
      <c r="D143" s="217"/>
      <c r="E143" s="198"/>
      <c r="F143" s="200"/>
      <c r="G143" s="201"/>
    </row>
    <row r="144" spans="4:7" hidden="1" x14ac:dyDescent="0.25">
      <c r="D144" s="217"/>
      <c r="E144" s="198"/>
      <c r="F144" s="200"/>
      <c r="G144" s="201"/>
    </row>
    <row r="145" spans="4:7" hidden="1" x14ac:dyDescent="0.25">
      <c r="D145" s="217"/>
      <c r="E145" s="198"/>
      <c r="F145" s="200"/>
      <c r="G145" s="201"/>
    </row>
    <row r="146" spans="4:7" hidden="1" x14ac:dyDescent="0.25">
      <c r="D146" s="217"/>
      <c r="E146" s="198"/>
      <c r="F146" s="200"/>
      <c r="G146" s="201"/>
    </row>
    <row r="147" spans="4:7" ht="15.75" hidden="1" thickBot="1" x14ac:dyDescent="0.3">
      <c r="D147" s="218"/>
      <c r="E147" s="199"/>
      <c r="F147" s="202"/>
      <c r="G147" s="203"/>
    </row>
    <row r="148" spans="4:7" x14ac:dyDescent="0.25">
      <c r="D148" s="215"/>
      <c r="E148" s="193"/>
      <c r="F148" s="193"/>
      <c r="G148" s="193"/>
    </row>
  </sheetData>
  <mergeCells count="2">
    <mergeCell ref="D21:F21"/>
    <mergeCell ref="D41:F4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C00000"/>
  </sheetPr>
  <dimension ref="B19:C39"/>
  <sheetViews>
    <sheetView showGridLines="0" topLeftCell="A10" zoomScale="50" zoomScaleNormal="50" workbookViewId="0">
      <selection activeCell="Y20" sqref="Y20"/>
    </sheetView>
  </sheetViews>
  <sheetFormatPr defaultRowHeight="15" x14ac:dyDescent="0.25"/>
  <cols>
    <col min="2" max="2" width="26.7109375" customWidth="1"/>
    <col min="3" max="3" width="24.7109375" customWidth="1"/>
  </cols>
  <sheetData>
    <row r="19" spans="2:3" ht="15.75" thickBot="1" x14ac:dyDescent="0.3"/>
    <row r="20" spans="2:3" x14ac:dyDescent="0.25">
      <c r="B20" s="81" t="s">
        <v>249</v>
      </c>
      <c r="C20" s="94">
        <v>30</v>
      </c>
    </row>
    <row r="22" spans="2:3" ht="15.75" thickBot="1" x14ac:dyDescent="0.3"/>
    <row r="23" spans="2:3" ht="19.5" thickBot="1" x14ac:dyDescent="0.35">
      <c r="B23" s="244" t="s">
        <v>13</v>
      </c>
      <c r="C23" s="246"/>
    </row>
    <row r="24" spans="2:3" ht="15.75" thickBot="1" x14ac:dyDescent="0.3">
      <c r="B24" s="99" t="s">
        <v>8</v>
      </c>
      <c r="C24" s="95" t="s">
        <v>234</v>
      </c>
    </row>
    <row r="25" spans="2:3" x14ac:dyDescent="0.25">
      <c r="B25" s="100" t="str">
        <f>'WINBUGS data'!B4</f>
        <v>INDOIV</v>
      </c>
      <c r="C25" s="96" t="s">
        <v>298</v>
      </c>
    </row>
    <row r="26" spans="2:3" x14ac:dyDescent="0.25">
      <c r="B26" s="101" t="str">
        <f>'WINBUGS data'!B5</f>
        <v>IBUIV</v>
      </c>
      <c r="C26" s="97" t="s">
        <v>299</v>
      </c>
    </row>
    <row r="27" spans="2:3" x14ac:dyDescent="0.25">
      <c r="B27" s="101" t="str">
        <f>'WINBUGS data'!B6</f>
        <v>IBUPO</v>
      </c>
      <c r="C27" s="97" t="s">
        <v>300</v>
      </c>
    </row>
    <row r="28" spans="2:3" x14ac:dyDescent="0.25">
      <c r="B28" s="101" t="str">
        <f>'WINBUGS data'!B7</f>
        <v>PARAPO</v>
      </c>
      <c r="C28" s="97" t="s">
        <v>301</v>
      </c>
    </row>
    <row r="29" spans="2:3" x14ac:dyDescent="0.25">
      <c r="B29" s="101" t="str">
        <f>'WINBUGS data'!B8</f>
        <v>IBUIVHIGHDOSE</v>
      </c>
      <c r="C29" s="97" t="s">
        <v>302</v>
      </c>
    </row>
    <row r="30" spans="2:3" x14ac:dyDescent="0.25">
      <c r="B30" s="101" t="str">
        <f>'WINBUGS data'!B9</f>
        <v>IBUPOHIGHDOSE</v>
      </c>
      <c r="C30" s="97" t="s">
        <v>303</v>
      </c>
    </row>
    <row r="31" spans="2:3" x14ac:dyDescent="0.25">
      <c r="B31" s="101" t="str">
        <f>'WINBUGS data'!B10</f>
        <v>IBUIVCONT</v>
      </c>
      <c r="C31" s="97" t="s">
        <v>304</v>
      </c>
    </row>
    <row r="32" spans="2:3" x14ac:dyDescent="0.25">
      <c r="B32" s="101" t="str">
        <f>'WINBUGS data'!B11</f>
        <v>INDOIVCONT</v>
      </c>
      <c r="C32" s="97" t="s">
        <v>305</v>
      </c>
    </row>
    <row r="33" spans="2:3" x14ac:dyDescent="0.25">
      <c r="B33" s="101" t="str">
        <f>'WINBUGS data'!B12</f>
        <v>INDOTHERS</v>
      </c>
      <c r="C33" s="97" t="s">
        <v>306</v>
      </c>
    </row>
    <row r="34" spans="2:3" x14ac:dyDescent="0.25">
      <c r="B34" s="101" t="str">
        <f>'WINBUGS data'!B13</f>
        <v>PLAC_NORX</v>
      </c>
      <c r="C34" s="97" t="s">
        <v>307</v>
      </c>
    </row>
    <row r="35" spans="2:3" x14ac:dyDescent="0.25">
      <c r="B35" s="101" t="str">
        <f>'WINBUGS data'!B14</f>
        <v/>
      </c>
      <c r="C35" s="97" t="s">
        <v>308</v>
      </c>
    </row>
    <row r="36" spans="2:3" x14ac:dyDescent="0.25">
      <c r="B36" s="101" t="str">
        <f>'WINBUGS data'!B15</f>
        <v/>
      </c>
      <c r="C36" s="97" t="s">
        <v>309</v>
      </c>
    </row>
    <row r="37" spans="2:3" x14ac:dyDescent="0.25">
      <c r="B37" s="101" t="str">
        <f>'WINBUGS data'!B16</f>
        <v/>
      </c>
      <c r="C37" s="97" t="s">
        <v>310</v>
      </c>
    </row>
    <row r="38" spans="2:3" x14ac:dyDescent="0.25">
      <c r="B38" s="101" t="str">
        <f>'WINBUGS data'!B17</f>
        <v/>
      </c>
      <c r="C38" s="97" t="s">
        <v>311</v>
      </c>
    </row>
    <row r="39" spans="2:3" ht="15.75" thickBot="1" x14ac:dyDescent="0.3">
      <c r="B39" s="102" t="str">
        <f>'WINBUGS data'!B18</f>
        <v/>
      </c>
      <c r="C39" s="98" t="s">
        <v>312</v>
      </c>
    </row>
  </sheetData>
  <mergeCells count="1">
    <mergeCell ref="B23:C23"/>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C00000"/>
  </sheetPr>
  <dimension ref="A2:AA9"/>
  <sheetViews>
    <sheetView showGridLines="0" topLeftCell="B1" zoomScaleNormal="100" workbookViewId="0">
      <selection activeCell="D5" sqref="D5"/>
    </sheetView>
  </sheetViews>
  <sheetFormatPr defaultRowHeight="15" x14ac:dyDescent="0.25"/>
  <cols>
    <col min="1" max="1" width="6" customWidth="1"/>
    <col min="2" max="2" width="13" customWidth="1"/>
    <col min="3" max="3" width="22.85546875" customWidth="1"/>
    <col min="4" max="4" width="28.7109375" customWidth="1"/>
    <col min="6" max="6" width="13.28515625" customWidth="1"/>
    <col min="7" max="7" width="14.5703125" customWidth="1"/>
    <col min="8" max="8" width="13" customWidth="1"/>
    <col min="22" max="22" width="16.28515625" customWidth="1"/>
    <col min="25" max="27" width="9.140625" hidden="1" customWidth="1"/>
    <col min="28" max="28" width="9.140625" customWidth="1"/>
  </cols>
  <sheetData>
    <row r="2" spans="1:26" x14ac:dyDescent="0.25">
      <c r="C2" s="47"/>
      <c r="D2" s="48"/>
      <c r="U2" s="11"/>
    </row>
    <row r="3" spans="1:26" ht="15.75" thickBot="1" x14ac:dyDescent="0.3">
      <c r="C3" s="47"/>
      <c r="D3" s="49"/>
      <c r="Y3" t="s">
        <v>219</v>
      </c>
      <c r="Z3" t="str">
        <f ca="1">'Fixed Effects'!A1</f>
        <v>Fixed Effects</v>
      </c>
    </row>
    <row r="4" spans="1:26" ht="15.75" thickBot="1" x14ac:dyDescent="0.3">
      <c r="C4" s="81" t="s">
        <v>228</v>
      </c>
      <c r="D4" s="89" t="s">
        <v>123</v>
      </c>
      <c r="Y4" t="s">
        <v>221</v>
      </c>
      <c r="Z4" t="str">
        <f ca="1">'Random Effects (Vague)'!A1</f>
        <v>Random Effects (Vague)</v>
      </c>
    </row>
    <row r="5" spans="1:26" ht="15.75" thickBot="1" x14ac:dyDescent="0.3">
      <c r="A5" s="92"/>
      <c r="B5" s="260" t="s">
        <v>233</v>
      </c>
      <c r="C5" s="82" t="s">
        <v>217</v>
      </c>
      <c r="D5" s="90" t="s">
        <v>223</v>
      </c>
      <c r="U5" s="11"/>
      <c r="Y5" t="s">
        <v>220</v>
      </c>
      <c r="Z5" t="str">
        <f ca="1">'Random Effects  (Informative)'!A1</f>
        <v>Random Effects  (Informative)</v>
      </c>
    </row>
    <row r="6" spans="1:26" ht="15.75" thickBot="1" x14ac:dyDescent="0.3">
      <c r="A6" s="92"/>
      <c r="B6" s="261"/>
      <c r="C6" s="83" t="s">
        <v>218</v>
      </c>
      <c r="D6" s="91" t="s">
        <v>222</v>
      </c>
      <c r="E6" s="39"/>
      <c r="U6" s="11"/>
      <c r="Z6" t="s">
        <v>222</v>
      </c>
    </row>
    <row r="7" spans="1:26" ht="15.75" thickBot="1" x14ac:dyDescent="0.3">
      <c r="A7" s="47"/>
      <c r="C7" s="83" t="s">
        <v>232</v>
      </c>
      <c r="D7" s="91">
        <v>2</v>
      </c>
    </row>
    <row r="8" spans="1:26" ht="15.75" thickBot="1" x14ac:dyDescent="0.3">
      <c r="C8" s="83" t="s">
        <v>243</v>
      </c>
      <c r="D8" s="91">
        <v>7</v>
      </c>
    </row>
    <row r="9" spans="1:26" ht="15.75" thickBot="1" x14ac:dyDescent="0.3">
      <c r="C9" s="83" t="s">
        <v>248</v>
      </c>
      <c r="D9" s="91">
        <v>375</v>
      </c>
    </row>
  </sheetData>
  <mergeCells count="1">
    <mergeCell ref="B5:B6"/>
  </mergeCells>
  <dataValidations count="3">
    <dataValidation type="list" allowBlank="1" showInputMessage="1" showErrorMessage="1" sqref="D5">
      <formula1>$Z$3:$Z$5</formula1>
    </dataValidation>
    <dataValidation type="list" allowBlank="1" showInputMessage="1" showErrorMessage="1" sqref="D6">
      <formula1>$Z$3:$Z$6</formula1>
    </dataValidation>
    <dataValidation type="list" allowBlank="1" showInputMessage="1" showErrorMessage="1" sqref="D4">
      <formula1>"OR"</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C00000"/>
  </sheetPr>
  <dimension ref="B1:Z26"/>
  <sheetViews>
    <sheetView showGridLines="0" workbookViewId="0">
      <selection activeCell="F5" sqref="F5:O14"/>
    </sheetView>
  </sheetViews>
  <sheetFormatPr defaultRowHeight="15" x14ac:dyDescent="0.25"/>
  <cols>
    <col min="2" max="2" width="12.28515625" customWidth="1"/>
    <col min="3" max="3" width="32.7109375" customWidth="1"/>
    <col min="4" max="4" width="8.5703125" customWidth="1"/>
    <col min="5" max="5" width="5.28515625" customWidth="1"/>
    <col min="6" max="18" width="18.7109375" style="19" customWidth="1"/>
    <col min="19" max="20" width="15.42578125" style="19" customWidth="1"/>
    <col min="21" max="21" width="15.42578125" customWidth="1"/>
  </cols>
  <sheetData>
    <row r="1" spans="2:26" ht="47.25" customHeight="1" thickBot="1" x14ac:dyDescent="0.3"/>
    <row r="2" spans="2:26" ht="15.75" thickBot="1" x14ac:dyDescent="0.3">
      <c r="B2" s="66" t="s">
        <v>228</v>
      </c>
      <c r="C2" s="94" t="s">
        <v>123</v>
      </c>
      <c r="D2" s="68"/>
      <c r="Y2" s="54" t="str">
        <f>IF(events_bad,CONCATENATE(step," &lt;1 Means the Treatment in Top Left is Better"),CONCATENATE(step," &gt;1 Means the Treatment in Top Left is Better"))</f>
        <v>OR &gt;1 Means the Treatment in Top Left is Better</v>
      </c>
    </row>
    <row r="3" spans="2:26" ht="15.75" thickBot="1" x14ac:dyDescent="0.3">
      <c r="B3" s="67" t="s">
        <v>225</v>
      </c>
      <c r="C3" s="84" t="s">
        <v>226</v>
      </c>
      <c r="Y3" t="s">
        <v>219</v>
      </c>
      <c r="Z3" t="str">
        <f ca="1">'Fixed Effects'!A1</f>
        <v>Fixed Effects</v>
      </c>
    </row>
    <row r="4" spans="2:26" ht="15.75" thickBot="1" x14ac:dyDescent="0.3">
      <c r="Y4" t="s">
        <v>221</v>
      </c>
      <c r="Z4" t="str">
        <f ca="1">'Random Effects (Vague)'!A1</f>
        <v>Random Effects (Vague)</v>
      </c>
    </row>
    <row r="5" spans="2:26" ht="39.950000000000003" customHeight="1" thickBot="1" x14ac:dyDescent="0.3">
      <c r="E5" s="69"/>
      <c r="F5" s="223" t="s">
        <v>356</v>
      </c>
      <c r="G5" s="70"/>
      <c r="H5" s="70"/>
      <c r="I5" s="70"/>
      <c r="J5" s="70"/>
      <c r="K5" s="70"/>
      <c r="L5" s="70"/>
      <c r="M5" s="70"/>
      <c r="N5" s="70"/>
      <c r="O5" s="70"/>
      <c r="P5" s="70"/>
      <c r="Q5" s="70"/>
      <c r="R5" s="70"/>
      <c r="S5" s="70"/>
      <c r="Y5" t="s">
        <v>220</v>
      </c>
      <c r="Z5" t="str">
        <f ca="1">'Random Effects  (Informative)'!A1</f>
        <v>Random Effects  (Informative)</v>
      </c>
    </row>
    <row r="6" spans="2:26" ht="39.950000000000003" customHeight="1" thickBot="1" x14ac:dyDescent="0.3">
      <c r="E6" s="69"/>
      <c r="F6" s="227" t="s">
        <v>877</v>
      </c>
      <c r="G6" s="223" t="s">
        <v>354</v>
      </c>
      <c r="H6" s="70"/>
      <c r="I6" s="70"/>
      <c r="J6" s="70"/>
      <c r="K6" s="70"/>
      <c r="L6" s="70"/>
      <c r="M6" s="70"/>
      <c r="N6" s="70"/>
      <c r="O6" s="70"/>
      <c r="P6" s="70"/>
      <c r="Q6" s="70"/>
      <c r="R6" s="70"/>
      <c r="S6" s="70"/>
      <c r="Y6" t="s">
        <v>793</v>
      </c>
    </row>
    <row r="7" spans="2:26" ht="39.950000000000003" customHeight="1" thickBot="1" x14ac:dyDescent="0.3">
      <c r="E7" s="69"/>
      <c r="F7" s="225" t="s">
        <v>878</v>
      </c>
      <c r="G7" s="224" t="s">
        <v>886</v>
      </c>
      <c r="H7" s="223" t="s">
        <v>355</v>
      </c>
      <c r="I7" s="70"/>
      <c r="J7" s="70"/>
      <c r="K7" s="70"/>
      <c r="L7" s="70"/>
      <c r="M7" s="70"/>
      <c r="N7" s="70"/>
      <c r="O7" s="70"/>
      <c r="P7" s="70"/>
      <c r="Q7" s="70"/>
      <c r="R7" s="70"/>
      <c r="S7" s="70"/>
    </row>
    <row r="8" spans="2:26" ht="39.950000000000003" customHeight="1" thickBot="1" x14ac:dyDescent="0.3">
      <c r="E8" s="69"/>
      <c r="F8" s="225" t="s">
        <v>879</v>
      </c>
      <c r="G8" s="221" t="s">
        <v>887</v>
      </c>
      <c r="H8" s="224" t="s">
        <v>894</v>
      </c>
      <c r="I8" s="223" t="s">
        <v>353</v>
      </c>
      <c r="J8" s="70"/>
      <c r="K8" s="70"/>
      <c r="L8" s="70"/>
      <c r="M8" s="70"/>
      <c r="N8" s="70"/>
      <c r="O8" s="70"/>
      <c r="P8" s="70"/>
      <c r="Q8" s="70"/>
      <c r="R8" s="70"/>
      <c r="S8" s="70"/>
    </row>
    <row r="9" spans="2:26" ht="39.950000000000003" customHeight="1" thickBot="1" x14ac:dyDescent="0.3">
      <c r="E9" s="69"/>
      <c r="F9" s="225" t="s">
        <v>880</v>
      </c>
      <c r="G9" s="221" t="s">
        <v>888</v>
      </c>
      <c r="H9" s="221" t="s">
        <v>895</v>
      </c>
      <c r="I9" s="224" t="s">
        <v>901</v>
      </c>
      <c r="J9" s="223" t="s">
        <v>359</v>
      </c>
      <c r="K9" s="70"/>
      <c r="L9" s="70"/>
      <c r="M9" s="70"/>
      <c r="N9" s="70"/>
      <c r="O9" s="70"/>
      <c r="P9" s="70"/>
      <c r="Q9" s="70"/>
      <c r="R9" s="70"/>
      <c r="S9" s="70"/>
    </row>
    <row r="10" spans="2:26" ht="39.950000000000003" customHeight="1" thickBot="1" x14ac:dyDescent="0.3">
      <c r="E10" s="69"/>
      <c r="F10" s="225" t="s">
        <v>881</v>
      </c>
      <c r="G10" s="221" t="s">
        <v>889</v>
      </c>
      <c r="H10" s="221" t="s">
        <v>896</v>
      </c>
      <c r="I10" s="221" t="s">
        <v>902</v>
      </c>
      <c r="J10" s="224" t="s">
        <v>907</v>
      </c>
      <c r="K10" s="223" t="s">
        <v>351</v>
      </c>
      <c r="L10" s="70"/>
      <c r="M10" s="70"/>
      <c r="N10" s="70"/>
      <c r="O10" s="70"/>
      <c r="P10" s="70"/>
      <c r="Q10" s="70"/>
      <c r="R10" s="70"/>
      <c r="S10" s="70"/>
    </row>
    <row r="11" spans="2:26" ht="39.950000000000003" customHeight="1" thickBot="1" x14ac:dyDescent="0.3">
      <c r="E11" s="69"/>
      <c r="F11" s="225" t="s">
        <v>882</v>
      </c>
      <c r="G11" s="221" t="s">
        <v>890</v>
      </c>
      <c r="H11" s="221" t="s">
        <v>897</v>
      </c>
      <c r="I11" s="221" t="s">
        <v>903</v>
      </c>
      <c r="J11" s="221" t="s">
        <v>908</v>
      </c>
      <c r="K11" s="224" t="s">
        <v>912</v>
      </c>
      <c r="L11" s="223" t="s">
        <v>358</v>
      </c>
      <c r="M11" s="70"/>
      <c r="N11" s="70"/>
      <c r="O11" s="70"/>
      <c r="P11" s="70"/>
      <c r="Q11" s="70"/>
      <c r="R11" s="70"/>
      <c r="S11" s="70"/>
    </row>
    <row r="12" spans="2:26" ht="39.950000000000003" customHeight="1" thickBot="1" x14ac:dyDescent="0.3">
      <c r="E12" s="69"/>
      <c r="F12" s="225" t="s">
        <v>883</v>
      </c>
      <c r="G12" s="221" t="s">
        <v>891</v>
      </c>
      <c r="H12" s="221" t="s">
        <v>898</v>
      </c>
      <c r="I12" s="221" t="s">
        <v>904</v>
      </c>
      <c r="J12" s="221" t="s">
        <v>909</v>
      </c>
      <c r="K12" s="221" t="s">
        <v>913</v>
      </c>
      <c r="L12" s="224" t="s">
        <v>916</v>
      </c>
      <c r="M12" s="223" t="s">
        <v>352</v>
      </c>
      <c r="N12" s="70"/>
      <c r="O12" s="70"/>
      <c r="P12" s="70"/>
      <c r="Q12" s="70"/>
      <c r="R12" s="70"/>
      <c r="S12" s="70"/>
    </row>
    <row r="13" spans="2:26" ht="39.950000000000003" customHeight="1" thickBot="1" x14ac:dyDescent="0.3">
      <c r="E13" s="69"/>
      <c r="F13" s="225" t="s">
        <v>884</v>
      </c>
      <c r="G13" s="221" t="s">
        <v>892</v>
      </c>
      <c r="H13" s="221" t="s">
        <v>899</v>
      </c>
      <c r="I13" s="221" t="s">
        <v>905</v>
      </c>
      <c r="J13" s="221" t="s">
        <v>910</v>
      </c>
      <c r="K13" s="221" t="s">
        <v>914</v>
      </c>
      <c r="L13" s="221" t="s">
        <v>917</v>
      </c>
      <c r="M13" s="224" t="s">
        <v>919</v>
      </c>
      <c r="N13" s="223" t="s">
        <v>357</v>
      </c>
      <c r="O13" s="70"/>
      <c r="P13" s="70"/>
      <c r="Q13" s="70"/>
      <c r="R13" s="70"/>
      <c r="S13" s="70"/>
    </row>
    <row r="14" spans="2:26" ht="39.950000000000003" customHeight="1" thickBot="1" x14ac:dyDescent="0.3">
      <c r="E14" s="69"/>
      <c r="F14" s="226" t="s">
        <v>885</v>
      </c>
      <c r="G14" s="222" t="s">
        <v>893</v>
      </c>
      <c r="H14" s="222" t="s">
        <v>900</v>
      </c>
      <c r="I14" s="222" t="s">
        <v>906</v>
      </c>
      <c r="J14" s="222" t="s">
        <v>911</v>
      </c>
      <c r="K14" s="222" t="s">
        <v>915</v>
      </c>
      <c r="L14" s="222" t="s">
        <v>918</v>
      </c>
      <c r="M14" s="222" t="s">
        <v>920</v>
      </c>
      <c r="N14" s="228" t="s">
        <v>921</v>
      </c>
      <c r="O14" s="223" t="s">
        <v>360</v>
      </c>
      <c r="P14" s="70"/>
      <c r="Q14" s="70"/>
      <c r="R14" s="70"/>
      <c r="S14" s="70"/>
    </row>
    <row r="15" spans="2:26" ht="39.950000000000003" customHeight="1" x14ac:dyDescent="0.25">
      <c r="E15" s="69"/>
      <c r="F15" s="70"/>
      <c r="G15" s="70"/>
      <c r="H15" s="70"/>
      <c r="I15" s="70"/>
      <c r="J15" s="70"/>
      <c r="K15" s="70"/>
      <c r="L15" s="70"/>
      <c r="M15" s="70"/>
      <c r="N15" s="70"/>
      <c r="O15" s="70"/>
      <c r="P15" s="70"/>
      <c r="Q15" s="70"/>
      <c r="R15" s="70"/>
      <c r="S15" s="70"/>
    </row>
    <row r="16" spans="2:26" ht="39.950000000000003" customHeight="1" x14ac:dyDescent="0.25">
      <c r="E16" s="69"/>
      <c r="F16" s="70"/>
      <c r="G16" s="70"/>
      <c r="H16" s="70"/>
      <c r="I16" s="70"/>
      <c r="J16" s="70"/>
      <c r="K16" s="70"/>
      <c r="L16" s="70"/>
      <c r="M16" s="70"/>
      <c r="N16" s="70"/>
      <c r="O16" s="70"/>
      <c r="P16" s="70"/>
      <c r="Q16" s="70"/>
      <c r="R16" s="70"/>
      <c r="S16" s="70"/>
    </row>
    <row r="17" spans="5:19" ht="39.950000000000003" customHeight="1" x14ac:dyDescent="0.25">
      <c r="E17" s="69"/>
      <c r="F17" s="70"/>
      <c r="G17" s="70"/>
      <c r="H17" s="70"/>
      <c r="I17" s="70"/>
      <c r="J17" s="70"/>
      <c r="K17" s="70"/>
      <c r="L17" s="70"/>
      <c r="M17" s="70"/>
      <c r="N17" s="70"/>
      <c r="O17" s="70"/>
      <c r="P17" s="70"/>
      <c r="Q17" s="70"/>
      <c r="R17" s="70"/>
      <c r="S17" s="70"/>
    </row>
    <row r="18" spans="5:19" ht="39.950000000000003" customHeight="1" x14ac:dyDescent="0.25">
      <c r="E18" s="69"/>
      <c r="F18" s="70"/>
      <c r="G18" s="70"/>
      <c r="H18" s="70"/>
      <c r="I18" s="70"/>
      <c r="J18" s="70"/>
      <c r="K18" s="70"/>
      <c r="L18" s="70"/>
      <c r="M18" s="70"/>
      <c r="N18" s="70"/>
      <c r="O18" s="70"/>
      <c r="P18" s="70"/>
      <c r="Q18" s="70"/>
      <c r="R18" s="70"/>
      <c r="S18" s="70"/>
    </row>
    <row r="19" spans="5:19" ht="39.950000000000003" customHeight="1" x14ac:dyDescent="0.25">
      <c r="E19" s="69"/>
      <c r="F19" s="70"/>
      <c r="G19" s="70"/>
      <c r="H19" s="70"/>
      <c r="I19" s="70"/>
      <c r="J19" s="70"/>
      <c r="K19" s="70"/>
      <c r="L19" s="70"/>
      <c r="M19" s="70"/>
      <c r="N19" s="70"/>
      <c r="O19" s="70"/>
      <c r="P19" s="70"/>
      <c r="Q19" s="70"/>
      <c r="R19" s="70"/>
      <c r="S19" s="70"/>
    </row>
    <row r="20" spans="5:19" ht="39.950000000000003" customHeight="1" x14ac:dyDescent="0.25">
      <c r="E20" s="69"/>
      <c r="F20" s="70"/>
      <c r="G20" s="70"/>
      <c r="H20" s="70"/>
      <c r="I20" s="70"/>
      <c r="J20" s="70"/>
      <c r="K20" s="70"/>
      <c r="L20" s="70"/>
      <c r="M20" s="70"/>
      <c r="N20" s="70"/>
      <c r="O20" s="70"/>
      <c r="P20" s="70"/>
      <c r="Q20" s="70"/>
      <c r="R20" s="70"/>
      <c r="S20" s="70"/>
    </row>
    <row r="21" spans="5:19" ht="39.950000000000003" customHeight="1" x14ac:dyDescent="0.25"/>
    <row r="22" spans="5:19" ht="39.950000000000003" customHeight="1" x14ac:dyDescent="0.25"/>
    <row r="23" spans="5:19" ht="39.950000000000003" customHeight="1" x14ac:dyDescent="0.25"/>
    <row r="24" spans="5:19" ht="39.950000000000003" customHeight="1" x14ac:dyDescent="0.25"/>
    <row r="25" spans="5:19" ht="39.950000000000003" customHeight="1" x14ac:dyDescent="0.25"/>
    <row r="26" spans="5:19" ht="30" customHeight="1" x14ac:dyDescent="0.25"/>
  </sheetData>
  <sortState ref="B4:C20">
    <sortCondition ref="C10"/>
  </sortState>
  <dataValidations count="2">
    <dataValidation type="list" allowBlank="1" showInputMessage="1" showErrorMessage="1" sqref="C3">
      <formula1>$Z$3:$Z$5</formula1>
    </dataValidation>
    <dataValidation type="list" allowBlank="1" showInputMessage="1" showErrorMessage="1" sqref="C2">
      <formula1>"OR"</formula1>
    </dataValidation>
  </dataValidation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C00000"/>
  </sheetPr>
  <dimension ref="B2:AD32"/>
  <sheetViews>
    <sheetView showGridLines="0" workbookViewId="0">
      <selection activeCell="X17" sqref="X17"/>
    </sheetView>
  </sheetViews>
  <sheetFormatPr defaultRowHeight="15" x14ac:dyDescent="0.25"/>
  <cols>
    <col min="2" max="2" width="11.85546875" customWidth="1"/>
    <col min="3" max="3" width="33" customWidth="1"/>
    <col min="13" max="27" width="9.140625" customWidth="1"/>
  </cols>
  <sheetData>
    <row r="2" spans="2:30" hidden="1" x14ac:dyDescent="0.25">
      <c r="B2" t="s">
        <v>871</v>
      </c>
    </row>
    <row r="3" spans="2:30" ht="13.5" hidden="1" customHeight="1" x14ac:dyDescent="0.25">
      <c r="B3" t="s">
        <v>37</v>
      </c>
    </row>
    <row r="4" spans="2:30" hidden="1" x14ac:dyDescent="0.25">
      <c r="B4" t="s">
        <v>226</v>
      </c>
    </row>
    <row r="5" spans="2:30" hidden="1" x14ac:dyDescent="0.25">
      <c r="B5" t="s">
        <v>223</v>
      </c>
    </row>
    <row r="6" spans="2:30" ht="15.75" thickBot="1" x14ac:dyDescent="0.3"/>
    <row r="7" spans="2:30" ht="15.75" thickBot="1" x14ac:dyDescent="0.3">
      <c r="B7" s="67" t="s">
        <v>225</v>
      </c>
      <c r="C7" s="84" t="s">
        <v>226</v>
      </c>
    </row>
    <row r="8" spans="2:30" ht="15.75" thickBot="1" x14ac:dyDescent="0.3">
      <c r="B8" s="67" t="s">
        <v>260</v>
      </c>
      <c r="C8" s="84" t="s">
        <v>258</v>
      </c>
    </row>
    <row r="9" spans="2:30" ht="15.75" hidden="1" thickBot="1" x14ac:dyDescent="0.3">
      <c r="B9" s="67" t="s">
        <v>208</v>
      </c>
      <c r="C9" s="84" t="s">
        <v>356</v>
      </c>
    </row>
    <row r="10" spans="2:30" x14ac:dyDescent="0.25">
      <c r="AD10" t="s">
        <v>259</v>
      </c>
    </row>
    <row r="11" spans="2:30" x14ac:dyDescent="0.25">
      <c r="C11" s="145" t="s">
        <v>262</v>
      </c>
      <c r="AD11" t="s">
        <v>258</v>
      </c>
    </row>
    <row r="12" spans="2:30" x14ac:dyDescent="0.25">
      <c r="AD12" t="s">
        <v>256</v>
      </c>
    </row>
    <row r="13" spans="2:30" ht="15.75" thickBot="1" x14ac:dyDescent="0.3">
      <c r="AD13" t="s">
        <v>257</v>
      </c>
    </row>
    <row r="14" spans="2:30" ht="15.75" thickBot="1" x14ac:dyDescent="0.3">
      <c r="C14" s="112" t="s">
        <v>208</v>
      </c>
      <c r="D14" s="113" t="s">
        <v>244</v>
      </c>
    </row>
    <row r="15" spans="2:30" x14ac:dyDescent="0.25">
      <c r="C15" s="106" t="s">
        <v>356</v>
      </c>
      <c r="D15" s="107">
        <v>0.87609999999999999</v>
      </c>
    </row>
    <row r="16" spans="2:30" x14ac:dyDescent="0.25">
      <c r="C16" s="108" t="s">
        <v>354</v>
      </c>
      <c r="D16" s="109">
        <v>0.83140000000000003</v>
      </c>
    </row>
    <row r="17" spans="2:5" x14ac:dyDescent="0.25">
      <c r="C17" s="108" t="s">
        <v>355</v>
      </c>
      <c r="D17" s="109">
        <v>0.77839999999999998</v>
      </c>
    </row>
    <row r="18" spans="2:5" x14ac:dyDescent="0.25">
      <c r="C18" s="108" t="s">
        <v>353</v>
      </c>
      <c r="D18" s="109">
        <v>0.63759999999999994</v>
      </c>
    </row>
    <row r="19" spans="2:5" x14ac:dyDescent="0.25">
      <c r="C19" s="108" t="s">
        <v>359</v>
      </c>
      <c r="D19" s="109">
        <v>0.55530000000000002</v>
      </c>
    </row>
    <row r="20" spans="2:5" x14ac:dyDescent="0.25">
      <c r="C20" s="108" t="s">
        <v>351</v>
      </c>
      <c r="D20" s="109">
        <v>0.50990000000000002</v>
      </c>
    </row>
    <row r="21" spans="2:5" x14ac:dyDescent="0.25">
      <c r="C21" s="108" t="s">
        <v>358</v>
      </c>
      <c r="D21" s="109">
        <v>0.38129999999999997</v>
      </c>
    </row>
    <row r="22" spans="2:5" x14ac:dyDescent="0.25">
      <c r="C22" s="108" t="s">
        <v>352</v>
      </c>
      <c r="D22" s="109">
        <v>0.23169999999999999</v>
      </c>
    </row>
    <row r="23" spans="2:5" x14ac:dyDescent="0.25">
      <c r="C23" s="108" t="s">
        <v>357</v>
      </c>
      <c r="D23" s="109">
        <v>0.18870000000000001</v>
      </c>
    </row>
    <row r="24" spans="2:5" x14ac:dyDescent="0.25">
      <c r="C24" s="108" t="s">
        <v>360</v>
      </c>
      <c r="D24" s="109">
        <v>9.6069999999999992E-3</v>
      </c>
    </row>
    <row r="25" spans="2:5" x14ac:dyDescent="0.25">
      <c r="C25" s="108"/>
      <c r="D25" s="109"/>
    </row>
    <row r="26" spans="2:5" x14ac:dyDescent="0.25">
      <c r="C26" s="108"/>
      <c r="D26" s="109"/>
    </row>
    <row r="27" spans="2:5" x14ac:dyDescent="0.25">
      <c r="C27" s="108"/>
      <c r="D27" s="109"/>
    </row>
    <row r="28" spans="2:5" x14ac:dyDescent="0.25">
      <c r="C28" s="108"/>
      <c r="D28" s="109"/>
    </row>
    <row r="29" spans="2:5" ht="15.75" thickBot="1" x14ac:dyDescent="0.3">
      <c r="C29" s="110"/>
      <c r="D29" s="111"/>
    </row>
    <row r="30" spans="2:5" x14ac:dyDescent="0.25">
      <c r="B30" s="39"/>
      <c r="C30" s="39"/>
      <c r="D30" s="31"/>
      <c r="E30" s="39"/>
    </row>
    <row r="31" spans="2:5" x14ac:dyDescent="0.25">
      <c r="D31" s="19"/>
    </row>
    <row r="32" spans="2:5" x14ac:dyDescent="0.25">
      <c r="D32" s="19"/>
    </row>
  </sheetData>
  <sortState ref="C15:D29">
    <sortCondition descending="1" ref="D14"/>
  </sortState>
  <dataConsolidate/>
  <dataValidations count="3">
    <dataValidation type="list" allowBlank="1" showInputMessage="1" showErrorMessage="1" sqref="C7">
      <formula1>$B$3:$B$5</formula1>
    </dataValidation>
    <dataValidation type="list" allowBlank="1" showInputMessage="1" showErrorMessage="1" sqref="C8">
      <formula1>$AD$10:$AD$13</formula1>
    </dataValidation>
    <dataValidation type="list" allowBlank="1" showInputMessage="1" showErrorMessage="1" sqref="C9">
      <formula1>sucra_list</formula1>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rgb="FF6F8493"/>
  </sheetPr>
  <dimension ref="A2:AI105"/>
  <sheetViews>
    <sheetView showGridLines="0" workbookViewId="0">
      <selection activeCell="G24" sqref="G24:G25"/>
    </sheetView>
  </sheetViews>
  <sheetFormatPr defaultRowHeight="15" x14ac:dyDescent="0.25"/>
  <cols>
    <col min="1" max="1" width="1.5703125" customWidth="1"/>
    <col min="2" max="2" width="1.28515625" customWidth="1"/>
    <col min="8" max="8" width="12.85546875" style="16" customWidth="1"/>
    <col min="9" max="9" width="13.7109375" customWidth="1"/>
    <col min="13" max="13" width="10.5703125" style="16" customWidth="1"/>
    <col min="15" max="15" width="11.28515625" customWidth="1"/>
    <col min="16" max="16" width="11.5703125" customWidth="1"/>
    <col min="17" max="17" width="9.140625" customWidth="1"/>
    <col min="18" max="18" width="18.85546875" customWidth="1"/>
    <col min="19" max="19" width="11.42578125" customWidth="1"/>
    <col min="20" max="20" width="24.42578125" customWidth="1"/>
    <col min="21" max="21" width="33.85546875" customWidth="1"/>
    <col min="22" max="22" width="40" customWidth="1"/>
    <col min="23" max="25" width="9.140625" customWidth="1"/>
    <col min="26" max="27" width="0" hidden="1" customWidth="1"/>
  </cols>
  <sheetData>
    <row r="2" spans="1:35" ht="18" customHeight="1" x14ac:dyDescent="0.25"/>
    <row r="3" spans="1:35" ht="15.75" customHeight="1" thickBot="1" x14ac:dyDescent="0.3"/>
    <row r="4" spans="1:35" ht="15.75" thickBot="1" x14ac:dyDescent="0.3">
      <c r="D4" s="263" t="s">
        <v>37</v>
      </c>
      <c r="E4" s="264"/>
      <c r="F4" s="264"/>
      <c r="G4" s="264"/>
      <c r="H4" s="265"/>
      <c r="I4" s="263" t="s">
        <v>226</v>
      </c>
      <c r="J4" s="264"/>
      <c r="K4" s="264"/>
      <c r="L4" s="264"/>
      <c r="M4" s="265"/>
      <c r="N4" s="40"/>
      <c r="O4" s="266" t="s">
        <v>212</v>
      </c>
      <c r="P4" s="267"/>
      <c r="Q4" s="267"/>
      <c r="R4" s="267"/>
      <c r="S4" s="267"/>
      <c r="T4" s="267"/>
      <c r="U4" s="267"/>
      <c r="V4" s="268"/>
    </row>
    <row r="5" spans="1:35" ht="15.75" thickBot="1" x14ac:dyDescent="0.3">
      <c r="D5" s="269" t="s">
        <v>209</v>
      </c>
      <c r="E5" s="270"/>
      <c r="F5" s="270" t="s">
        <v>210</v>
      </c>
      <c r="G5" s="270"/>
      <c r="H5" s="2" t="s">
        <v>211</v>
      </c>
      <c r="I5" s="269" t="s">
        <v>209</v>
      </c>
      <c r="J5" s="270"/>
      <c r="K5" s="270" t="s">
        <v>210</v>
      </c>
      <c r="L5" s="270"/>
      <c r="M5" s="2" t="s">
        <v>211</v>
      </c>
      <c r="O5" s="117" t="s">
        <v>207</v>
      </c>
      <c r="P5" s="118" t="s">
        <v>208</v>
      </c>
      <c r="Q5" s="46"/>
      <c r="R5" s="46" t="s">
        <v>10</v>
      </c>
      <c r="S5" s="119"/>
      <c r="T5" s="86" t="s">
        <v>213</v>
      </c>
      <c r="U5" s="86" t="s">
        <v>214</v>
      </c>
      <c r="V5" s="65">
        <v>1</v>
      </c>
      <c r="Z5" t="str">
        <f>R5</f>
        <v>Study Name</v>
      </c>
      <c r="AB5" s="262"/>
      <c r="AC5" s="262"/>
      <c r="AD5" s="262"/>
      <c r="AE5" s="262"/>
      <c r="AH5" s="19"/>
      <c r="AI5" s="19"/>
    </row>
    <row r="6" spans="1:35" x14ac:dyDescent="0.25">
      <c r="A6">
        <v>0</v>
      </c>
      <c r="B6">
        <v>0</v>
      </c>
      <c r="D6" s="26"/>
      <c r="E6" s="31"/>
      <c r="F6" s="31"/>
      <c r="G6" s="31"/>
      <c r="H6" s="1" t="str">
        <f>IF(D6="","",G6-E6)</f>
        <v/>
      </c>
      <c r="I6" s="26" t="s">
        <v>483</v>
      </c>
      <c r="J6" s="31">
        <v>1.0169999999999999</v>
      </c>
      <c r="K6" s="31" t="s">
        <v>483</v>
      </c>
      <c r="L6" s="31">
        <v>0.97840000000000005</v>
      </c>
      <c r="M6" s="1">
        <f>IF(I6="","",L6-J6)</f>
        <v>-3.8599999999999857E-2</v>
      </c>
      <c r="O6" s="26" t="str">
        <f t="shared" ref="O6:O69" si="0">IF(D6="","",MID(D6,FIND("[",D6)+1,FIND(",",D6)-FIND("[",D6)-1))</f>
        <v/>
      </c>
      <c r="P6" s="31" t="e">
        <f t="shared" ref="P6:P69" si="1">MID(D6,FIND(",",D6)+1,FIND("]",D6)-FIND(",",D6)-1)</f>
        <v>#VALUE!</v>
      </c>
      <c r="Q6" s="39" t="e">
        <f t="shared" ref="Q6:Q69" si="2">CONCATENATE("t[,",P6,"]")</f>
        <v>#VALUE!</v>
      </c>
      <c r="R6" s="39" t="str">
        <f>IF(D6="","",INDEX('WINBUGS data'!$F$17:$AI$65,'Inconsistency Data'!O6,2))</f>
        <v/>
      </c>
      <c r="S6" s="116" t="e">
        <f>INDEX('WINBUGS data'!$F$17:$AI$65,(O6*1),MATCH(Q6,'WINBUGS data'!$F$16:$AI$16,0))</f>
        <v>#VALUE!</v>
      </c>
      <c r="T6" s="87" t="str">
        <f>IF(D6="","",INDEX('WINBUGS data'!$B$4:$C$18,'Inconsistency Data'!S6,1))</f>
        <v/>
      </c>
      <c r="U6" s="87" t="str">
        <f t="shared" ref="U6:U69" si="3">IF(D6="","",R6&amp; ", "&amp;T6)</f>
        <v/>
      </c>
      <c r="V6" s="64" t="str">
        <f>CHOOSE($V$5,R6,T6,U6)</f>
        <v/>
      </c>
      <c r="Z6" t="str">
        <f>T5</f>
        <v>Treament Name</v>
      </c>
      <c r="AB6" s="39"/>
      <c r="AC6" s="39"/>
      <c r="AD6" s="39"/>
      <c r="AE6" s="39"/>
      <c r="AH6" s="19"/>
      <c r="AI6" s="19"/>
    </row>
    <row r="7" spans="1:35" x14ac:dyDescent="0.25">
      <c r="A7">
        <v>2</v>
      </c>
      <c r="B7">
        <v>2</v>
      </c>
      <c r="D7" s="26"/>
      <c r="E7" s="31"/>
      <c r="F7" s="31"/>
      <c r="G7" s="31"/>
      <c r="H7" s="1" t="str">
        <f t="shared" ref="H7:H70" si="4">IF(D7="","",G7-E7)</f>
        <v/>
      </c>
      <c r="I7" s="26" t="s">
        <v>484</v>
      </c>
      <c r="J7" s="31">
        <v>1.0209999999999999</v>
      </c>
      <c r="K7" s="31" t="s">
        <v>484</v>
      </c>
      <c r="L7" s="31">
        <v>0.96919999999999995</v>
      </c>
      <c r="M7" s="1">
        <f t="shared" ref="M7:M70" si="5">IF(I7="","",L7-J7)</f>
        <v>-5.1799999999999957E-2</v>
      </c>
      <c r="O7" s="26" t="str">
        <f t="shared" si="0"/>
        <v/>
      </c>
      <c r="P7" s="31" t="e">
        <f t="shared" si="1"/>
        <v>#VALUE!</v>
      </c>
      <c r="Q7" s="39" t="e">
        <f t="shared" si="2"/>
        <v>#VALUE!</v>
      </c>
      <c r="R7" s="39" t="str">
        <f>IF(D7="","",INDEX('WINBUGS data'!$F$17:$AI$65,'Inconsistency Data'!O7,2))</f>
        <v/>
      </c>
      <c r="S7" s="219" t="e">
        <f>INDEX('WINBUGS data'!$F$17:$AI$65,(O7*1),MATCH(Q7,'WINBUGS data'!$F$16:$AI$16,0))</f>
        <v>#VALUE!</v>
      </c>
      <c r="T7" s="87" t="str">
        <f>IF(D7="","",INDEX('WINBUGS Data Inconsistency'!$B$4:$C$18,'Inconsistency Data'!S7,1))</f>
        <v/>
      </c>
      <c r="U7" s="87" t="str">
        <f t="shared" si="3"/>
        <v/>
      </c>
      <c r="V7" s="42" t="str">
        <f t="shared" ref="V7:V70" si="6">CHOOSE($V$5,R7,T7,U7)</f>
        <v/>
      </c>
      <c r="Z7" t="str">
        <f>U5</f>
        <v>Study Name, Treatment Name</v>
      </c>
      <c r="AB7" s="39"/>
      <c r="AC7" s="39"/>
      <c r="AD7" s="39"/>
      <c r="AE7" s="39"/>
      <c r="AH7" s="19"/>
      <c r="AI7" s="19"/>
    </row>
    <row r="8" spans="1:35" x14ac:dyDescent="0.25">
      <c r="D8" s="26"/>
      <c r="E8" s="31"/>
      <c r="F8" s="31"/>
      <c r="G8" s="31"/>
      <c r="H8" s="1" t="str">
        <f t="shared" si="4"/>
        <v/>
      </c>
      <c r="I8" s="26" t="s">
        <v>485</v>
      </c>
      <c r="J8" s="31">
        <v>1.0329999999999999</v>
      </c>
      <c r="K8" s="31" t="s">
        <v>485</v>
      </c>
      <c r="L8" s="31">
        <v>0.77639999999999998</v>
      </c>
      <c r="M8" s="1">
        <f t="shared" si="5"/>
        <v>-0.25659999999999994</v>
      </c>
      <c r="O8" s="26" t="str">
        <f t="shared" si="0"/>
        <v/>
      </c>
      <c r="P8" s="31" t="e">
        <f t="shared" si="1"/>
        <v>#VALUE!</v>
      </c>
      <c r="Q8" s="39" t="e">
        <f t="shared" si="2"/>
        <v>#VALUE!</v>
      </c>
      <c r="R8" s="39" t="str">
        <f>IF(D8="","",INDEX('WINBUGS data'!$F$17:$AI$65,'Inconsistency Data'!O8,2))</f>
        <v/>
      </c>
      <c r="S8" s="116" t="e">
        <f>INDEX('WINBUGS data'!$F$17:$AI$65,(O8*1),MATCH(Q8,'WINBUGS data'!$F$16:$AI$16,0))</f>
        <v>#VALUE!</v>
      </c>
      <c r="T8" s="87" t="str">
        <f>IF(D8="","",INDEX('WINBUGS Data Inconsistency'!$B$4:$C$18,'Inconsistency Data'!S8,1))</f>
        <v/>
      </c>
      <c r="U8" s="87" t="str">
        <f t="shared" si="3"/>
        <v/>
      </c>
      <c r="V8" s="42" t="str">
        <f t="shared" si="6"/>
        <v/>
      </c>
      <c r="AB8" s="39"/>
      <c r="AC8" s="39"/>
      <c r="AD8" s="39"/>
      <c r="AE8" s="39"/>
      <c r="AH8" s="19"/>
      <c r="AI8" s="19"/>
    </row>
    <row r="9" spans="1:35" x14ac:dyDescent="0.25">
      <c r="D9" s="26"/>
      <c r="E9" s="31"/>
      <c r="F9" s="31"/>
      <c r="G9" s="31"/>
      <c r="H9" s="1" t="str">
        <f t="shared" si="4"/>
        <v/>
      </c>
      <c r="I9" s="26" t="s">
        <v>486</v>
      </c>
      <c r="J9" s="31">
        <v>0.98740000000000006</v>
      </c>
      <c r="K9" s="31" t="s">
        <v>486</v>
      </c>
      <c r="L9" s="31">
        <v>0.50690000000000002</v>
      </c>
      <c r="M9" s="1">
        <f t="shared" si="5"/>
        <v>-0.48050000000000004</v>
      </c>
      <c r="O9" s="26" t="str">
        <f t="shared" si="0"/>
        <v/>
      </c>
      <c r="P9" s="31" t="e">
        <f t="shared" si="1"/>
        <v>#VALUE!</v>
      </c>
      <c r="Q9" s="39" t="e">
        <f t="shared" si="2"/>
        <v>#VALUE!</v>
      </c>
      <c r="R9" s="39" t="str">
        <f>IF(D9="","",INDEX('WINBUGS data'!$F$17:$AI$65,'Inconsistency Data'!O9,2))</f>
        <v/>
      </c>
      <c r="S9" s="116" t="e">
        <f>INDEX('WINBUGS data'!$F$17:$AI$65,(O9*1),MATCH(Q9,'WINBUGS data'!$F$16:$AI$16,0))</f>
        <v>#VALUE!</v>
      </c>
      <c r="T9" s="87" t="str">
        <f>IF(D9="","",INDEX('WINBUGS Data Inconsistency'!$B$4:$C$18,'Inconsistency Data'!S9,1))</f>
        <v/>
      </c>
      <c r="U9" s="87" t="str">
        <f t="shared" si="3"/>
        <v/>
      </c>
      <c r="V9" s="42" t="str">
        <f t="shared" si="6"/>
        <v/>
      </c>
      <c r="AB9" s="39"/>
      <c r="AC9" s="39"/>
      <c r="AD9" s="39"/>
      <c r="AE9" s="39"/>
      <c r="AH9" s="19"/>
      <c r="AI9" s="19"/>
    </row>
    <row r="10" spans="1:35" x14ac:dyDescent="0.25">
      <c r="D10" s="26"/>
      <c r="E10" s="31"/>
      <c r="F10" s="31"/>
      <c r="G10" s="31"/>
      <c r="H10" s="1" t="str">
        <f t="shared" si="4"/>
        <v/>
      </c>
      <c r="I10" s="26" t="s">
        <v>487</v>
      </c>
      <c r="J10" s="31">
        <v>0.83160000000000001</v>
      </c>
      <c r="K10" s="31" t="s">
        <v>487</v>
      </c>
      <c r="L10" s="31">
        <v>0.87709999999999999</v>
      </c>
      <c r="M10" s="1">
        <f t="shared" si="5"/>
        <v>4.5499999999999985E-2</v>
      </c>
      <c r="O10" s="26" t="str">
        <f t="shared" si="0"/>
        <v/>
      </c>
      <c r="P10" s="31" t="e">
        <f t="shared" si="1"/>
        <v>#VALUE!</v>
      </c>
      <c r="Q10" s="39" t="e">
        <f t="shared" si="2"/>
        <v>#VALUE!</v>
      </c>
      <c r="R10" s="39" t="str">
        <f>IF(D10="","",INDEX('WINBUGS data'!$F$17:$AI$65,'Inconsistency Data'!O10,2))</f>
        <v/>
      </c>
      <c r="S10" s="116" t="e">
        <f>INDEX('WINBUGS data'!$F$17:$AI$65,(O10*1),MATCH(Q10,'WINBUGS data'!$F$16:$AI$16,0))</f>
        <v>#VALUE!</v>
      </c>
      <c r="T10" s="87" t="str">
        <f>IF(D10="","",INDEX('WINBUGS Data Inconsistency'!$B$4:$C$18,'Inconsistency Data'!S10,1))</f>
        <v/>
      </c>
      <c r="U10" s="87" t="str">
        <f t="shared" si="3"/>
        <v/>
      </c>
      <c r="V10" s="42" t="str">
        <f t="shared" si="6"/>
        <v/>
      </c>
      <c r="AB10" s="39"/>
      <c r="AC10" s="39"/>
      <c r="AD10" s="39"/>
      <c r="AE10" s="39"/>
      <c r="AH10" s="19"/>
      <c r="AI10" s="19"/>
    </row>
    <row r="11" spans="1:35" x14ac:dyDescent="0.25">
      <c r="D11" s="26"/>
      <c r="E11" s="31"/>
      <c r="F11" s="31"/>
      <c r="G11" s="31"/>
      <c r="H11" s="1" t="str">
        <f t="shared" si="4"/>
        <v/>
      </c>
      <c r="I11" s="26" t="s">
        <v>488</v>
      </c>
      <c r="J11" s="31">
        <v>0.74819999999999998</v>
      </c>
      <c r="K11" s="31" t="s">
        <v>488</v>
      </c>
      <c r="L11" s="31">
        <v>0.72419999999999995</v>
      </c>
      <c r="M11" s="1">
        <f t="shared" si="5"/>
        <v>-2.4000000000000021E-2</v>
      </c>
      <c r="O11" s="26" t="str">
        <f t="shared" si="0"/>
        <v/>
      </c>
      <c r="P11" s="31" t="e">
        <f t="shared" si="1"/>
        <v>#VALUE!</v>
      </c>
      <c r="Q11" s="39" t="e">
        <f t="shared" si="2"/>
        <v>#VALUE!</v>
      </c>
      <c r="R11" s="39" t="str">
        <f>IF(D11="","",INDEX('WINBUGS data'!$F$17:$AI$65,'Inconsistency Data'!O11,2))</f>
        <v/>
      </c>
      <c r="S11" s="116" t="e">
        <f>INDEX('WINBUGS data'!$F$17:$AI$65,(O11*1),MATCH(Q11,'WINBUGS data'!$F$16:$AI$16,0))</f>
        <v>#VALUE!</v>
      </c>
      <c r="T11" s="87" t="str">
        <f>IF(D11="","",INDEX('WINBUGS Data Inconsistency'!$B$4:$C$18,'Inconsistency Data'!S11,1))</f>
        <v/>
      </c>
      <c r="U11" s="87" t="str">
        <f t="shared" si="3"/>
        <v/>
      </c>
      <c r="V11" s="42" t="str">
        <f t="shared" si="6"/>
        <v/>
      </c>
      <c r="AB11" s="39"/>
      <c r="AC11" s="39"/>
      <c r="AD11" s="39"/>
      <c r="AE11" s="39"/>
      <c r="AH11" s="19"/>
      <c r="AI11" s="19"/>
    </row>
    <row r="12" spans="1:35" x14ac:dyDescent="0.25">
      <c r="D12" s="26"/>
      <c r="E12" s="31"/>
      <c r="F12" s="31"/>
      <c r="G12" s="31"/>
      <c r="H12" s="1" t="str">
        <f t="shared" si="4"/>
        <v/>
      </c>
      <c r="I12" s="26" t="s">
        <v>489</v>
      </c>
      <c r="J12" s="31">
        <v>0.91069999999999995</v>
      </c>
      <c r="K12" s="31" t="s">
        <v>489</v>
      </c>
      <c r="L12" s="31">
        <v>1.1180000000000001</v>
      </c>
      <c r="M12" s="1">
        <f t="shared" si="5"/>
        <v>0.20730000000000015</v>
      </c>
      <c r="O12" s="26" t="str">
        <f t="shared" si="0"/>
        <v/>
      </c>
      <c r="P12" s="31" t="e">
        <f t="shared" si="1"/>
        <v>#VALUE!</v>
      </c>
      <c r="Q12" s="39" t="e">
        <f t="shared" si="2"/>
        <v>#VALUE!</v>
      </c>
      <c r="R12" s="39" t="str">
        <f>IF(D12="","",INDEX('WINBUGS data'!$F$17:$AI$65,'Inconsistency Data'!O12,2))</f>
        <v/>
      </c>
      <c r="S12" s="116" t="e">
        <f>INDEX('WINBUGS data'!$F$17:$AI$65,(O12*1),MATCH(Q12,'WINBUGS data'!$F$16:$AI$16,0))</f>
        <v>#VALUE!</v>
      </c>
      <c r="T12" s="87" t="str">
        <f>IF(D12="","",INDEX('WINBUGS Data Inconsistency'!$B$4:$C$18,'Inconsistency Data'!S12,1))</f>
        <v/>
      </c>
      <c r="U12" s="87" t="str">
        <f t="shared" si="3"/>
        <v/>
      </c>
      <c r="V12" s="42" t="str">
        <f t="shared" si="6"/>
        <v/>
      </c>
      <c r="AB12" s="39"/>
      <c r="AC12" s="39"/>
      <c r="AD12" s="39"/>
      <c r="AE12" s="39"/>
      <c r="AH12" s="19"/>
      <c r="AI12" s="19"/>
    </row>
    <row r="13" spans="1:35" x14ac:dyDescent="0.25">
      <c r="D13" s="26"/>
      <c r="E13" s="31"/>
      <c r="F13" s="31"/>
      <c r="G13" s="31"/>
      <c r="H13" s="1" t="str">
        <f t="shared" si="4"/>
        <v/>
      </c>
      <c r="I13" s="26" t="s">
        <v>490</v>
      </c>
      <c r="J13" s="31">
        <v>0.71909999999999996</v>
      </c>
      <c r="K13" s="31" t="s">
        <v>490</v>
      </c>
      <c r="L13" s="31">
        <v>1.034</v>
      </c>
      <c r="M13" s="1">
        <f t="shared" si="5"/>
        <v>0.31490000000000007</v>
      </c>
      <c r="O13" s="26" t="str">
        <f t="shared" si="0"/>
        <v/>
      </c>
      <c r="P13" s="31" t="e">
        <f t="shared" si="1"/>
        <v>#VALUE!</v>
      </c>
      <c r="Q13" s="39" t="e">
        <f t="shared" si="2"/>
        <v>#VALUE!</v>
      </c>
      <c r="R13" s="39" t="str">
        <f>IF(D13="","",INDEX('WINBUGS data'!$F$17:$AI$65,'Inconsistency Data'!O13,2))</f>
        <v/>
      </c>
      <c r="S13" s="116" t="e">
        <f>INDEX('WINBUGS data'!$F$17:$AI$65,(O13*1),MATCH(Q13,'WINBUGS data'!$F$16:$AI$16,0))</f>
        <v>#VALUE!</v>
      </c>
      <c r="T13" s="87" t="str">
        <f>IF(D13="","",INDEX('WINBUGS Data Inconsistency'!$B$4:$C$18,'Inconsistency Data'!S13,1))</f>
        <v/>
      </c>
      <c r="U13" s="87" t="str">
        <f t="shared" si="3"/>
        <v/>
      </c>
      <c r="V13" s="42" t="str">
        <f t="shared" si="6"/>
        <v/>
      </c>
      <c r="AB13" s="39"/>
      <c r="AC13" s="39"/>
      <c r="AD13" s="39"/>
      <c r="AE13" s="39"/>
      <c r="AH13" s="19"/>
      <c r="AI13" s="19"/>
    </row>
    <row r="14" spans="1:35" x14ac:dyDescent="0.25">
      <c r="D14" s="26"/>
      <c r="E14" s="31"/>
      <c r="F14" s="31"/>
      <c r="G14" s="31"/>
      <c r="H14" s="1" t="str">
        <f t="shared" si="4"/>
        <v/>
      </c>
      <c r="I14" s="26" t="s">
        <v>491</v>
      </c>
      <c r="J14" s="31">
        <v>0.81859999999999999</v>
      </c>
      <c r="K14" s="31" t="s">
        <v>491</v>
      </c>
      <c r="L14" s="31">
        <v>0.87380000000000002</v>
      </c>
      <c r="M14" s="1">
        <f t="shared" si="5"/>
        <v>5.5200000000000027E-2</v>
      </c>
      <c r="O14" s="26" t="str">
        <f t="shared" si="0"/>
        <v/>
      </c>
      <c r="P14" s="31" t="e">
        <f t="shared" si="1"/>
        <v>#VALUE!</v>
      </c>
      <c r="Q14" s="39" t="e">
        <f t="shared" si="2"/>
        <v>#VALUE!</v>
      </c>
      <c r="R14" s="39" t="str">
        <f>IF(D14="","",INDEX('WINBUGS data'!$F$17:$AI$65,'Inconsistency Data'!O14,2))</f>
        <v/>
      </c>
      <c r="S14" s="116" t="e">
        <f>INDEX('WINBUGS data'!$F$17:$AI$65,(O14*1),MATCH(Q14,'WINBUGS data'!$F$16:$AI$16,0))</f>
        <v>#VALUE!</v>
      </c>
      <c r="T14" s="87" t="str">
        <f>IF(D14="","",INDEX('WINBUGS Data Inconsistency'!$B$4:$C$18,'Inconsistency Data'!S14,1))</f>
        <v/>
      </c>
      <c r="U14" s="87" t="str">
        <f t="shared" si="3"/>
        <v/>
      </c>
      <c r="V14" s="42" t="str">
        <f t="shared" si="6"/>
        <v/>
      </c>
      <c r="AB14" s="39"/>
      <c r="AC14" s="39"/>
      <c r="AD14" s="39"/>
      <c r="AE14" s="39"/>
      <c r="AH14" s="19"/>
      <c r="AI14" s="19"/>
    </row>
    <row r="15" spans="1:35" x14ac:dyDescent="0.25">
      <c r="D15" s="26"/>
      <c r="E15" s="31"/>
      <c r="F15" s="31"/>
      <c r="G15" s="31"/>
      <c r="H15" s="1" t="str">
        <f t="shared" si="4"/>
        <v/>
      </c>
      <c r="I15" s="26" t="s">
        <v>492</v>
      </c>
      <c r="J15" s="31">
        <v>0.68910000000000005</v>
      </c>
      <c r="K15" s="31" t="s">
        <v>492</v>
      </c>
      <c r="L15" s="31">
        <v>0.71650000000000003</v>
      </c>
      <c r="M15" s="1">
        <f t="shared" si="5"/>
        <v>2.739999999999998E-2</v>
      </c>
      <c r="O15" s="26" t="str">
        <f t="shared" si="0"/>
        <v/>
      </c>
      <c r="P15" s="31" t="e">
        <f t="shared" si="1"/>
        <v>#VALUE!</v>
      </c>
      <c r="Q15" s="39" t="e">
        <f t="shared" si="2"/>
        <v>#VALUE!</v>
      </c>
      <c r="R15" s="39" t="str">
        <f>IF(D15="","",INDEX('WINBUGS data'!$F$17:$AI$65,'Inconsistency Data'!O15,2))</f>
        <v/>
      </c>
      <c r="S15" s="116" t="e">
        <f>INDEX('WINBUGS data'!$F$17:$AI$65,(O15*1),MATCH(Q15,'WINBUGS data'!$F$16:$AI$16,0))</f>
        <v>#VALUE!</v>
      </c>
      <c r="T15" s="87" t="str">
        <f>IF(D15="","",INDEX('WINBUGS Data Inconsistency'!$B$4:$C$18,'Inconsistency Data'!S15,1))</f>
        <v/>
      </c>
      <c r="U15" s="87" t="str">
        <f t="shared" si="3"/>
        <v/>
      </c>
      <c r="V15" s="42" t="str">
        <f t="shared" si="6"/>
        <v/>
      </c>
      <c r="AB15" s="39"/>
      <c r="AC15" s="39"/>
      <c r="AD15" s="39"/>
      <c r="AE15" s="39"/>
      <c r="AH15" s="19"/>
      <c r="AI15" s="19"/>
    </row>
    <row r="16" spans="1:35" x14ac:dyDescent="0.25">
      <c r="D16" s="26"/>
      <c r="E16" s="31"/>
      <c r="F16" s="31"/>
      <c r="G16" s="31"/>
      <c r="H16" s="1" t="str">
        <f t="shared" si="4"/>
        <v/>
      </c>
      <c r="I16" s="26" t="s">
        <v>493</v>
      </c>
      <c r="J16" s="31">
        <v>1.014</v>
      </c>
      <c r="K16" s="31" t="s">
        <v>493</v>
      </c>
      <c r="L16" s="31">
        <v>1.044</v>
      </c>
      <c r="M16" s="1">
        <f t="shared" si="5"/>
        <v>3.0000000000000027E-2</v>
      </c>
      <c r="O16" s="26" t="str">
        <f t="shared" si="0"/>
        <v/>
      </c>
      <c r="P16" s="31" t="e">
        <f t="shared" si="1"/>
        <v>#VALUE!</v>
      </c>
      <c r="Q16" s="39" t="e">
        <f t="shared" si="2"/>
        <v>#VALUE!</v>
      </c>
      <c r="R16" s="39" t="str">
        <f>IF(D16="","",INDEX('WINBUGS data'!$F$17:$AI$65,'Inconsistency Data'!O16,2))</f>
        <v/>
      </c>
      <c r="S16" s="116" t="e">
        <f>INDEX('WINBUGS data'!$F$17:$AI$65,(O16*1),MATCH(Q16,'WINBUGS data'!$F$16:$AI$16,0))</f>
        <v>#VALUE!</v>
      </c>
      <c r="T16" s="87" t="str">
        <f>IF(D16="","",INDEX('WINBUGS Data Inconsistency'!$B$4:$C$18,'Inconsistency Data'!S16,1))</f>
        <v/>
      </c>
      <c r="U16" s="87" t="str">
        <f t="shared" si="3"/>
        <v/>
      </c>
      <c r="V16" s="42" t="str">
        <f t="shared" si="6"/>
        <v/>
      </c>
      <c r="AB16" s="39"/>
      <c r="AC16" s="39"/>
      <c r="AD16" s="39"/>
      <c r="AE16" s="39"/>
      <c r="AH16" s="19"/>
      <c r="AI16" s="19"/>
    </row>
    <row r="17" spans="4:35" x14ac:dyDescent="0.25">
      <c r="D17" s="26"/>
      <c r="E17" s="31"/>
      <c r="F17" s="31"/>
      <c r="G17" s="31"/>
      <c r="H17" s="1" t="str">
        <f t="shared" si="4"/>
        <v/>
      </c>
      <c r="I17" s="26" t="s">
        <v>494</v>
      </c>
      <c r="J17" s="31">
        <v>1.02</v>
      </c>
      <c r="K17" s="31" t="s">
        <v>494</v>
      </c>
      <c r="L17" s="31">
        <v>0.95020000000000004</v>
      </c>
      <c r="M17" s="1">
        <f t="shared" si="5"/>
        <v>-6.9799999999999973E-2</v>
      </c>
      <c r="O17" s="26" t="str">
        <f t="shared" si="0"/>
        <v/>
      </c>
      <c r="P17" s="31" t="e">
        <f t="shared" si="1"/>
        <v>#VALUE!</v>
      </c>
      <c r="Q17" s="39" t="e">
        <f t="shared" si="2"/>
        <v>#VALUE!</v>
      </c>
      <c r="R17" s="39" t="str">
        <f>IF(D17="","",INDEX('WINBUGS data'!$F$17:$AI$65,'Inconsistency Data'!O17,2))</f>
        <v/>
      </c>
      <c r="S17" s="116" t="e">
        <f>INDEX('WINBUGS data'!$F$17:$AI$65,(O17*1),MATCH(Q17,'WINBUGS data'!$F$16:$AI$16,0))</f>
        <v>#VALUE!</v>
      </c>
      <c r="T17" s="87" t="str">
        <f>IF(D17="","",INDEX('WINBUGS Data Inconsistency'!$B$4:$C$18,'Inconsistency Data'!S17,1))</f>
        <v/>
      </c>
      <c r="U17" s="87" t="str">
        <f t="shared" si="3"/>
        <v/>
      </c>
      <c r="V17" s="42" t="str">
        <f t="shared" si="6"/>
        <v/>
      </c>
      <c r="AB17" s="39"/>
      <c r="AC17" s="39"/>
      <c r="AD17" s="39"/>
      <c r="AE17" s="39"/>
      <c r="AH17" s="19"/>
      <c r="AI17" s="19"/>
    </row>
    <row r="18" spans="4:35" x14ac:dyDescent="0.25">
      <c r="D18" s="26"/>
      <c r="E18" s="31"/>
      <c r="F18" s="31"/>
      <c r="G18" s="31"/>
      <c r="H18" s="1" t="str">
        <f t="shared" si="4"/>
        <v/>
      </c>
      <c r="I18" s="26" t="s">
        <v>495</v>
      </c>
      <c r="J18" s="31">
        <v>1.03</v>
      </c>
      <c r="K18" s="31" t="s">
        <v>495</v>
      </c>
      <c r="L18" s="31">
        <v>1.0009999999999999</v>
      </c>
      <c r="M18" s="1">
        <f t="shared" si="5"/>
        <v>-2.9000000000000137E-2</v>
      </c>
      <c r="O18" s="26" t="str">
        <f t="shared" si="0"/>
        <v/>
      </c>
      <c r="P18" s="31" t="e">
        <f t="shared" si="1"/>
        <v>#VALUE!</v>
      </c>
      <c r="Q18" s="39" t="e">
        <f t="shared" si="2"/>
        <v>#VALUE!</v>
      </c>
      <c r="R18" s="39" t="str">
        <f>IF(D18="","",INDEX('WINBUGS data'!$F$17:$AI$65,'Inconsistency Data'!O18,2))</f>
        <v/>
      </c>
      <c r="S18" s="116" t="e">
        <f>INDEX('WINBUGS data'!$F$17:$AI$65,(O18*1),MATCH(Q18,'WINBUGS data'!$F$16:$AI$16,0))</f>
        <v>#VALUE!</v>
      </c>
      <c r="T18" s="87" t="str">
        <f>IF(D18="","",INDEX('WINBUGS Data Inconsistency'!$B$4:$C$18,'Inconsistency Data'!S18,1))</f>
        <v/>
      </c>
      <c r="U18" s="87" t="str">
        <f t="shared" si="3"/>
        <v/>
      </c>
      <c r="V18" s="42" t="str">
        <f t="shared" si="6"/>
        <v/>
      </c>
      <c r="AB18" s="39"/>
      <c r="AC18" s="39"/>
      <c r="AD18" s="39"/>
      <c r="AE18" s="39"/>
      <c r="AH18" s="19"/>
      <c r="AI18" s="19"/>
    </row>
    <row r="19" spans="4:35" x14ac:dyDescent="0.25">
      <c r="D19" s="26"/>
      <c r="E19" s="31"/>
      <c r="F19" s="31"/>
      <c r="G19" s="31"/>
      <c r="H19" s="1" t="str">
        <f t="shared" si="4"/>
        <v/>
      </c>
      <c r="I19" s="26" t="s">
        <v>496</v>
      </c>
      <c r="J19" s="31">
        <v>1.0760000000000001</v>
      </c>
      <c r="K19" s="31" t="s">
        <v>496</v>
      </c>
      <c r="L19" s="31">
        <v>1.0169999999999999</v>
      </c>
      <c r="M19" s="1">
        <f t="shared" si="5"/>
        <v>-5.9000000000000163E-2</v>
      </c>
      <c r="O19" s="26" t="str">
        <f t="shared" si="0"/>
        <v/>
      </c>
      <c r="P19" s="31" t="e">
        <f t="shared" si="1"/>
        <v>#VALUE!</v>
      </c>
      <c r="Q19" s="39" t="e">
        <f t="shared" si="2"/>
        <v>#VALUE!</v>
      </c>
      <c r="R19" s="39" t="str">
        <f>IF(D19="","",INDEX('WINBUGS data'!$F$17:$AI$65,'Inconsistency Data'!O19,2))</f>
        <v/>
      </c>
      <c r="S19" s="116" t="e">
        <f>INDEX('WINBUGS data'!$F$17:$AI$65,(O19*1),MATCH(Q19,'WINBUGS data'!$F$16:$AI$16,0))</f>
        <v>#VALUE!</v>
      </c>
      <c r="T19" s="87" t="str">
        <f>IF(D19="","",INDEX('WINBUGS Data Inconsistency'!$B$4:$C$18,'Inconsistency Data'!S19,1))</f>
        <v/>
      </c>
      <c r="U19" s="87" t="str">
        <f t="shared" si="3"/>
        <v/>
      </c>
      <c r="V19" s="42" t="str">
        <f t="shared" si="6"/>
        <v/>
      </c>
      <c r="AB19" s="39"/>
      <c r="AC19" s="39"/>
      <c r="AD19" s="39"/>
      <c r="AE19" s="39"/>
      <c r="AH19" s="19"/>
      <c r="AI19" s="19"/>
    </row>
    <row r="20" spans="4:35" x14ac:dyDescent="0.25">
      <c r="D20" s="26"/>
      <c r="E20" s="31"/>
      <c r="F20" s="31"/>
      <c r="G20" s="31"/>
      <c r="H20" s="1" t="str">
        <f t="shared" si="4"/>
        <v/>
      </c>
      <c r="I20" s="26" t="s">
        <v>497</v>
      </c>
      <c r="J20" s="31">
        <v>1.0029999999999999</v>
      </c>
      <c r="K20" s="31" t="s">
        <v>497</v>
      </c>
      <c r="L20" s="31">
        <v>0.88039999999999996</v>
      </c>
      <c r="M20" s="1">
        <f t="shared" si="5"/>
        <v>-0.12259999999999993</v>
      </c>
      <c r="O20" s="26" t="str">
        <f t="shared" si="0"/>
        <v/>
      </c>
      <c r="P20" s="31" t="e">
        <f t="shared" si="1"/>
        <v>#VALUE!</v>
      </c>
      <c r="Q20" s="39" t="e">
        <f t="shared" si="2"/>
        <v>#VALUE!</v>
      </c>
      <c r="R20" s="39" t="str">
        <f>IF(D20="","",INDEX('WINBUGS data'!$F$17:$AI$65,'Inconsistency Data'!O20,2))</f>
        <v/>
      </c>
      <c r="S20" s="116" t="e">
        <f>INDEX('WINBUGS data'!$F$17:$AI$65,(O20*1),MATCH(Q20,'WINBUGS data'!$F$16:$AI$16,0))</f>
        <v>#VALUE!</v>
      </c>
      <c r="T20" s="87" t="str">
        <f>IF(D20="","",INDEX('WINBUGS Data Inconsistency'!$B$4:$C$18,'Inconsistency Data'!S20,1))</f>
        <v/>
      </c>
      <c r="U20" s="87" t="str">
        <f t="shared" si="3"/>
        <v/>
      </c>
      <c r="V20" s="42" t="str">
        <f t="shared" si="6"/>
        <v/>
      </c>
      <c r="AB20" s="39"/>
      <c r="AC20" s="39"/>
      <c r="AD20" s="39"/>
      <c r="AE20" s="39"/>
      <c r="AH20" s="19"/>
      <c r="AI20" s="19"/>
    </row>
    <row r="21" spans="4:35" x14ac:dyDescent="0.25">
      <c r="D21" s="26"/>
      <c r="E21" s="31"/>
      <c r="F21" s="31"/>
      <c r="G21" s="31"/>
      <c r="H21" s="1" t="str">
        <f t="shared" si="4"/>
        <v/>
      </c>
      <c r="I21" s="26" t="s">
        <v>498</v>
      </c>
      <c r="J21" s="31">
        <v>1.0149999999999999</v>
      </c>
      <c r="K21" s="31" t="s">
        <v>498</v>
      </c>
      <c r="L21" s="31">
        <v>0.96399999999999997</v>
      </c>
      <c r="M21" s="1">
        <f t="shared" si="5"/>
        <v>-5.0999999999999934E-2</v>
      </c>
      <c r="O21" s="26" t="str">
        <f t="shared" si="0"/>
        <v/>
      </c>
      <c r="P21" s="31" t="e">
        <f t="shared" si="1"/>
        <v>#VALUE!</v>
      </c>
      <c r="Q21" s="39" t="e">
        <f t="shared" si="2"/>
        <v>#VALUE!</v>
      </c>
      <c r="R21" s="39" t="str">
        <f>IF(D21="","",INDEX('WINBUGS data'!$F$17:$AI$65,'Inconsistency Data'!O21,2))</f>
        <v/>
      </c>
      <c r="S21" s="116" t="e">
        <f>INDEX('WINBUGS data'!$F$17:$AI$65,(O21*1),MATCH(Q21,'WINBUGS data'!$F$16:$AI$16,0))</f>
        <v>#VALUE!</v>
      </c>
      <c r="T21" s="87" t="str">
        <f>IF(D21="","",INDEX('WINBUGS Data Inconsistency'!$B$4:$C$18,'Inconsistency Data'!S21,1))</f>
        <v/>
      </c>
      <c r="U21" s="87" t="str">
        <f t="shared" si="3"/>
        <v/>
      </c>
      <c r="V21" s="42" t="str">
        <f t="shared" si="6"/>
        <v/>
      </c>
      <c r="AB21" s="39"/>
      <c r="AC21" s="39"/>
      <c r="AD21" s="39"/>
      <c r="AE21" s="39"/>
      <c r="AH21" s="19"/>
      <c r="AI21" s="19"/>
    </row>
    <row r="22" spans="4:35" x14ac:dyDescent="0.25">
      <c r="D22" s="26"/>
      <c r="E22" s="31"/>
      <c r="F22" s="31"/>
      <c r="G22" s="31"/>
      <c r="H22" s="1" t="str">
        <f t="shared" si="4"/>
        <v/>
      </c>
      <c r="I22" s="26" t="s">
        <v>499</v>
      </c>
      <c r="J22" s="31">
        <v>0.99170000000000003</v>
      </c>
      <c r="K22" s="31" t="s">
        <v>499</v>
      </c>
      <c r="L22" s="31">
        <v>1.0089999999999999</v>
      </c>
      <c r="M22" s="1">
        <f t="shared" si="5"/>
        <v>1.7299999999999871E-2</v>
      </c>
      <c r="O22" s="26" t="str">
        <f t="shared" si="0"/>
        <v/>
      </c>
      <c r="P22" s="31" t="e">
        <f t="shared" si="1"/>
        <v>#VALUE!</v>
      </c>
      <c r="Q22" s="39" t="e">
        <f t="shared" si="2"/>
        <v>#VALUE!</v>
      </c>
      <c r="R22" s="39" t="str">
        <f>IF(D22="","",INDEX('WINBUGS data'!$F$17:$AI$65,'Inconsistency Data'!O22,2))</f>
        <v/>
      </c>
      <c r="S22" s="116" t="e">
        <f>INDEX('WINBUGS data'!$F$17:$AI$65,(O22*1),MATCH(Q22,'WINBUGS data'!$F$16:$AI$16,0))</f>
        <v>#VALUE!</v>
      </c>
      <c r="T22" s="87" t="str">
        <f>IF(D22="","",INDEX('WINBUGS Data Inconsistency'!$B$4:$C$18,'Inconsistency Data'!S22,1))</f>
        <v/>
      </c>
      <c r="U22" s="87" t="str">
        <f t="shared" si="3"/>
        <v/>
      </c>
      <c r="V22" s="42" t="str">
        <f t="shared" si="6"/>
        <v/>
      </c>
      <c r="AB22" s="39"/>
      <c r="AC22" s="39"/>
      <c r="AD22" s="39"/>
      <c r="AE22" s="39"/>
      <c r="AH22" s="19"/>
      <c r="AI22" s="19"/>
    </row>
    <row r="23" spans="4:35" x14ac:dyDescent="0.25">
      <c r="D23" s="26"/>
      <c r="E23" s="31"/>
      <c r="F23" s="31"/>
      <c r="G23" s="31"/>
      <c r="H23" s="1" t="str">
        <f t="shared" si="4"/>
        <v/>
      </c>
      <c r="I23" s="26" t="s">
        <v>500</v>
      </c>
      <c r="J23" s="31">
        <v>1.0049999999999999</v>
      </c>
      <c r="K23" s="31" t="s">
        <v>500</v>
      </c>
      <c r="L23" s="31">
        <v>1.0109999999999999</v>
      </c>
      <c r="M23" s="1">
        <f t="shared" si="5"/>
        <v>6.0000000000000053E-3</v>
      </c>
      <c r="O23" s="26" t="str">
        <f t="shared" si="0"/>
        <v/>
      </c>
      <c r="P23" s="31" t="e">
        <f t="shared" si="1"/>
        <v>#VALUE!</v>
      </c>
      <c r="Q23" s="39" t="e">
        <f t="shared" si="2"/>
        <v>#VALUE!</v>
      </c>
      <c r="R23" s="39" t="str">
        <f>IF(D23="","",INDEX('WINBUGS data'!$F$17:$AI$65,'Inconsistency Data'!O23,2))</f>
        <v/>
      </c>
      <c r="S23" s="116" t="e">
        <f>INDEX('WINBUGS data'!$F$17:$AI$65,(O23*1),MATCH(Q23,'WINBUGS data'!$F$16:$AI$16,0))</f>
        <v>#VALUE!</v>
      </c>
      <c r="T23" s="87" t="str">
        <f>IF(D23="","",INDEX('WINBUGS Data Inconsistency'!$B$4:$C$18,'Inconsistency Data'!S23,1))</f>
        <v/>
      </c>
      <c r="U23" s="87" t="str">
        <f t="shared" si="3"/>
        <v/>
      </c>
      <c r="V23" s="42" t="str">
        <f t="shared" si="6"/>
        <v/>
      </c>
      <c r="AB23" s="39"/>
      <c r="AC23" s="39"/>
      <c r="AD23" s="39"/>
      <c r="AE23" s="39"/>
      <c r="AH23" s="19"/>
      <c r="AI23" s="19"/>
    </row>
    <row r="24" spans="4:35" x14ac:dyDescent="0.25">
      <c r="D24" s="26"/>
      <c r="E24" s="31"/>
      <c r="F24" s="31"/>
      <c r="G24" s="31"/>
      <c r="H24" s="1" t="str">
        <f t="shared" si="4"/>
        <v/>
      </c>
      <c r="I24" s="26" t="s">
        <v>501</v>
      </c>
      <c r="J24" s="31">
        <v>0.83889999999999998</v>
      </c>
      <c r="K24" s="31" t="s">
        <v>501</v>
      </c>
      <c r="L24" s="31">
        <v>0.83789999999999998</v>
      </c>
      <c r="M24" s="1">
        <f t="shared" si="5"/>
        <v>-1.0000000000000009E-3</v>
      </c>
      <c r="O24" s="26" t="str">
        <f t="shared" si="0"/>
        <v/>
      </c>
      <c r="P24" s="31" t="e">
        <f t="shared" si="1"/>
        <v>#VALUE!</v>
      </c>
      <c r="Q24" s="39" t="e">
        <f t="shared" si="2"/>
        <v>#VALUE!</v>
      </c>
      <c r="R24" s="39" t="str">
        <f>IF(D24="","",INDEX('WINBUGS data'!$F$17:$AI$65,'Inconsistency Data'!O24,2))</f>
        <v/>
      </c>
      <c r="S24" s="116" t="e">
        <f>INDEX('WINBUGS data'!$F$17:$AI$65,(O24*1),MATCH(Q24,'WINBUGS data'!$F$16:$AI$16,0))</f>
        <v>#VALUE!</v>
      </c>
      <c r="T24" s="87" t="str">
        <f>IF(D24="","",INDEX('WINBUGS Data Inconsistency'!$B$4:$C$18,'Inconsistency Data'!S24,1))</f>
        <v/>
      </c>
      <c r="U24" s="87" t="str">
        <f t="shared" si="3"/>
        <v/>
      </c>
      <c r="V24" s="42" t="str">
        <f t="shared" si="6"/>
        <v/>
      </c>
      <c r="AB24" s="39"/>
      <c r="AC24" s="39"/>
      <c r="AD24" s="39"/>
      <c r="AE24" s="39"/>
      <c r="AH24" s="19"/>
      <c r="AI24" s="19"/>
    </row>
    <row r="25" spans="4:35" x14ac:dyDescent="0.25">
      <c r="D25" s="26"/>
      <c r="E25" s="31"/>
      <c r="F25" s="31"/>
      <c r="G25" s="31"/>
      <c r="H25" s="1" t="str">
        <f t="shared" si="4"/>
        <v/>
      </c>
      <c r="I25" s="26" t="s">
        <v>502</v>
      </c>
      <c r="J25" s="31">
        <v>0.90129999999999999</v>
      </c>
      <c r="K25" s="31" t="s">
        <v>502</v>
      </c>
      <c r="L25" s="31">
        <v>0.85219999999999996</v>
      </c>
      <c r="M25" s="1">
        <f t="shared" si="5"/>
        <v>-4.9100000000000033E-2</v>
      </c>
      <c r="O25" s="26" t="str">
        <f t="shared" si="0"/>
        <v/>
      </c>
      <c r="P25" s="31" t="e">
        <f t="shared" si="1"/>
        <v>#VALUE!</v>
      </c>
      <c r="Q25" s="39" t="e">
        <f t="shared" si="2"/>
        <v>#VALUE!</v>
      </c>
      <c r="R25" s="39" t="str">
        <f>IF(D25="","",INDEX('WINBUGS data'!$F$17:$AI$65,'Inconsistency Data'!O25,2))</f>
        <v/>
      </c>
      <c r="S25" s="116" t="e">
        <f>INDEX('WINBUGS data'!$F$17:$AI$65,(O25*1),MATCH(Q25,'WINBUGS data'!$F$16:$AI$16,0))</f>
        <v>#VALUE!</v>
      </c>
      <c r="T25" s="87" t="str">
        <f>IF(D25="","",INDEX('WINBUGS Data Inconsistency'!$B$4:$C$18,'Inconsistency Data'!S25,1))</f>
        <v/>
      </c>
      <c r="U25" s="87" t="str">
        <f t="shared" si="3"/>
        <v/>
      </c>
      <c r="V25" s="42" t="str">
        <f t="shared" si="6"/>
        <v/>
      </c>
      <c r="AB25" s="39"/>
      <c r="AC25" s="39"/>
      <c r="AD25" s="39"/>
      <c r="AE25" s="39"/>
      <c r="AH25" s="19"/>
      <c r="AI25" s="19"/>
    </row>
    <row r="26" spans="4:35" x14ac:dyDescent="0.25">
      <c r="D26" s="41"/>
      <c r="E26" s="39"/>
      <c r="F26" s="39"/>
      <c r="G26" s="39"/>
      <c r="H26" s="52" t="str">
        <f t="shared" si="4"/>
        <v/>
      </c>
      <c r="I26" s="41" t="s">
        <v>503</v>
      </c>
      <c r="J26" s="39">
        <v>0.84019999999999995</v>
      </c>
      <c r="K26" s="39" t="s">
        <v>503</v>
      </c>
      <c r="L26" s="39">
        <v>0.62460000000000004</v>
      </c>
      <c r="M26" s="52">
        <f t="shared" si="5"/>
        <v>-0.2155999999999999</v>
      </c>
      <c r="O26" s="26" t="str">
        <f t="shared" si="0"/>
        <v/>
      </c>
      <c r="P26" s="31" t="e">
        <f t="shared" si="1"/>
        <v>#VALUE!</v>
      </c>
      <c r="Q26" s="39" t="e">
        <f t="shared" si="2"/>
        <v>#VALUE!</v>
      </c>
      <c r="R26" s="39" t="str">
        <f>IF(D26="","",INDEX('WINBUGS data'!$F$17:$AI$65,'Inconsistency Data'!O26,2))</f>
        <v/>
      </c>
      <c r="S26" s="116" t="e">
        <f>INDEX('WINBUGS data'!$F$17:$AI$65,(O26*1),MATCH(Q26,'WINBUGS data'!$F$16:$AI$16,0))</f>
        <v>#VALUE!</v>
      </c>
      <c r="T26" s="87" t="str">
        <f>IF(D26="","",INDEX('WINBUGS Data Inconsistency'!$B$4:$C$18,'Inconsistency Data'!S26,1))</f>
        <v/>
      </c>
      <c r="U26" s="87" t="str">
        <f t="shared" si="3"/>
        <v/>
      </c>
      <c r="V26" s="42" t="str">
        <f t="shared" si="6"/>
        <v/>
      </c>
    </row>
    <row r="27" spans="4:35" x14ac:dyDescent="0.25">
      <c r="D27" s="41"/>
      <c r="E27" s="39"/>
      <c r="F27" s="39"/>
      <c r="G27" s="39"/>
      <c r="H27" s="52" t="str">
        <f t="shared" si="4"/>
        <v/>
      </c>
      <c r="I27" s="41" t="s">
        <v>504</v>
      </c>
      <c r="J27" s="39">
        <v>0.78390000000000004</v>
      </c>
      <c r="K27" s="39" t="s">
        <v>504</v>
      </c>
      <c r="L27" s="39">
        <v>0.64249999999999996</v>
      </c>
      <c r="M27" s="52">
        <f t="shared" si="5"/>
        <v>-0.14140000000000008</v>
      </c>
      <c r="O27" s="26" t="str">
        <f t="shared" si="0"/>
        <v/>
      </c>
      <c r="P27" s="31" t="e">
        <f t="shared" si="1"/>
        <v>#VALUE!</v>
      </c>
      <c r="Q27" s="39" t="e">
        <f t="shared" si="2"/>
        <v>#VALUE!</v>
      </c>
      <c r="R27" s="39" t="str">
        <f>IF(D27="","",INDEX('WINBUGS data'!$F$17:$AI$65,'Inconsistency Data'!O27,2))</f>
        <v/>
      </c>
      <c r="S27" s="116" t="e">
        <f>INDEX('WINBUGS data'!$F$17:$AI$65,(O27*1),MATCH(Q27,'WINBUGS data'!$F$16:$AI$16,0))</f>
        <v>#VALUE!</v>
      </c>
      <c r="T27" s="87" t="str">
        <f>IF(D27="","",INDEX('WINBUGS Data Inconsistency'!$B$4:$C$18,'Inconsistency Data'!S27,1))</f>
        <v/>
      </c>
      <c r="U27" s="87" t="str">
        <f t="shared" si="3"/>
        <v/>
      </c>
      <c r="V27" s="42" t="str">
        <f t="shared" si="6"/>
        <v/>
      </c>
    </row>
    <row r="28" spans="4:35" x14ac:dyDescent="0.25">
      <c r="D28" s="41"/>
      <c r="E28" s="39"/>
      <c r="F28" s="39"/>
      <c r="G28" s="39"/>
      <c r="H28" s="52" t="str">
        <f t="shared" si="4"/>
        <v/>
      </c>
      <c r="I28" s="41" t="s">
        <v>505</v>
      </c>
      <c r="J28" s="39">
        <v>1.0349999999999999</v>
      </c>
      <c r="K28" s="39" t="s">
        <v>505</v>
      </c>
      <c r="L28" s="39">
        <v>0.91590000000000005</v>
      </c>
      <c r="M28" s="52">
        <f t="shared" si="5"/>
        <v>-0.11909999999999987</v>
      </c>
      <c r="O28" s="26" t="str">
        <f t="shared" si="0"/>
        <v/>
      </c>
      <c r="P28" s="31" t="e">
        <f t="shared" si="1"/>
        <v>#VALUE!</v>
      </c>
      <c r="Q28" s="39" t="e">
        <f t="shared" si="2"/>
        <v>#VALUE!</v>
      </c>
      <c r="R28" s="39" t="str">
        <f>IF(D28="","",INDEX('WINBUGS data'!$F$17:$AI$65,'Inconsistency Data'!O28,2))</f>
        <v/>
      </c>
      <c r="S28" s="116" t="e">
        <f>INDEX('WINBUGS data'!$F$17:$AI$65,(O28*1),MATCH(Q28,'WINBUGS data'!$F$16:$AI$16,0))</f>
        <v>#VALUE!</v>
      </c>
      <c r="T28" s="87" t="str">
        <f>IF(D28="","",INDEX('WINBUGS Data Inconsistency'!$B$4:$C$18,'Inconsistency Data'!S28,1))</f>
        <v/>
      </c>
      <c r="U28" s="87" t="str">
        <f t="shared" si="3"/>
        <v/>
      </c>
      <c r="V28" s="42" t="str">
        <f t="shared" si="6"/>
        <v/>
      </c>
    </row>
    <row r="29" spans="4:35" x14ac:dyDescent="0.25">
      <c r="D29" s="41"/>
      <c r="E29" s="39"/>
      <c r="F29" s="39"/>
      <c r="G29" s="39"/>
      <c r="H29" s="52" t="str">
        <f t="shared" si="4"/>
        <v/>
      </c>
      <c r="I29" s="41" t="s">
        <v>506</v>
      </c>
      <c r="J29" s="39">
        <v>1.0129999999999999</v>
      </c>
      <c r="K29" s="39" t="s">
        <v>506</v>
      </c>
      <c r="L29" s="39">
        <v>0.92720000000000002</v>
      </c>
      <c r="M29" s="52">
        <f t="shared" si="5"/>
        <v>-8.5799999999999876E-2</v>
      </c>
      <c r="O29" s="26" t="str">
        <f t="shared" si="0"/>
        <v/>
      </c>
      <c r="P29" s="31" t="e">
        <f t="shared" si="1"/>
        <v>#VALUE!</v>
      </c>
      <c r="Q29" s="39" t="e">
        <f t="shared" si="2"/>
        <v>#VALUE!</v>
      </c>
      <c r="R29" s="39" t="str">
        <f>IF(D29="","",INDEX('WINBUGS data'!$F$17:$AI$65,'Inconsistency Data'!O29,2))</f>
        <v/>
      </c>
      <c r="S29" s="116" t="e">
        <f>INDEX('WINBUGS data'!$F$17:$AI$65,(O29*1),MATCH(Q29,'WINBUGS data'!$F$16:$AI$16,0))</f>
        <v>#VALUE!</v>
      </c>
      <c r="T29" s="87" t="str">
        <f>IF(D29="","",INDEX('WINBUGS Data Inconsistency'!$B$4:$C$18,'Inconsistency Data'!S29,1))</f>
        <v/>
      </c>
      <c r="U29" s="87" t="str">
        <f t="shared" si="3"/>
        <v/>
      </c>
      <c r="V29" s="42" t="str">
        <f t="shared" si="6"/>
        <v/>
      </c>
    </row>
    <row r="30" spans="4:35" x14ac:dyDescent="0.25">
      <c r="D30" s="41"/>
      <c r="E30" s="39"/>
      <c r="F30" s="39"/>
      <c r="G30" s="39"/>
      <c r="H30" s="52" t="str">
        <f t="shared" si="4"/>
        <v/>
      </c>
      <c r="I30" s="41" t="s">
        <v>507</v>
      </c>
      <c r="J30" s="39">
        <v>0.86629999999999996</v>
      </c>
      <c r="K30" s="39" t="s">
        <v>507</v>
      </c>
      <c r="L30" s="39">
        <v>0.96199999999999997</v>
      </c>
      <c r="M30" s="52">
        <f t="shared" si="5"/>
        <v>9.5700000000000007E-2</v>
      </c>
      <c r="O30" s="26" t="str">
        <f t="shared" si="0"/>
        <v/>
      </c>
      <c r="P30" s="31" t="e">
        <f t="shared" si="1"/>
        <v>#VALUE!</v>
      </c>
      <c r="Q30" s="39" t="e">
        <f t="shared" si="2"/>
        <v>#VALUE!</v>
      </c>
      <c r="R30" s="39" t="str">
        <f>IF(D30="","",INDEX('WINBUGS data'!$F$17:$AI$65,'Inconsistency Data'!O30,2))</f>
        <v/>
      </c>
      <c r="S30" s="116" t="e">
        <f>INDEX('WINBUGS data'!$F$17:$AI$65,(O30*1),MATCH(Q30,'WINBUGS data'!$F$16:$AI$16,0))</f>
        <v>#VALUE!</v>
      </c>
      <c r="T30" s="87" t="str">
        <f>IF(D30="","",INDEX('WINBUGS Data Inconsistency'!$B$4:$C$18,'Inconsistency Data'!S30,1))</f>
        <v/>
      </c>
      <c r="U30" s="87" t="str">
        <f t="shared" si="3"/>
        <v/>
      </c>
      <c r="V30" s="42" t="str">
        <f t="shared" si="6"/>
        <v/>
      </c>
    </row>
    <row r="31" spans="4:35" x14ac:dyDescent="0.25">
      <c r="D31" s="41"/>
      <c r="E31" s="39"/>
      <c r="F31" s="39"/>
      <c r="G31" s="39"/>
      <c r="H31" s="52" t="str">
        <f t="shared" si="4"/>
        <v/>
      </c>
      <c r="I31" s="41" t="s">
        <v>508</v>
      </c>
      <c r="J31" s="39">
        <v>0.98499999999999999</v>
      </c>
      <c r="K31" s="39" t="s">
        <v>508</v>
      </c>
      <c r="L31" s="39">
        <v>1.0880000000000001</v>
      </c>
      <c r="M31" s="52">
        <f t="shared" si="5"/>
        <v>0.10300000000000009</v>
      </c>
      <c r="O31" s="26" t="str">
        <f t="shared" si="0"/>
        <v/>
      </c>
      <c r="P31" s="31" t="e">
        <f t="shared" si="1"/>
        <v>#VALUE!</v>
      </c>
      <c r="Q31" s="39" t="e">
        <f t="shared" si="2"/>
        <v>#VALUE!</v>
      </c>
      <c r="R31" s="39" t="str">
        <f>IF(D31="","",INDEX('WINBUGS data'!$F$17:$AI$65,'Inconsistency Data'!O31,2))</f>
        <v/>
      </c>
      <c r="S31" s="116" t="e">
        <f>INDEX('WINBUGS data'!$F$17:$AI$65,(O31*1),MATCH(Q31,'WINBUGS data'!$F$16:$AI$16,0))</f>
        <v>#VALUE!</v>
      </c>
      <c r="T31" s="87" t="str">
        <f>IF(D31="","",INDEX('WINBUGS Data Inconsistency'!$B$4:$C$18,'Inconsistency Data'!S31,1))</f>
        <v/>
      </c>
      <c r="U31" s="87" t="str">
        <f t="shared" si="3"/>
        <v/>
      </c>
      <c r="V31" s="42" t="str">
        <f t="shared" si="6"/>
        <v/>
      </c>
    </row>
    <row r="32" spans="4:35" hidden="1" x14ac:dyDescent="0.25">
      <c r="D32" s="41"/>
      <c r="E32" s="39"/>
      <c r="F32" s="39"/>
      <c r="G32" s="39"/>
      <c r="H32" s="52" t="str">
        <f t="shared" si="4"/>
        <v/>
      </c>
      <c r="I32" s="41" t="s">
        <v>509</v>
      </c>
      <c r="J32" s="39">
        <v>0.83109999999999995</v>
      </c>
      <c r="K32" s="39" t="s">
        <v>509</v>
      </c>
      <c r="L32" s="39">
        <v>0.8196</v>
      </c>
      <c r="M32" s="52">
        <f t="shared" si="5"/>
        <v>-1.1499999999999955E-2</v>
      </c>
      <c r="O32" s="26" t="str">
        <f t="shared" si="0"/>
        <v/>
      </c>
      <c r="P32" s="31" t="e">
        <f t="shared" si="1"/>
        <v>#VALUE!</v>
      </c>
      <c r="Q32" s="39" t="e">
        <f t="shared" si="2"/>
        <v>#VALUE!</v>
      </c>
      <c r="R32" s="39" t="str">
        <f>IF(D32="","",INDEX('WINBUGS data'!$F$17:$AI$65,'Inconsistency Data'!O32,2))</f>
        <v/>
      </c>
      <c r="S32" s="116" t="e">
        <f>INDEX('WINBUGS data'!$F$17:$AI$65,(O32*1),MATCH(Q32,'WINBUGS data'!$F$16:$AI$16,0))</f>
        <v>#VALUE!</v>
      </c>
      <c r="T32" s="87" t="str">
        <f>IF(D32="","",INDEX('WINBUGS Data Inconsistency'!$B$4:$C$18,'Inconsistency Data'!S32,1))</f>
        <v/>
      </c>
      <c r="U32" s="87" t="str">
        <f t="shared" si="3"/>
        <v/>
      </c>
      <c r="V32" s="42" t="str">
        <f t="shared" si="6"/>
        <v/>
      </c>
    </row>
    <row r="33" spans="4:22" hidden="1" x14ac:dyDescent="0.25">
      <c r="D33" s="41"/>
      <c r="E33" s="39"/>
      <c r="F33" s="39"/>
      <c r="G33" s="39"/>
      <c r="H33" s="52" t="str">
        <f t="shared" si="4"/>
        <v/>
      </c>
      <c r="I33" s="41" t="s">
        <v>510</v>
      </c>
      <c r="J33" s="39">
        <v>0.87670000000000003</v>
      </c>
      <c r="K33" s="39" t="s">
        <v>510</v>
      </c>
      <c r="L33" s="39">
        <v>0.86929999999999996</v>
      </c>
      <c r="M33" s="52">
        <f t="shared" si="5"/>
        <v>-7.4000000000000732E-3</v>
      </c>
      <c r="O33" s="26" t="str">
        <f t="shared" si="0"/>
        <v/>
      </c>
      <c r="P33" s="31" t="e">
        <f t="shared" si="1"/>
        <v>#VALUE!</v>
      </c>
      <c r="Q33" s="39" t="e">
        <f t="shared" si="2"/>
        <v>#VALUE!</v>
      </c>
      <c r="R33" s="39" t="str">
        <f>IF(D33="","",INDEX('WINBUGS data'!$F$17:$AI$65,'Inconsistency Data'!O33,2))</f>
        <v/>
      </c>
      <c r="S33" s="116" t="e">
        <f>INDEX('WINBUGS data'!$F$17:$AI$65,(O33*1),MATCH(Q33,'WINBUGS data'!$F$16:$AI$16,0))</f>
        <v>#VALUE!</v>
      </c>
      <c r="T33" s="87" t="str">
        <f>IF(D33="","",INDEX('WINBUGS Data Inconsistency'!$B$4:$C$18,'Inconsistency Data'!S33,1))</f>
        <v/>
      </c>
      <c r="U33" s="87" t="str">
        <f t="shared" si="3"/>
        <v/>
      </c>
      <c r="V33" s="42" t="str">
        <f t="shared" si="6"/>
        <v/>
      </c>
    </row>
    <row r="34" spans="4:22" hidden="1" x14ac:dyDescent="0.25">
      <c r="D34" s="41"/>
      <c r="E34" s="39"/>
      <c r="F34" s="39"/>
      <c r="G34" s="39"/>
      <c r="H34" s="52" t="str">
        <f t="shared" si="4"/>
        <v/>
      </c>
      <c r="I34" s="41" t="s">
        <v>511</v>
      </c>
      <c r="J34" s="39">
        <v>0.90480000000000005</v>
      </c>
      <c r="K34" s="39" t="s">
        <v>511</v>
      </c>
      <c r="L34" s="39">
        <v>0.68</v>
      </c>
      <c r="M34" s="52">
        <f t="shared" si="5"/>
        <v>-0.2248</v>
      </c>
      <c r="O34" s="26" t="str">
        <f t="shared" si="0"/>
        <v/>
      </c>
      <c r="P34" s="31" t="e">
        <f t="shared" si="1"/>
        <v>#VALUE!</v>
      </c>
      <c r="Q34" s="39" t="e">
        <f t="shared" si="2"/>
        <v>#VALUE!</v>
      </c>
      <c r="R34" s="39" t="str">
        <f>IF(D34="","",INDEX('WINBUGS data'!$F$17:$AI$65,'Inconsistency Data'!O34,2))</f>
        <v/>
      </c>
      <c r="S34" s="116" t="e">
        <f>INDEX('WINBUGS data'!$F$17:$AI$65,(O34*1),MATCH(Q34,'WINBUGS data'!$F$16:$AI$16,0))</f>
        <v>#VALUE!</v>
      </c>
      <c r="T34" s="87" t="str">
        <f>IF(D34="","",INDEX('WINBUGS Data Inconsistency'!$B$4:$C$18,'Inconsistency Data'!S34,1))</f>
        <v/>
      </c>
      <c r="U34" s="87" t="str">
        <f t="shared" si="3"/>
        <v/>
      </c>
      <c r="V34" s="42" t="str">
        <f t="shared" si="6"/>
        <v/>
      </c>
    </row>
    <row r="35" spans="4:22" hidden="1" x14ac:dyDescent="0.25">
      <c r="D35" s="41"/>
      <c r="E35" s="39"/>
      <c r="F35" s="39"/>
      <c r="G35" s="39"/>
      <c r="H35" s="52" t="str">
        <f t="shared" si="4"/>
        <v/>
      </c>
      <c r="I35" s="41" t="s">
        <v>512</v>
      </c>
      <c r="J35" s="39">
        <v>0.72599999999999998</v>
      </c>
      <c r="K35" s="39" t="s">
        <v>512</v>
      </c>
      <c r="L35" s="39">
        <v>0.63790000000000002</v>
      </c>
      <c r="M35" s="52">
        <f t="shared" si="5"/>
        <v>-8.8099999999999956E-2</v>
      </c>
      <c r="O35" s="26" t="str">
        <f t="shared" si="0"/>
        <v/>
      </c>
      <c r="P35" s="31" t="e">
        <f t="shared" si="1"/>
        <v>#VALUE!</v>
      </c>
      <c r="Q35" s="39" t="e">
        <f t="shared" si="2"/>
        <v>#VALUE!</v>
      </c>
      <c r="R35" s="39" t="str">
        <f>IF(D35="","",INDEX('WINBUGS data'!$F$17:$AI$65,'Inconsistency Data'!O35,2))</f>
        <v/>
      </c>
      <c r="S35" s="116" t="e">
        <f>INDEX('WINBUGS data'!$F$17:$AI$65,(O35*1),MATCH(Q35,'WINBUGS data'!$F$16:$AI$16,0))</f>
        <v>#VALUE!</v>
      </c>
      <c r="T35" s="87" t="str">
        <f>IF(D35="","",INDEX('WINBUGS Data Inconsistency'!$B$4:$C$18,'Inconsistency Data'!S35,1))</f>
        <v/>
      </c>
      <c r="U35" s="87" t="str">
        <f t="shared" si="3"/>
        <v/>
      </c>
      <c r="V35" s="42" t="str">
        <f t="shared" si="6"/>
        <v/>
      </c>
    </row>
    <row r="36" spans="4:22" hidden="1" x14ac:dyDescent="0.25">
      <c r="D36" s="41"/>
      <c r="E36" s="39"/>
      <c r="F36" s="39"/>
      <c r="G36" s="39"/>
      <c r="H36" s="52" t="str">
        <f t="shared" si="4"/>
        <v/>
      </c>
      <c r="I36" s="41" t="s">
        <v>513</v>
      </c>
      <c r="J36" s="39">
        <v>0.87980000000000003</v>
      </c>
      <c r="K36" s="39" t="s">
        <v>513</v>
      </c>
      <c r="L36" s="39">
        <v>1.0640000000000001</v>
      </c>
      <c r="M36" s="52">
        <f t="shared" si="5"/>
        <v>0.18420000000000003</v>
      </c>
      <c r="O36" s="26" t="str">
        <f t="shared" si="0"/>
        <v/>
      </c>
      <c r="P36" s="31" t="e">
        <f t="shared" si="1"/>
        <v>#VALUE!</v>
      </c>
      <c r="Q36" s="39" t="e">
        <f t="shared" si="2"/>
        <v>#VALUE!</v>
      </c>
      <c r="R36" s="39" t="str">
        <f>IF(D36="","",INDEX('WINBUGS data'!$F$17:$AI$65,'Inconsistency Data'!O36,2))</f>
        <v/>
      </c>
      <c r="S36" s="116" t="e">
        <f>INDEX('WINBUGS data'!$F$17:$AI$65,(O36*1),MATCH(Q36,'WINBUGS data'!$F$16:$AI$16,0))</f>
        <v>#VALUE!</v>
      </c>
      <c r="T36" s="87" t="str">
        <f>IF(D36="","",INDEX('WINBUGS Data Inconsistency'!$B$4:$C$18,'Inconsistency Data'!S36,1))</f>
        <v/>
      </c>
      <c r="U36" s="87" t="str">
        <f t="shared" si="3"/>
        <v/>
      </c>
      <c r="V36" s="42" t="str">
        <f t="shared" si="6"/>
        <v/>
      </c>
    </row>
    <row r="37" spans="4:22" hidden="1" x14ac:dyDescent="0.25">
      <c r="D37" s="41"/>
      <c r="E37" s="39"/>
      <c r="F37" s="39"/>
      <c r="G37" s="39"/>
      <c r="H37" s="52" t="str">
        <f t="shared" si="4"/>
        <v/>
      </c>
      <c r="I37" s="41" t="s">
        <v>514</v>
      </c>
      <c r="J37" s="39">
        <v>0.98540000000000005</v>
      </c>
      <c r="K37" s="39" t="s">
        <v>514</v>
      </c>
      <c r="L37" s="39">
        <v>1.2170000000000001</v>
      </c>
      <c r="M37" s="52">
        <f t="shared" si="5"/>
        <v>0.23160000000000003</v>
      </c>
      <c r="O37" s="26" t="str">
        <f t="shared" si="0"/>
        <v/>
      </c>
      <c r="P37" s="31" t="e">
        <f t="shared" si="1"/>
        <v>#VALUE!</v>
      </c>
      <c r="Q37" s="39" t="e">
        <f t="shared" si="2"/>
        <v>#VALUE!</v>
      </c>
      <c r="R37" s="39" t="str">
        <f>IF(D37="","",INDEX('WINBUGS data'!$F$17:$AI$65,'Inconsistency Data'!O37,2))</f>
        <v/>
      </c>
      <c r="S37" s="116" t="e">
        <f>INDEX('WINBUGS data'!$F$17:$AI$65,(O37*1),MATCH(Q37,'WINBUGS data'!$F$16:$AI$16,0))</f>
        <v>#VALUE!</v>
      </c>
      <c r="T37" s="87" t="str">
        <f>IF(D37="","",INDEX('WINBUGS Data Inconsistency'!$B$4:$C$18,'Inconsistency Data'!S37,1))</f>
        <v/>
      </c>
      <c r="U37" s="87" t="str">
        <f t="shared" si="3"/>
        <v/>
      </c>
      <c r="V37" s="42" t="str">
        <f t="shared" si="6"/>
        <v/>
      </c>
    </row>
    <row r="38" spans="4:22" hidden="1" x14ac:dyDescent="0.25">
      <c r="D38" s="41"/>
      <c r="E38" s="39"/>
      <c r="F38" s="39"/>
      <c r="G38" s="39"/>
      <c r="H38" s="52" t="str">
        <f t="shared" si="4"/>
        <v/>
      </c>
      <c r="I38" s="41" t="s">
        <v>515</v>
      </c>
      <c r="J38" s="39">
        <v>0.87119999999999997</v>
      </c>
      <c r="K38" s="39" t="s">
        <v>515</v>
      </c>
      <c r="L38" s="39">
        <v>1.1679999999999999</v>
      </c>
      <c r="M38" s="52">
        <f t="shared" si="5"/>
        <v>0.29679999999999995</v>
      </c>
      <c r="O38" s="26" t="str">
        <f t="shared" si="0"/>
        <v/>
      </c>
      <c r="P38" s="31" t="e">
        <f t="shared" si="1"/>
        <v>#VALUE!</v>
      </c>
      <c r="Q38" s="39" t="e">
        <f t="shared" si="2"/>
        <v>#VALUE!</v>
      </c>
      <c r="R38" s="39" t="str">
        <f>IF(D38="","",INDEX('WINBUGS data'!$F$17:$AI$65,'Inconsistency Data'!O38,2))</f>
        <v/>
      </c>
      <c r="S38" s="116" t="e">
        <f>INDEX('WINBUGS data'!$F$17:$AI$65,(O38*1),MATCH(Q38,'WINBUGS data'!$F$16:$AI$16,0))</f>
        <v>#VALUE!</v>
      </c>
      <c r="T38" s="87" t="str">
        <f>IF(D38="","",INDEX('WINBUGS Data Inconsistency'!$B$4:$C$18,'Inconsistency Data'!S38,1))</f>
        <v/>
      </c>
      <c r="U38" s="87" t="str">
        <f t="shared" si="3"/>
        <v/>
      </c>
      <c r="V38" s="42" t="str">
        <f t="shared" si="6"/>
        <v/>
      </c>
    </row>
    <row r="39" spans="4:22" hidden="1" x14ac:dyDescent="0.25">
      <c r="D39" s="41"/>
      <c r="E39" s="39"/>
      <c r="F39" s="39"/>
      <c r="G39" s="39"/>
      <c r="H39" s="52" t="str">
        <f t="shared" si="4"/>
        <v/>
      </c>
      <c r="I39" s="41" t="s">
        <v>516</v>
      </c>
      <c r="J39" s="39">
        <v>0.74580000000000002</v>
      </c>
      <c r="K39" s="39" t="s">
        <v>516</v>
      </c>
      <c r="L39" s="39">
        <v>0.96989999999999998</v>
      </c>
      <c r="M39" s="52">
        <f t="shared" si="5"/>
        <v>0.22409999999999997</v>
      </c>
      <c r="O39" s="26" t="str">
        <f t="shared" si="0"/>
        <v/>
      </c>
      <c r="P39" s="31" t="e">
        <f t="shared" si="1"/>
        <v>#VALUE!</v>
      </c>
      <c r="Q39" s="39" t="e">
        <f t="shared" si="2"/>
        <v>#VALUE!</v>
      </c>
      <c r="R39" s="39" t="str">
        <f>IF(D39="","",INDEX('WINBUGS data'!$F$17:$AI$65,'Inconsistency Data'!O39,2))</f>
        <v/>
      </c>
      <c r="S39" s="116" t="e">
        <f>INDEX('WINBUGS data'!$F$17:$AI$65,(O39*1),MATCH(Q39,'WINBUGS data'!$F$16:$AI$16,0))</f>
        <v>#VALUE!</v>
      </c>
      <c r="T39" s="87" t="str">
        <f>IF(D39="","",INDEX('WINBUGS Data Inconsistency'!$B$4:$C$18,'Inconsistency Data'!S39,1))</f>
        <v/>
      </c>
      <c r="U39" s="87" t="str">
        <f t="shared" si="3"/>
        <v/>
      </c>
      <c r="V39" s="42" t="str">
        <f t="shared" si="6"/>
        <v/>
      </c>
    </row>
    <row r="40" spans="4:22" hidden="1" x14ac:dyDescent="0.25">
      <c r="D40" s="41"/>
      <c r="E40" s="39"/>
      <c r="F40" s="39"/>
      <c r="G40" s="39"/>
      <c r="H40" s="52" t="str">
        <f t="shared" si="4"/>
        <v/>
      </c>
      <c r="I40" s="41" t="s">
        <v>517</v>
      </c>
      <c r="J40" s="39">
        <v>0.9022</v>
      </c>
      <c r="K40" s="39" t="s">
        <v>517</v>
      </c>
      <c r="L40" s="39">
        <v>0.59660000000000002</v>
      </c>
      <c r="M40" s="52">
        <f t="shared" si="5"/>
        <v>-0.30559999999999998</v>
      </c>
      <c r="O40" s="26" t="str">
        <f t="shared" si="0"/>
        <v/>
      </c>
      <c r="P40" s="31" t="e">
        <f t="shared" si="1"/>
        <v>#VALUE!</v>
      </c>
      <c r="Q40" s="39" t="e">
        <f t="shared" si="2"/>
        <v>#VALUE!</v>
      </c>
      <c r="R40" s="39" t="str">
        <f>IF(D40="","",INDEX('WINBUGS data'!$F$17:$AI$65,'Inconsistency Data'!O40,2))</f>
        <v/>
      </c>
      <c r="S40" s="116" t="e">
        <f>INDEX('WINBUGS data'!$F$17:$AI$65,(O40*1),MATCH(Q40,'WINBUGS data'!$F$16:$AI$16,0))</f>
        <v>#VALUE!</v>
      </c>
      <c r="T40" s="87" t="str">
        <f>IF(D40="","",INDEX('WINBUGS Data Inconsistency'!$B$4:$C$18,'Inconsistency Data'!S40,1))</f>
        <v/>
      </c>
      <c r="U40" s="87" t="str">
        <f t="shared" si="3"/>
        <v/>
      </c>
      <c r="V40" s="42" t="str">
        <f t="shared" si="6"/>
        <v/>
      </c>
    </row>
    <row r="41" spans="4:22" hidden="1" x14ac:dyDescent="0.25">
      <c r="D41" s="41"/>
      <c r="E41" s="39"/>
      <c r="F41" s="39"/>
      <c r="G41" s="39"/>
      <c r="H41" s="52" t="str">
        <f t="shared" si="4"/>
        <v/>
      </c>
      <c r="I41" s="41" t="s">
        <v>518</v>
      </c>
      <c r="J41" s="39">
        <v>1.1539999999999999</v>
      </c>
      <c r="K41" s="39" t="s">
        <v>518</v>
      </c>
      <c r="L41" s="39">
        <v>0.97360000000000002</v>
      </c>
      <c r="M41" s="52">
        <f t="shared" si="5"/>
        <v>-0.18039999999999989</v>
      </c>
      <c r="O41" s="26" t="str">
        <f t="shared" si="0"/>
        <v/>
      </c>
      <c r="P41" s="31" t="e">
        <f t="shared" si="1"/>
        <v>#VALUE!</v>
      </c>
      <c r="Q41" s="39" t="e">
        <f t="shared" si="2"/>
        <v>#VALUE!</v>
      </c>
      <c r="R41" s="39" t="str">
        <f>IF(D41="","",INDEX('WINBUGS data'!$F$17:$AI$65,'Inconsistency Data'!O41,2))</f>
        <v/>
      </c>
      <c r="S41" s="116" t="e">
        <f>INDEX('WINBUGS data'!$F$17:$AI$65,(O41*1),MATCH(Q41,'WINBUGS data'!$F$16:$AI$16,0))</f>
        <v>#VALUE!</v>
      </c>
      <c r="T41" s="87" t="str">
        <f>IF(D41="","",INDEX('WINBUGS Data Inconsistency'!$B$4:$C$18,'Inconsistency Data'!S41,1))</f>
        <v/>
      </c>
      <c r="U41" s="87" t="str">
        <f t="shared" si="3"/>
        <v/>
      </c>
      <c r="V41" s="42" t="str">
        <f t="shared" si="6"/>
        <v/>
      </c>
    </row>
    <row r="42" spans="4:22" hidden="1" x14ac:dyDescent="0.25">
      <c r="D42" s="41"/>
      <c r="E42" s="39"/>
      <c r="F42" s="39"/>
      <c r="G42" s="39"/>
      <c r="H42" s="52" t="str">
        <f t="shared" si="4"/>
        <v/>
      </c>
      <c r="I42" s="41" t="s">
        <v>519</v>
      </c>
      <c r="J42" s="39">
        <v>0.73629999999999995</v>
      </c>
      <c r="K42" s="39" t="s">
        <v>519</v>
      </c>
      <c r="L42" s="39">
        <v>0.6139</v>
      </c>
      <c r="M42" s="52">
        <f t="shared" si="5"/>
        <v>-0.12239999999999995</v>
      </c>
      <c r="O42" s="26" t="str">
        <f t="shared" si="0"/>
        <v/>
      </c>
      <c r="P42" s="31" t="e">
        <f t="shared" si="1"/>
        <v>#VALUE!</v>
      </c>
      <c r="Q42" s="39" t="e">
        <f t="shared" si="2"/>
        <v>#VALUE!</v>
      </c>
      <c r="R42" s="39" t="str">
        <f>IF(D42="","",INDEX('WINBUGS data'!$F$17:$AI$65,'Inconsistency Data'!O42,2))</f>
        <v/>
      </c>
      <c r="S42" s="116" t="e">
        <f>INDEX('WINBUGS data'!$F$17:$AI$65,(O42*1),MATCH(Q42,'WINBUGS data'!$F$16:$AI$16,0))</f>
        <v>#VALUE!</v>
      </c>
      <c r="T42" s="87" t="str">
        <f>IF(D42="","",INDEX('WINBUGS Data Inconsistency'!$B$4:$C$18,'Inconsistency Data'!S42,1))</f>
        <v/>
      </c>
      <c r="U42" s="87" t="str">
        <f t="shared" si="3"/>
        <v/>
      </c>
      <c r="V42" s="42" t="str">
        <f t="shared" si="6"/>
        <v/>
      </c>
    </row>
    <row r="43" spans="4:22" hidden="1" x14ac:dyDescent="0.25">
      <c r="D43" s="41"/>
      <c r="E43" s="39"/>
      <c r="F43" s="39"/>
      <c r="G43" s="39"/>
      <c r="H43" s="52" t="str">
        <f t="shared" si="4"/>
        <v/>
      </c>
      <c r="I43" s="41" t="s">
        <v>520</v>
      </c>
      <c r="J43" s="39">
        <v>0.90980000000000005</v>
      </c>
      <c r="K43" s="39" t="s">
        <v>520</v>
      </c>
      <c r="L43" s="39">
        <v>0.74880000000000002</v>
      </c>
      <c r="M43" s="52">
        <f t="shared" si="5"/>
        <v>-0.16100000000000003</v>
      </c>
      <c r="O43" s="26" t="str">
        <f t="shared" si="0"/>
        <v/>
      </c>
      <c r="P43" s="31" t="e">
        <f t="shared" si="1"/>
        <v>#VALUE!</v>
      </c>
      <c r="Q43" s="39" t="e">
        <f t="shared" si="2"/>
        <v>#VALUE!</v>
      </c>
      <c r="R43" s="39" t="str">
        <f>IF(D43="","",INDEX('WINBUGS data'!$F$17:$AI$65,'Inconsistency Data'!O43,2))</f>
        <v/>
      </c>
      <c r="S43" s="116" t="e">
        <f>INDEX('WINBUGS data'!$F$17:$AI$65,(O43*1),MATCH(Q43,'WINBUGS data'!$F$16:$AI$16,0))</f>
        <v>#VALUE!</v>
      </c>
      <c r="T43" s="87" t="str">
        <f>IF(D43="","",INDEX('WINBUGS Data Inconsistency'!$B$4:$C$18,'Inconsistency Data'!S43,1))</f>
        <v/>
      </c>
      <c r="U43" s="87" t="str">
        <f t="shared" si="3"/>
        <v/>
      </c>
      <c r="V43" s="42" t="str">
        <f t="shared" si="6"/>
        <v/>
      </c>
    </row>
    <row r="44" spans="4:22" hidden="1" x14ac:dyDescent="0.25">
      <c r="D44" s="41"/>
      <c r="E44" s="39"/>
      <c r="F44" s="39"/>
      <c r="G44" s="39"/>
      <c r="H44" s="52" t="str">
        <f t="shared" si="4"/>
        <v/>
      </c>
      <c r="I44" s="41" t="s">
        <v>521</v>
      </c>
      <c r="J44" s="39">
        <v>0.89480000000000004</v>
      </c>
      <c r="K44" s="39" t="s">
        <v>521</v>
      </c>
      <c r="L44" s="39">
        <v>1.2210000000000001</v>
      </c>
      <c r="M44" s="52">
        <f t="shared" si="5"/>
        <v>0.32620000000000005</v>
      </c>
      <c r="O44" s="26" t="str">
        <f t="shared" si="0"/>
        <v/>
      </c>
      <c r="P44" s="31" t="e">
        <f t="shared" si="1"/>
        <v>#VALUE!</v>
      </c>
      <c r="Q44" s="39" t="e">
        <f t="shared" si="2"/>
        <v>#VALUE!</v>
      </c>
      <c r="R44" s="39" t="str">
        <f>IF(D44="","",INDEX('WINBUGS data'!$F$17:$AI$65,'Inconsistency Data'!O44,2))</f>
        <v/>
      </c>
      <c r="S44" s="116" t="e">
        <f>INDEX('WINBUGS data'!$F$17:$AI$65,(O44*1),MATCH(Q44,'WINBUGS data'!$F$16:$AI$16,0))</f>
        <v>#VALUE!</v>
      </c>
      <c r="T44" s="87" t="str">
        <f>IF(D44="","",INDEX('WINBUGS Data Inconsistency'!$B$4:$C$18,'Inconsistency Data'!S44,1))</f>
        <v/>
      </c>
      <c r="U44" s="87" t="str">
        <f t="shared" si="3"/>
        <v/>
      </c>
      <c r="V44" s="42" t="str">
        <f t="shared" si="6"/>
        <v/>
      </c>
    </row>
    <row r="45" spans="4:22" hidden="1" x14ac:dyDescent="0.25">
      <c r="D45" s="41"/>
      <c r="E45" s="39"/>
      <c r="F45" s="39"/>
      <c r="G45" s="39"/>
      <c r="H45" s="52" t="str">
        <f t="shared" si="4"/>
        <v/>
      </c>
      <c r="I45" s="41" t="s">
        <v>522</v>
      </c>
      <c r="J45" s="39">
        <v>0.90029999999999999</v>
      </c>
      <c r="K45" s="39" t="s">
        <v>522</v>
      </c>
      <c r="L45" s="39">
        <v>1.226</v>
      </c>
      <c r="M45" s="52">
        <f t="shared" si="5"/>
        <v>0.32569999999999999</v>
      </c>
      <c r="O45" s="26" t="str">
        <f t="shared" si="0"/>
        <v/>
      </c>
      <c r="P45" s="31" t="e">
        <f t="shared" si="1"/>
        <v>#VALUE!</v>
      </c>
      <c r="Q45" s="39" t="e">
        <f t="shared" si="2"/>
        <v>#VALUE!</v>
      </c>
      <c r="R45" s="39" t="str">
        <f>IF(D45="","",INDEX('WINBUGS data'!$F$17:$AI$65,'Inconsistency Data'!O45,2))</f>
        <v/>
      </c>
      <c r="S45" s="116" t="e">
        <f>INDEX('WINBUGS data'!$F$17:$AI$65,(O45*1),MATCH(Q45,'WINBUGS data'!$F$16:$AI$16,0))</f>
        <v>#VALUE!</v>
      </c>
      <c r="T45" s="87" t="str">
        <f>IF(D45="","",INDEX('WINBUGS Data Inconsistency'!$B$4:$C$18,'Inconsistency Data'!S45,1))</f>
        <v/>
      </c>
      <c r="U45" s="87" t="str">
        <f t="shared" si="3"/>
        <v/>
      </c>
      <c r="V45" s="42" t="str">
        <f t="shared" si="6"/>
        <v/>
      </c>
    </row>
    <row r="46" spans="4:22" hidden="1" x14ac:dyDescent="0.25">
      <c r="D46" s="41"/>
      <c r="E46" s="39"/>
      <c r="F46" s="39"/>
      <c r="G46" s="39"/>
      <c r="H46" s="52" t="str">
        <f t="shared" si="4"/>
        <v/>
      </c>
      <c r="I46" s="41" t="s">
        <v>523</v>
      </c>
      <c r="J46" s="39">
        <v>1.135</v>
      </c>
      <c r="K46" s="39" t="s">
        <v>523</v>
      </c>
      <c r="L46" s="39">
        <v>1.673</v>
      </c>
      <c r="M46" s="52">
        <f t="shared" si="5"/>
        <v>0.53800000000000003</v>
      </c>
      <c r="O46" s="26" t="str">
        <f t="shared" si="0"/>
        <v/>
      </c>
      <c r="P46" s="31" t="e">
        <f t="shared" si="1"/>
        <v>#VALUE!</v>
      </c>
      <c r="Q46" s="39" t="e">
        <f t="shared" si="2"/>
        <v>#VALUE!</v>
      </c>
      <c r="R46" s="39" t="str">
        <f>IF(D46="","",INDEX('WINBUGS data'!$F$17:$AI$65,'Inconsistency Data'!O46,2))</f>
        <v/>
      </c>
      <c r="S46" s="116" t="e">
        <f>INDEX('WINBUGS data'!$F$17:$AI$65,(O46*1),MATCH(Q46,'WINBUGS data'!$F$16:$AI$16,0))</f>
        <v>#VALUE!</v>
      </c>
      <c r="T46" s="87" t="str">
        <f>IF(D46="","",INDEX('WINBUGS Data Inconsistency'!$B$4:$C$18,'Inconsistency Data'!S46,1))</f>
        <v/>
      </c>
      <c r="U46" s="87" t="str">
        <f t="shared" si="3"/>
        <v/>
      </c>
      <c r="V46" s="42" t="str">
        <f t="shared" si="6"/>
        <v/>
      </c>
    </row>
    <row r="47" spans="4:22" hidden="1" x14ac:dyDescent="0.25">
      <c r="D47" s="41"/>
      <c r="E47" s="39"/>
      <c r="F47" s="39"/>
      <c r="G47" s="39"/>
      <c r="H47" s="52" t="str">
        <f t="shared" si="4"/>
        <v/>
      </c>
      <c r="I47" s="41" t="s">
        <v>524</v>
      </c>
      <c r="J47" s="39">
        <v>1.01</v>
      </c>
      <c r="K47" s="39" t="s">
        <v>524</v>
      </c>
      <c r="L47" s="39">
        <v>1.2390000000000001</v>
      </c>
      <c r="M47" s="52">
        <f t="shared" si="5"/>
        <v>0.22900000000000009</v>
      </c>
      <c r="O47" s="26" t="str">
        <f t="shared" si="0"/>
        <v/>
      </c>
      <c r="P47" s="31" t="e">
        <f t="shared" si="1"/>
        <v>#VALUE!</v>
      </c>
      <c r="Q47" s="39" t="e">
        <f t="shared" si="2"/>
        <v>#VALUE!</v>
      </c>
      <c r="R47" s="39" t="str">
        <f>IF(D47="","",INDEX('WINBUGS data'!$F$17:$AI$65,'Inconsistency Data'!O47,2))</f>
        <v/>
      </c>
      <c r="S47" s="116" t="e">
        <f>INDEX('WINBUGS data'!$F$17:$AI$65,(O47*1),MATCH(Q47,'WINBUGS data'!$F$16:$AI$16,0))</f>
        <v>#VALUE!</v>
      </c>
      <c r="T47" s="87" t="str">
        <f>IF(D47="","",INDEX('WINBUGS Data Inconsistency'!$B$4:$C$18,'Inconsistency Data'!S47,1))</f>
        <v/>
      </c>
      <c r="U47" s="87" t="str">
        <f t="shared" si="3"/>
        <v/>
      </c>
      <c r="V47" s="42" t="str">
        <f t="shared" si="6"/>
        <v/>
      </c>
    </row>
    <row r="48" spans="4:22" hidden="1" x14ac:dyDescent="0.25">
      <c r="D48" s="41"/>
      <c r="E48" s="39"/>
      <c r="F48" s="39"/>
      <c r="G48" s="39"/>
      <c r="H48" s="52" t="str">
        <f t="shared" si="4"/>
        <v/>
      </c>
      <c r="I48" s="41" t="s">
        <v>525</v>
      </c>
      <c r="J48" s="39">
        <v>0.76910000000000001</v>
      </c>
      <c r="K48" s="39" t="s">
        <v>525</v>
      </c>
      <c r="L48" s="39">
        <v>1.071</v>
      </c>
      <c r="M48" s="52">
        <f t="shared" si="5"/>
        <v>0.30189999999999995</v>
      </c>
      <c r="O48" s="26" t="str">
        <f t="shared" si="0"/>
        <v/>
      </c>
      <c r="P48" s="31" t="e">
        <f t="shared" si="1"/>
        <v>#VALUE!</v>
      </c>
      <c r="Q48" s="39" t="e">
        <f t="shared" si="2"/>
        <v>#VALUE!</v>
      </c>
      <c r="R48" s="39" t="str">
        <f>IF(D48="","",INDEX('WINBUGS data'!$F$17:$AI$65,'Inconsistency Data'!O48,2))</f>
        <v/>
      </c>
      <c r="S48" s="116" t="e">
        <f>INDEX('WINBUGS data'!$F$17:$AI$65,(O48*1),MATCH(Q48,'WINBUGS data'!$F$16:$AI$16,0))</f>
        <v>#VALUE!</v>
      </c>
      <c r="T48" s="87" t="str">
        <f>IF(D48="","",INDEX('WINBUGS Data Inconsistency'!$B$4:$C$18,'Inconsistency Data'!S48,1))</f>
        <v/>
      </c>
      <c r="U48" s="87" t="str">
        <f t="shared" si="3"/>
        <v/>
      </c>
      <c r="V48" s="42" t="str">
        <f t="shared" si="6"/>
        <v/>
      </c>
    </row>
    <row r="49" spans="4:22" hidden="1" x14ac:dyDescent="0.25">
      <c r="D49" s="41"/>
      <c r="E49" s="39"/>
      <c r="F49" s="39"/>
      <c r="G49" s="39"/>
      <c r="H49" s="52" t="str">
        <f t="shared" si="4"/>
        <v/>
      </c>
      <c r="I49" s="41" t="s">
        <v>526</v>
      </c>
      <c r="J49" s="39">
        <v>0.74719999999999998</v>
      </c>
      <c r="K49" s="39" t="s">
        <v>526</v>
      </c>
      <c r="L49" s="39">
        <v>0.97609999999999997</v>
      </c>
      <c r="M49" s="52">
        <f t="shared" si="5"/>
        <v>0.22889999999999999</v>
      </c>
      <c r="O49" s="26" t="str">
        <f t="shared" si="0"/>
        <v/>
      </c>
      <c r="P49" s="31" t="e">
        <f t="shared" si="1"/>
        <v>#VALUE!</v>
      </c>
      <c r="Q49" s="39" t="e">
        <f t="shared" si="2"/>
        <v>#VALUE!</v>
      </c>
      <c r="R49" s="39" t="str">
        <f>IF(D49="","",INDEX('WINBUGS data'!$F$17:$AI$65,'Inconsistency Data'!O49,2))</f>
        <v/>
      </c>
      <c r="S49" s="116" t="e">
        <f>INDEX('WINBUGS data'!$F$17:$AI$65,(O49*1),MATCH(Q49,'WINBUGS data'!$F$16:$AI$16,0))</f>
        <v>#VALUE!</v>
      </c>
      <c r="T49" s="87" t="str">
        <f>IF(D49="","",INDEX('WINBUGS Data Inconsistency'!$B$4:$C$18,'Inconsistency Data'!S49,1))</f>
        <v/>
      </c>
      <c r="U49" s="87" t="str">
        <f t="shared" si="3"/>
        <v/>
      </c>
      <c r="V49" s="42" t="str">
        <f t="shared" si="6"/>
        <v/>
      </c>
    </row>
    <row r="50" spans="4:22" hidden="1" x14ac:dyDescent="0.25">
      <c r="D50" s="41"/>
      <c r="E50" s="39"/>
      <c r="F50" s="39"/>
      <c r="G50" s="39"/>
      <c r="H50" s="52" t="str">
        <f t="shared" si="4"/>
        <v/>
      </c>
      <c r="I50" s="41" t="s">
        <v>527</v>
      </c>
      <c r="J50" s="39">
        <v>1.1499999999999999</v>
      </c>
      <c r="K50" s="39" t="s">
        <v>527</v>
      </c>
      <c r="L50" s="39">
        <v>1.4059999999999999</v>
      </c>
      <c r="M50" s="52">
        <f t="shared" si="5"/>
        <v>0.25600000000000001</v>
      </c>
      <c r="O50" s="26" t="str">
        <f t="shared" si="0"/>
        <v/>
      </c>
      <c r="P50" s="31" t="e">
        <f t="shared" si="1"/>
        <v>#VALUE!</v>
      </c>
      <c r="Q50" s="39" t="e">
        <f t="shared" si="2"/>
        <v>#VALUE!</v>
      </c>
      <c r="R50" s="39" t="str">
        <f>IF(D50="","",INDEX('WINBUGS data'!$F$17:$AI$65,'Inconsistency Data'!O50,2))</f>
        <v/>
      </c>
      <c r="S50" s="116" t="e">
        <f>INDEX('WINBUGS data'!$F$17:$AI$65,(O50*1),MATCH(Q50,'WINBUGS data'!$F$16:$AI$16,0))</f>
        <v>#VALUE!</v>
      </c>
      <c r="T50" s="87" t="str">
        <f>IF(D50="","",INDEX('WINBUGS Data Inconsistency'!$B$4:$C$18,'Inconsistency Data'!S50,1))</f>
        <v/>
      </c>
      <c r="U50" s="87" t="str">
        <f t="shared" si="3"/>
        <v/>
      </c>
      <c r="V50" s="42" t="str">
        <f t="shared" si="6"/>
        <v/>
      </c>
    </row>
    <row r="51" spans="4:22" hidden="1" x14ac:dyDescent="0.25">
      <c r="D51" s="41"/>
      <c r="E51" s="39"/>
      <c r="F51" s="39"/>
      <c r="G51" s="39"/>
      <c r="H51" s="52" t="str">
        <f t="shared" si="4"/>
        <v/>
      </c>
      <c r="I51" s="41" t="s">
        <v>528</v>
      </c>
      <c r="J51" s="39">
        <v>1.0860000000000001</v>
      </c>
      <c r="K51" s="39" t="s">
        <v>528</v>
      </c>
      <c r="L51" s="39">
        <v>1.2969999999999999</v>
      </c>
      <c r="M51" s="52">
        <f t="shared" si="5"/>
        <v>0.21099999999999985</v>
      </c>
      <c r="O51" s="26" t="str">
        <f t="shared" si="0"/>
        <v/>
      </c>
      <c r="P51" s="31" t="e">
        <f t="shared" si="1"/>
        <v>#VALUE!</v>
      </c>
      <c r="Q51" s="39" t="e">
        <f t="shared" si="2"/>
        <v>#VALUE!</v>
      </c>
      <c r="R51" s="39" t="str">
        <f>IF(D51="","",INDEX('WINBUGS data'!$F$17:$AI$65,'Inconsistency Data'!O51,2))</f>
        <v/>
      </c>
      <c r="S51" s="116" t="e">
        <f>INDEX('WINBUGS data'!$F$17:$AI$65,(O51*1),MATCH(Q51,'WINBUGS data'!$F$16:$AI$16,0))</f>
        <v>#VALUE!</v>
      </c>
      <c r="T51" s="87" t="str">
        <f>IF(D51="","",INDEX('WINBUGS Data Inconsistency'!$B$4:$C$18,'Inconsistency Data'!S51,1))</f>
        <v/>
      </c>
      <c r="U51" s="87" t="str">
        <f t="shared" si="3"/>
        <v/>
      </c>
      <c r="V51" s="42" t="str">
        <f t="shared" si="6"/>
        <v/>
      </c>
    </row>
    <row r="52" spans="4:22" hidden="1" x14ac:dyDescent="0.25">
      <c r="D52" s="41"/>
      <c r="E52" s="39"/>
      <c r="F52" s="39"/>
      <c r="G52" s="39"/>
      <c r="H52" s="52" t="str">
        <f t="shared" si="4"/>
        <v/>
      </c>
      <c r="I52" s="41" t="s">
        <v>529</v>
      </c>
      <c r="J52" s="39">
        <v>0.98850000000000005</v>
      </c>
      <c r="K52" s="39" t="s">
        <v>529</v>
      </c>
      <c r="L52" s="39">
        <v>0.98870000000000002</v>
      </c>
      <c r="M52" s="52">
        <f t="shared" si="5"/>
        <v>1.9999999999997797E-4</v>
      </c>
      <c r="O52" s="26" t="str">
        <f t="shared" si="0"/>
        <v/>
      </c>
      <c r="P52" s="31" t="e">
        <f t="shared" si="1"/>
        <v>#VALUE!</v>
      </c>
      <c r="Q52" s="39" t="e">
        <f t="shared" si="2"/>
        <v>#VALUE!</v>
      </c>
      <c r="R52" s="39" t="str">
        <f>IF(D52="","",INDEX('WINBUGS data'!$F$17:$AI$65,'Inconsistency Data'!O52,2))</f>
        <v/>
      </c>
      <c r="S52" s="116" t="e">
        <f>INDEX('WINBUGS data'!$F$17:$AI$65,(O52*1),MATCH(Q52,'WINBUGS data'!$F$16:$AI$16,0))</f>
        <v>#VALUE!</v>
      </c>
      <c r="T52" s="87" t="str">
        <f>IF(D52="","",INDEX('WINBUGS Data Inconsistency'!$B$4:$C$18,'Inconsistency Data'!S52,1))</f>
        <v/>
      </c>
      <c r="U52" s="87" t="str">
        <f t="shared" si="3"/>
        <v/>
      </c>
      <c r="V52" s="42" t="str">
        <f t="shared" si="6"/>
        <v/>
      </c>
    </row>
    <row r="53" spans="4:22" hidden="1" x14ac:dyDescent="0.25">
      <c r="D53" s="41"/>
      <c r="E53" s="39"/>
      <c r="F53" s="39"/>
      <c r="G53" s="39"/>
      <c r="H53" s="52" t="str">
        <f t="shared" si="4"/>
        <v/>
      </c>
      <c r="I53" s="41" t="s">
        <v>530</v>
      </c>
      <c r="J53" s="39">
        <v>0.9466</v>
      </c>
      <c r="K53" s="39" t="s">
        <v>530</v>
      </c>
      <c r="L53" s="39">
        <v>0.94569999999999999</v>
      </c>
      <c r="M53" s="52">
        <f t="shared" si="5"/>
        <v>-9.000000000000119E-4</v>
      </c>
      <c r="O53" s="26" t="str">
        <f t="shared" si="0"/>
        <v/>
      </c>
      <c r="P53" s="31" t="e">
        <f t="shared" si="1"/>
        <v>#VALUE!</v>
      </c>
      <c r="Q53" s="39" t="e">
        <f t="shared" si="2"/>
        <v>#VALUE!</v>
      </c>
      <c r="R53" s="39" t="str">
        <f>IF(D53="","",INDEX('WINBUGS data'!$F$17:$AI$65,'Inconsistency Data'!O53,2))</f>
        <v/>
      </c>
      <c r="S53" s="116" t="e">
        <f>INDEX('WINBUGS data'!$F$17:$AI$65,(O53*1),MATCH(Q53,'WINBUGS data'!$F$16:$AI$16,0))</f>
        <v>#VALUE!</v>
      </c>
      <c r="T53" s="87" t="str">
        <f>IF(D53="","",INDEX('WINBUGS Data Inconsistency'!$B$4:$C$18,'Inconsistency Data'!S53,1))</f>
        <v/>
      </c>
      <c r="U53" s="87" t="str">
        <f t="shared" si="3"/>
        <v/>
      </c>
      <c r="V53" s="42" t="str">
        <f t="shared" si="6"/>
        <v/>
      </c>
    </row>
    <row r="54" spans="4:22" hidden="1" x14ac:dyDescent="0.25">
      <c r="D54" s="41"/>
      <c r="E54" s="39"/>
      <c r="F54" s="39"/>
      <c r="G54" s="39"/>
      <c r="H54" s="52" t="str">
        <f t="shared" si="4"/>
        <v/>
      </c>
      <c r="I54" s="41" t="s">
        <v>531</v>
      </c>
      <c r="J54" s="39">
        <v>0.93210000000000004</v>
      </c>
      <c r="K54" s="39" t="s">
        <v>531</v>
      </c>
      <c r="L54" s="39">
        <v>0.84279999999999999</v>
      </c>
      <c r="M54" s="52">
        <f t="shared" si="5"/>
        <v>-8.9300000000000046E-2</v>
      </c>
      <c r="O54" s="26" t="str">
        <f t="shared" si="0"/>
        <v/>
      </c>
      <c r="P54" s="31" t="e">
        <f t="shared" si="1"/>
        <v>#VALUE!</v>
      </c>
      <c r="Q54" s="39" t="e">
        <f t="shared" si="2"/>
        <v>#VALUE!</v>
      </c>
      <c r="R54" s="39" t="str">
        <f>IF(D54="","",INDEX('WINBUGS data'!$F$17:$AI$65,'Inconsistency Data'!O54,2))</f>
        <v/>
      </c>
      <c r="S54" s="116" t="e">
        <f>INDEX('WINBUGS data'!$F$17:$AI$65,(O54*1),MATCH(Q54,'WINBUGS data'!$F$16:$AI$16,0))</f>
        <v>#VALUE!</v>
      </c>
      <c r="T54" s="87" t="str">
        <f>IF(D54="","",INDEX('WINBUGS Data Inconsistency'!$B$4:$C$18,'Inconsistency Data'!S54,1))</f>
        <v/>
      </c>
      <c r="U54" s="87" t="str">
        <f t="shared" si="3"/>
        <v/>
      </c>
      <c r="V54" s="42" t="str">
        <f t="shared" si="6"/>
        <v/>
      </c>
    </row>
    <row r="55" spans="4:22" hidden="1" x14ac:dyDescent="0.25">
      <c r="D55" s="41"/>
      <c r="E55" s="39"/>
      <c r="F55" s="39"/>
      <c r="G55" s="39"/>
      <c r="H55" s="52" t="str">
        <f t="shared" si="4"/>
        <v/>
      </c>
      <c r="I55" s="41" t="s">
        <v>532</v>
      </c>
      <c r="J55" s="39">
        <v>1.0249999999999999</v>
      </c>
      <c r="K55" s="39" t="s">
        <v>532</v>
      </c>
      <c r="L55" s="39">
        <v>0.75739999999999996</v>
      </c>
      <c r="M55" s="52">
        <f t="shared" si="5"/>
        <v>-0.26759999999999995</v>
      </c>
      <c r="O55" s="26" t="str">
        <f t="shared" si="0"/>
        <v/>
      </c>
      <c r="P55" s="31" t="e">
        <f t="shared" si="1"/>
        <v>#VALUE!</v>
      </c>
      <c r="Q55" s="39" t="e">
        <f t="shared" si="2"/>
        <v>#VALUE!</v>
      </c>
      <c r="R55" s="39" t="str">
        <f>IF(D55="","",INDEX('WINBUGS data'!$F$17:$AI$65,'Inconsistency Data'!O55,2))</f>
        <v/>
      </c>
      <c r="S55" s="116" t="e">
        <f>INDEX('WINBUGS data'!$F$17:$AI$65,(O55*1),MATCH(Q55,'WINBUGS data'!$F$16:$AI$16,0))</f>
        <v>#VALUE!</v>
      </c>
      <c r="T55" s="87" t="str">
        <f>IF(D55="","",INDEX('WINBUGS Data Inconsistency'!$B$4:$C$18,'Inconsistency Data'!S55,1))</f>
        <v/>
      </c>
      <c r="U55" s="87" t="str">
        <f t="shared" si="3"/>
        <v/>
      </c>
      <c r="V55" s="42" t="str">
        <f t="shared" si="6"/>
        <v/>
      </c>
    </row>
    <row r="56" spans="4:22" hidden="1" x14ac:dyDescent="0.25">
      <c r="D56" s="41"/>
      <c r="E56" s="39"/>
      <c r="F56" s="39"/>
      <c r="G56" s="39"/>
      <c r="H56" s="52" t="str">
        <f t="shared" si="4"/>
        <v/>
      </c>
      <c r="I56" s="41" t="s">
        <v>533</v>
      </c>
      <c r="J56" s="39">
        <v>0.85040000000000004</v>
      </c>
      <c r="K56" s="39" t="s">
        <v>533</v>
      </c>
      <c r="L56" s="39">
        <v>0.62609999999999999</v>
      </c>
      <c r="M56" s="52">
        <f t="shared" si="5"/>
        <v>-0.22430000000000005</v>
      </c>
      <c r="O56" s="26" t="str">
        <f t="shared" si="0"/>
        <v/>
      </c>
      <c r="P56" s="31" t="e">
        <f t="shared" si="1"/>
        <v>#VALUE!</v>
      </c>
      <c r="Q56" s="39" t="e">
        <f t="shared" si="2"/>
        <v>#VALUE!</v>
      </c>
      <c r="R56" s="39" t="str">
        <f>IF(D56="","",INDEX('WINBUGS data'!$F$17:$AI$65,'Inconsistency Data'!O56,2))</f>
        <v/>
      </c>
      <c r="S56" s="116" t="e">
        <f>INDEX('WINBUGS data'!$F$17:$AI$65,(O56*1),MATCH(Q56,'WINBUGS data'!$F$16:$AI$16,0))</f>
        <v>#VALUE!</v>
      </c>
      <c r="T56" s="87" t="str">
        <f>IF(D56="","",INDEX('WINBUGS Data Inconsistency'!$B$4:$C$18,'Inconsistency Data'!S56,1))</f>
        <v/>
      </c>
      <c r="U56" s="87" t="str">
        <f t="shared" si="3"/>
        <v/>
      </c>
      <c r="V56" s="42" t="str">
        <f t="shared" si="6"/>
        <v/>
      </c>
    </row>
    <row r="57" spans="4:22" hidden="1" x14ac:dyDescent="0.25">
      <c r="D57" s="41"/>
      <c r="E57" s="39"/>
      <c r="F57" s="39"/>
      <c r="G57" s="39"/>
      <c r="H57" s="52" t="str">
        <f t="shared" si="4"/>
        <v/>
      </c>
      <c r="I57" s="41" t="s">
        <v>534</v>
      </c>
      <c r="J57" s="39">
        <v>1.032</v>
      </c>
      <c r="K57" s="39" t="s">
        <v>534</v>
      </c>
      <c r="L57" s="39">
        <v>0.81459999999999999</v>
      </c>
      <c r="M57" s="52">
        <f t="shared" si="5"/>
        <v>-0.21740000000000004</v>
      </c>
      <c r="O57" s="26" t="str">
        <f t="shared" si="0"/>
        <v/>
      </c>
      <c r="P57" s="31" t="e">
        <f t="shared" si="1"/>
        <v>#VALUE!</v>
      </c>
      <c r="Q57" s="39" t="e">
        <f t="shared" si="2"/>
        <v>#VALUE!</v>
      </c>
      <c r="R57" s="39" t="str">
        <f>IF(D57="","",INDEX('WINBUGS data'!$F$17:$AI$65,'Inconsistency Data'!O57,2))</f>
        <v/>
      </c>
      <c r="S57" s="116" t="e">
        <f>INDEX('WINBUGS data'!$F$17:$AI$65,(O57*1),MATCH(Q57,'WINBUGS data'!$F$16:$AI$16,0))</f>
        <v>#VALUE!</v>
      </c>
      <c r="T57" s="87" t="str">
        <f>IF(D57="","",INDEX('WINBUGS Data Inconsistency'!$B$4:$C$18,'Inconsistency Data'!S57,1))</f>
        <v/>
      </c>
      <c r="U57" s="87" t="str">
        <f t="shared" si="3"/>
        <v/>
      </c>
      <c r="V57" s="42" t="str">
        <f t="shared" si="6"/>
        <v/>
      </c>
    </row>
    <row r="58" spans="4:22" hidden="1" x14ac:dyDescent="0.25">
      <c r="D58" s="41"/>
      <c r="E58" s="39"/>
      <c r="F58" s="39"/>
      <c r="G58" s="39"/>
      <c r="H58" s="52" t="str">
        <f t="shared" si="4"/>
        <v/>
      </c>
      <c r="I58" s="41" t="s">
        <v>535</v>
      </c>
      <c r="J58" s="39">
        <v>0.95420000000000005</v>
      </c>
      <c r="K58" s="39" t="s">
        <v>535</v>
      </c>
      <c r="L58" s="39">
        <v>0.66920000000000002</v>
      </c>
      <c r="M58" s="52">
        <f t="shared" si="5"/>
        <v>-0.28500000000000003</v>
      </c>
      <c r="O58" s="26" t="str">
        <f t="shared" si="0"/>
        <v/>
      </c>
      <c r="P58" s="31" t="e">
        <f t="shared" si="1"/>
        <v>#VALUE!</v>
      </c>
      <c r="Q58" s="39" t="e">
        <f t="shared" si="2"/>
        <v>#VALUE!</v>
      </c>
      <c r="R58" s="39" t="str">
        <f>IF(D58="","",INDEX('WINBUGS data'!$F$17:$AI$65,'Inconsistency Data'!O58,2))</f>
        <v/>
      </c>
      <c r="S58" s="116" t="e">
        <f>INDEX('WINBUGS data'!$F$17:$AI$65,(O58*1),MATCH(Q58,'WINBUGS data'!$F$16:$AI$16,0))</f>
        <v>#VALUE!</v>
      </c>
      <c r="T58" s="87" t="str">
        <f>IF(D58="","",INDEX('WINBUGS Data Inconsistency'!$B$4:$C$18,'Inconsistency Data'!S58,1))</f>
        <v/>
      </c>
      <c r="U58" s="87" t="str">
        <f t="shared" si="3"/>
        <v/>
      </c>
      <c r="V58" s="42" t="str">
        <f t="shared" si="6"/>
        <v/>
      </c>
    </row>
    <row r="59" spans="4:22" hidden="1" x14ac:dyDescent="0.25">
      <c r="D59" s="41"/>
      <c r="E59" s="39"/>
      <c r="F59" s="39"/>
      <c r="G59" s="39"/>
      <c r="H59" s="52" t="str">
        <f t="shared" si="4"/>
        <v/>
      </c>
      <c r="I59" s="41" t="s">
        <v>536</v>
      </c>
      <c r="J59" s="39">
        <v>1.022</v>
      </c>
      <c r="K59" s="39" t="s">
        <v>536</v>
      </c>
      <c r="L59" s="39">
        <v>0.82620000000000005</v>
      </c>
      <c r="M59" s="52">
        <f t="shared" si="5"/>
        <v>-0.19579999999999997</v>
      </c>
      <c r="O59" s="26" t="str">
        <f t="shared" si="0"/>
        <v/>
      </c>
      <c r="P59" s="31" t="e">
        <f t="shared" si="1"/>
        <v>#VALUE!</v>
      </c>
      <c r="Q59" s="39" t="e">
        <f t="shared" si="2"/>
        <v>#VALUE!</v>
      </c>
      <c r="R59" s="39" t="str">
        <f>IF(D59="","",INDEX('WINBUGS data'!$F$17:$AI$65,'Inconsistency Data'!O59,2))</f>
        <v/>
      </c>
      <c r="S59" s="116" t="e">
        <f>INDEX('WINBUGS data'!$F$17:$AI$65,(O59*1),MATCH(Q59,'WINBUGS data'!$F$16:$AI$16,0))</f>
        <v>#VALUE!</v>
      </c>
      <c r="T59" s="87" t="str">
        <f>IF(D59="","",INDEX('WINBUGS Data Inconsistency'!$B$4:$C$18,'Inconsistency Data'!S59,1))</f>
        <v/>
      </c>
      <c r="U59" s="87" t="str">
        <f t="shared" si="3"/>
        <v/>
      </c>
      <c r="V59" s="42" t="str">
        <f t="shared" si="6"/>
        <v/>
      </c>
    </row>
    <row r="60" spans="4:22" hidden="1" x14ac:dyDescent="0.25">
      <c r="D60" s="41"/>
      <c r="E60" s="39"/>
      <c r="F60" s="39"/>
      <c r="G60" s="39"/>
      <c r="H60" s="52" t="str">
        <f t="shared" si="4"/>
        <v/>
      </c>
      <c r="I60" s="41" t="s">
        <v>537</v>
      </c>
      <c r="J60" s="39">
        <v>0.54949999999999999</v>
      </c>
      <c r="K60" s="39" t="s">
        <v>537</v>
      </c>
      <c r="L60" s="39">
        <v>0.64839999999999998</v>
      </c>
      <c r="M60" s="52">
        <f t="shared" si="5"/>
        <v>9.8899999999999988E-2</v>
      </c>
      <c r="O60" s="26" t="str">
        <f t="shared" si="0"/>
        <v/>
      </c>
      <c r="P60" s="31" t="e">
        <f t="shared" si="1"/>
        <v>#VALUE!</v>
      </c>
      <c r="Q60" s="39" t="e">
        <f t="shared" si="2"/>
        <v>#VALUE!</v>
      </c>
      <c r="R60" s="39" t="str">
        <f>IF(D60="","",INDEX('WINBUGS data'!$F$17:$AI$65,'Inconsistency Data'!O60,2))</f>
        <v/>
      </c>
      <c r="S60" s="116" t="e">
        <f>INDEX('WINBUGS data'!$F$17:$AI$65,(O60*1),MATCH(Q60,'WINBUGS data'!$F$16:$AI$16,0))</f>
        <v>#VALUE!</v>
      </c>
      <c r="T60" s="87" t="str">
        <f>IF(D60="","",INDEX('WINBUGS Data Inconsistency'!$B$4:$C$18,'Inconsistency Data'!S60,1))</f>
        <v/>
      </c>
      <c r="U60" s="87" t="str">
        <f t="shared" si="3"/>
        <v/>
      </c>
      <c r="V60" s="42" t="str">
        <f t="shared" si="6"/>
        <v/>
      </c>
    </row>
    <row r="61" spans="4:22" hidden="1" x14ac:dyDescent="0.25">
      <c r="D61" s="41"/>
      <c r="E61" s="39"/>
      <c r="F61" s="39"/>
      <c r="G61" s="39"/>
      <c r="H61" s="52" t="str">
        <f t="shared" si="4"/>
        <v/>
      </c>
      <c r="I61" s="41" t="s">
        <v>538</v>
      </c>
      <c r="J61" s="39">
        <v>0.67420000000000002</v>
      </c>
      <c r="K61" s="39" t="s">
        <v>538</v>
      </c>
      <c r="L61" s="39">
        <v>0.70720000000000005</v>
      </c>
      <c r="M61" s="52">
        <f t="shared" si="5"/>
        <v>3.3000000000000029E-2</v>
      </c>
      <c r="O61" s="26" t="str">
        <f t="shared" si="0"/>
        <v/>
      </c>
      <c r="P61" s="31" t="e">
        <f t="shared" si="1"/>
        <v>#VALUE!</v>
      </c>
      <c r="Q61" s="39" t="e">
        <f t="shared" si="2"/>
        <v>#VALUE!</v>
      </c>
      <c r="R61" s="39" t="str">
        <f>IF(D61="","",INDEX('WINBUGS data'!$F$17:$AI$65,'Inconsistency Data'!O61,2))</f>
        <v/>
      </c>
      <c r="S61" s="116" t="e">
        <f>INDEX('WINBUGS data'!$F$17:$AI$65,(O61*1),MATCH(Q61,'WINBUGS data'!$F$16:$AI$16,0))</f>
        <v>#VALUE!</v>
      </c>
      <c r="T61" s="87" t="str">
        <f>IF(D61="","",INDEX('WINBUGS Data Inconsistency'!$B$4:$C$18,'Inconsistency Data'!S61,1))</f>
        <v/>
      </c>
      <c r="U61" s="87" t="str">
        <f t="shared" si="3"/>
        <v/>
      </c>
      <c r="V61" s="42" t="str">
        <f t="shared" si="6"/>
        <v/>
      </c>
    </row>
    <row r="62" spans="4:22" hidden="1" x14ac:dyDescent="0.25">
      <c r="D62" s="41"/>
      <c r="E62" s="39"/>
      <c r="F62" s="39"/>
      <c r="G62" s="39"/>
      <c r="H62" s="52" t="str">
        <f t="shared" si="4"/>
        <v/>
      </c>
      <c r="I62" s="41" t="s">
        <v>539</v>
      </c>
      <c r="J62" s="39">
        <v>0.62460000000000004</v>
      </c>
      <c r="K62" s="39" t="s">
        <v>539</v>
      </c>
      <c r="L62" s="39">
        <v>0.65380000000000005</v>
      </c>
      <c r="M62" s="52">
        <f t="shared" si="5"/>
        <v>2.9200000000000004E-2</v>
      </c>
      <c r="O62" s="26" t="str">
        <f t="shared" si="0"/>
        <v/>
      </c>
      <c r="P62" s="31" t="e">
        <f t="shared" si="1"/>
        <v>#VALUE!</v>
      </c>
      <c r="Q62" s="39" t="e">
        <f t="shared" si="2"/>
        <v>#VALUE!</v>
      </c>
      <c r="R62" s="39" t="str">
        <f>IF(D62="","",INDEX('WINBUGS data'!$F$17:$AI$65,'Inconsistency Data'!O62,2))</f>
        <v/>
      </c>
      <c r="S62" s="116" t="e">
        <f>INDEX('WINBUGS data'!$F$17:$AI$65,(O62*1),MATCH(Q62,'WINBUGS data'!$F$16:$AI$16,0))</f>
        <v>#VALUE!</v>
      </c>
      <c r="T62" s="87" t="str">
        <f>IF(D62="","",INDEX('WINBUGS Data Inconsistency'!$B$4:$C$18,'Inconsistency Data'!S62,1))</f>
        <v/>
      </c>
      <c r="U62" s="87" t="str">
        <f t="shared" si="3"/>
        <v/>
      </c>
      <c r="V62" s="42" t="str">
        <f t="shared" si="6"/>
        <v/>
      </c>
    </row>
    <row r="63" spans="4:22" hidden="1" x14ac:dyDescent="0.25">
      <c r="D63" s="41"/>
      <c r="E63" s="39"/>
      <c r="F63" s="39"/>
      <c r="G63" s="39"/>
      <c r="H63" s="52" t="str">
        <f t="shared" si="4"/>
        <v/>
      </c>
      <c r="I63" s="41" t="s">
        <v>540</v>
      </c>
      <c r="J63" s="39">
        <v>0.68100000000000005</v>
      </c>
      <c r="K63" s="39" t="s">
        <v>540</v>
      </c>
      <c r="L63" s="39">
        <v>0.68240000000000001</v>
      </c>
      <c r="M63" s="52">
        <f t="shared" si="5"/>
        <v>1.3999999999999568E-3</v>
      </c>
      <c r="O63" s="26" t="str">
        <f t="shared" si="0"/>
        <v/>
      </c>
      <c r="P63" s="31" t="e">
        <f t="shared" si="1"/>
        <v>#VALUE!</v>
      </c>
      <c r="Q63" s="39" t="e">
        <f t="shared" si="2"/>
        <v>#VALUE!</v>
      </c>
      <c r="R63" s="39" t="str">
        <f>IF(D63="","",INDEX('WINBUGS data'!$F$17:$AI$65,'Inconsistency Data'!O63,2))</f>
        <v/>
      </c>
      <c r="S63" s="116" t="e">
        <f>INDEX('WINBUGS data'!$F$17:$AI$65,(O63*1),MATCH(Q63,'WINBUGS data'!$F$16:$AI$16,0))</f>
        <v>#VALUE!</v>
      </c>
      <c r="T63" s="87" t="str">
        <f>IF(D63="","",INDEX('WINBUGS Data Inconsistency'!$B$4:$C$18,'Inconsistency Data'!S63,1))</f>
        <v/>
      </c>
      <c r="U63" s="87" t="str">
        <f t="shared" si="3"/>
        <v/>
      </c>
      <c r="V63" s="42" t="str">
        <f t="shared" si="6"/>
        <v/>
      </c>
    </row>
    <row r="64" spans="4:22" hidden="1" x14ac:dyDescent="0.25">
      <c r="D64" s="41"/>
      <c r="E64" s="39"/>
      <c r="F64" s="39"/>
      <c r="G64" s="39"/>
      <c r="H64" s="52" t="str">
        <f t="shared" si="4"/>
        <v/>
      </c>
      <c r="I64" s="41" t="s">
        <v>541</v>
      </c>
      <c r="J64" s="39">
        <v>0.78759999999999997</v>
      </c>
      <c r="K64" s="39" t="s">
        <v>541</v>
      </c>
      <c r="L64" s="39">
        <v>0.65590000000000004</v>
      </c>
      <c r="M64" s="52">
        <f t="shared" si="5"/>
        <v>-0.13169999999999993</v>
      </c>
      <c r="O64" s="26" t="str">
        <f t="shared" si="0"/>
        <v/>
      </c>
      <c r="P64" s="31" t="e">
        <f t="shared" si="1"/>
        <v>#VALUE!</v>
      </c>
      <c r="Q64" s="39" t="e">
        <f t="shared" si="2"/>
        <v>#VALUE!</v>
      </c>
      <c r="R64" s="39" t="str">
        <f>IF(D64="","",INDEX('WINBUGS data'!$F$17:$AI$65,'Inconsistency Data'!O64,2))</f>
        <v/>
      </c>
      <c r="S64" s="116" t="e">
        <f>INDEX('WINBUGS data'!$F$17:$AI$65,(O64*1),MATCH(Q64,'WINBUGS data'!$F$16:$AI$16,0))</f>
        <v>#VALUE!</v>
      </c>
      <c r="T64" s="87" t="str">
        <f>IF(D64="","",INDEX('WINBUGS Data Inconsistency'!$B$4:$C$18,'Inconsistency Data'!S64,1))</f>
        <v/>
      </c>
      <c r="U64" s="87" t="str">
        <f t="shared" si="3"/>
        <v/>
      </c>
      <c r="V64" s="42" t="str">
        <f t="shared" si="6"/>
        <v/>
      </c>
    </row>
    <row r="65" spans="4:22" hidden="1" x14ac:dyDescent="0.25">
      <c r="D65" s="41"/>
      <c r="E65" s="39"/>
      <c r="F65" s="39"/>
      <c r="G65" s="39"/>
      <c r="H65" s="52" t="str">
        <f t="shared" si="4"/>
        <v/>
      </c>
      <c r="I65" s="41" t="s">
        <v>542</v>
      </c>
      <c r="J65" s="39">
        <v>0.85629999999999995</v>
      </c>
      <c r="K65" s="39" t="s">
        <v>542</v>
      </c>
      <c r="L65" s="39">
        <v>0.70440000000000003</v>
      </c>
      <c r="M65" s="52">
        <f t="shared" si="5"/>
        <v>-0.15189999999999992</v>
      </c>
      <c r="O65" s="26" t="str">
        <f t="shared" si="0"/>
        <v/>
      </c>
      <c r="P65" s="31" t="e">
        <f t="shared" si="1"/>
        <v>#VALUE!</v>
      </c>
      <c r="Q65" s="39" t="e">
        <f t="shared" si="2"/>
        <v>#VALUE!</v>
      </c>
      <c r="R65" s="39" t="str">
        <f>IF(D65="","",INDEX('WINBUGS data'!$F$17:$AI$65,'Inconsistency Data'!O65,2))</f>
        <v/>
      </c>
      <c r="S65" s="116" t="e">
        <f>INDEX('WINBUGS data'!$F$17:$AI$65,(O65*1),MATCH(Q65,'WINBUGS data'!$F$16:$AI$16,0))</f>
        <v>#VALUE!</v>
      </c>
      <c r="T65" s="87" t="str">
        <f>IF(D65="","",INDEX('WINBUGS Data Inconsistency'!$B$4:$C$18,'Inconsistency Data'!S65,1))</f>
        <v/>
      </c>
      <c r="U65" s="87" t="str">
        <f t="shared" si="3"/>
        <v/>
      </c>
      <c r="V65" s="42" t="str">
        <f t="shared" si="6"/>
        <v/>
      </c>
    </row>
    <row r="66" spans="4:22" hidden="1" x14ac:dyDescent="0.25">
      <c r="D66" s="41"/>
      <c r="E66" s="39"/>
      <c r="F66" s="39"/>
      <c r="G66" s="39"/>
      <c r="H66" s="52" t="str">
        <f t="shared" si="4"/>
        <v/>
      </c>
      <c r="I66" s="41" t="s">
        <v>543</v>
      </c>
      <c r="J66" s="39">
        <v>1.0529999999999999</v>
      </c>
      <c r="K66" s="39" t="s">
        <v>543</v>
      </c>
      <c r="L66" s="39">
        <v>1.159</v>
      </c>
      <c r="M66" s="52">
        <f t="shared" si="5"/>
        <v>0.10600000000000009</v>
      </c>
      <c r="O66" s="26" t="str">
        <f t="shared" si="0"/>
        <v/>
      </c>
      <c r="P66" s="31" t="e">
        <f t="shared" si="1"/>
        <v>#VALUE!</v>
      </c>
      <c r="Q66" s="39" t="e">
        <f t="shared" si="2"/>
        <v>#VALUE!</v>
      </c>
      <c r="R66" s="39" t="str">
        <f>IF(D66="","",INDEX('WINBUGS data'!$F$17:$AI$65,'Inconsistency Data'!O66,2))</f>
        <v/>
      </c>
      <c r="S66" s="116" t="e">
        <f>INDEX('WINBUGS data'!$F$17:$AI$65,(O66*1),MATCH(Q66,'WINBUGS data'!$F$16:$AI$16,0))</f>
        <v>#VALUE!</v>
      </c>
      <c r="T66" s="87" t="str">
        <f>IF(D66="","",INDEX('WINBUGS Data Inconsistency'!$B$4:$C$18,'Inconsistency Data'!S66,1))</f>
        <v/>
      </c>
      <c r="U66" s="87" t="str">
        <f t="shared" si="3"/>
        <v/>
      </c>
      <c r="V66" s="42" t="str">
        <f t="shared" si="6"/>
        <v/>
      </c>
    </row>
    <row r="67" spans="4:22" hidden="1" x14ac:dyDescent="0.25">
      <c r="D67" s="41"/>
      <c r="E67" s="39"/>
      <c r="F67" s="39"/>
      <c r="G67" s="39"/>
      <c r="H67" s="52" t="str">
        <f t="shared" si="4"/>
        <v/>
      </c>
      <c r="I67" s="41" t="s">
        <v>544</v>
      </c>
      <c r="J67" s="39">
        <v>1.038</v>
      </c>
      <c r="K67" s="39" t="s">
        <v>544</v>
      </c>
      <c r="L67" s="39">
        <v>1.294</v>
      </c>
      <c r="M67" s="52">
        <f t="shared" si="5"/>
        <v>0.25600000000000001</v>
      </c>
      <c r="O67" s="26" t="str">
        <f t="shared" si="0"/>
        <v/>
      </c>
      <c r="P67" s="31" t="e">
        <f t="shared" si="1"/>
        <v>#VALUE!</v>
      </c>
      <c r="Q67" s="39" t="e">
        <f t="shared" si="2"/>
        <v>#VALUE!</v>
      </c>
      <c r="R67" s="39" t="str">
        <f>IF(D67="","",INDEX('WINBUGS data'!$F$17:$AI$65,'Inconsistency Data'!O67,2))</f>
        <v/>
      </c>
      <c r="S67" s="116" t="e">
        <f>INDEX('WINBUGS data'!$F$17:$AI$65,(O67*1),MATCH(Q67,'WINBUGS data'!$F$16:$AI$16,0))</f>
        <v>#VALUE!</v>
      </c>
      <c r="T67" s="87" t="str">
        <f>IF(D67="","",INDEX('WINBUGS Data Inconsistency'!$B$4:$C$18,'Inconsistency Data'!S67,1))</f>
        <v/>
      </c>
      <c r="U67" s="87" t="str">
        <f t="shared" si="3"/>
        <v/>
      </c>
      <c r="V67" s="42" t="str">
        <f t="shared" si="6"/>
        <v/>
      </c>
    </row>
    <row r="68" spans="4:22" hidden="1" x14ac:dyDescent="0.25">
      <c r="D68" s="41"/>
      <c r="E68" s="39"/>
      <c r="F68" s="39"/>
      <c r="G68" s="39"/>
      <c r="H68" s="52" t="str">
        <f t="shared" si="4"/>
        <v/>
      </c>
      <c r="I68" s="41" t="s">
        <v>545</v>
      </c>
      <c r="J68" s="39">
        <v>1.899</v>
      </c>
      <c r="K68" s="39" t="s">
        <v>545</v>
      </c>
      <c r="L68" s="39">
        <v>0.87929999999999997</v>
      </c>
      <c r="M68" s="52">
        <f t="shared" si="5"/>
        <v>-1.0197000000000001</v>
      </c>
      <c r="O68" s="26" t="str">
        <f t="shared" si="0"/>
        <v/>
      </c>
      <c r="P68" s="31" t="e">
        <f t="shared" si="1"/>
        <v>#VALUE!</v>
      </c>
      <c r="Q68" s="39" t="e">
        <f t="shared" si="2"/>
        <v>#VALUE!</v>
      </c>
      <c r="R68" s="39" t="str">
        <f>IF(D68="","",INDEX('WINBUGS data'!$F$17:$AI$65,'Inconsistency Data'!O68,2))</f>
        <v/>
      </c>
      <c r="S68" s="116" t="e">
        <f>INDEX('WINBUGS data'!$F$17:$AI$65,(O68*1),MATCH(Q68,'WINBUGS data'!$F$16:$AI$16,0))</f>
        <v>#VALUE!</v>
      </c>
      <c r="T68" s="87" t="str">
        <f>IF(D68="","",INDEX('WINBUGS Data Inconsistency'!$B$4:$C$18,'Inconsistency Data'!S68,1))</f>
        <v/>
      </c>
      <c r="U68" s="87" t="str">
        <f t="shared" si="3"/>
        <v/>
      </c>
      <c r="V68" s="42" t="str">
        <f t="shared" si="6"/>
        <v/>
      </c>
    </row>
    <row r="69" spans="4:22" hidden="1" x14ac:dyDescent="0.25">
      <c r="D69" s="41"/>
      <c r="E69" s="39"/>
      <c r="F69" s="39"/>
      <c r="G69" s="39"/>
      <c r="H69" s="52" t="str">
        <f t="shared" si="4"/>
        <v/>
      </c>
      <c r="I69" s="41" t="s">
        <v>546</v>
      </c>
      <c r="J69" s="39">
        <v>1.675</v>
      </c>
      <c r="K69" s="39" t="s">
        <v>546</v>
      </c>
      <c r="L69" s="39">
        <v>0.86180000000000001</v>
      </c>
      <c r="M69" s="52">
        <f t="shared" si="5"/>
        <v>-0.81320000000000003</v>
      </c>
      <c r="O69" s="26" t="str">
        <f t="shared" si="0"/>
        <v/>
      </c>
      <c r="P69" s="31" t="e">
        <f t="shared" si="1"/>
        <v>#VALUE!</v>
      </c>
      <c r="Q69" s="39" t="e">
        <f t="shared" si="2"/>
        <v>#VALUE!</v>
      </c>
      <c r="R69" s="39" t="str">
        <f>IF(D69="","",INDEX('WINBUGS data'!$F$17:$AI$65,'Inconsistency Data'!O69,2))</f>
        <v/>
      </c>
      <c r="S69" s="116" t="e">
        <f>INDEX('WINBUGS data'!$F$17:$AI$65,(O69*1),MATCH(Q69,'WINBUGS data'!$F$16:$AI$16,0))</f>
        <v>#VALUE!</v>
      </c>
      <c r="T69" s="87" t="str">
        <f>IF(D69="","",INDEX('WINBUGS Data Inconsistency'!$B$4:$C$18,'Inconsistency Data'!S69,1))</f>
        <v/>
      </c>
      <c r="U69" s="87" t="str">
        <f t="shared" si="3"/>
        <v/>
      </c>
      <c r="V69" s="42" t="str">
        <f t="shared" si="6"/>
        <v/>
      </c>
    </row>
    <row r="70" spans="4:22" hidden="1" x14ac:dyDescent="0.25">
      <c r="D70" s="41"/>
      <c r="E70" s="39"/>
      <c r="F70" s="39"/>
      <c r="G70" s="39"/>
      <c r="H70" s="52" t="str">
        <f t="shared" si="4"/>
        <v/>
      </c>
      <c r="I70" s="41" t="s">
        <v>547</v>
      </c>
      <c r="J70" s="39">
        <v>0.98399999999999999</v>
      </c>
      <c r="K70" s="39" t="s">
        <v>547</v>
      </c>
      <c r="L70" s="39">
        <v>0.74380000000000002</v>
      </c>
      <c r="M70" s="52">
        <f t="shared" si="5"/>
        <v>-0.24019999999999997</v>
      </c>
      <c r="O70" s="26" t="str">
        <f t="shared" ref="O70:O105" si="7">IF(D70="","",MID(D70,FIND("[",D70)+1,FIND(",",D70)-FIND("[",D70)-1))</f>
        <v/>
      </c>
      <c r="P70" s="31" t="e">
        <f t="shared" ref="P70:P105" si="8">MID(D70,FIND(",",D70)+1,FIND("]",D70)-FIND(",",D70)-1)</f>
        <v>#VALUE!</v>
      </c>
      <c r="Q70" s="39" t="e">
        <f t="shared" ref="Q70:Q105" si="9">CONCATENATE("t[,",P70,"]")</f>
        <v>#VALUE!</v>
      </c>
      <c r="R70" s="39" t="str">
        <f>IF(D70="","",INDEX('WINBUGS data'!$F$17:$AI$65,'Inconsistency Data'!O70,2))</f>
        <v/>
      </c>
      <c r="S70" s="116" t="e">
        <f>INDEX('WINBUGS data'!$F$17:$AI$65,(O70*1),MATCH(Q70,'WINBUGS data'!$F$16:$AI$16,0))</f>
        <v>#VALUE!</v>
      </c>
      <c r="T70" s="87" t="str">
        <f>IF(D70="","",INDEX('WINBUGS Data Inconsistency'!$B$4:$C$18,'Inconsistency Data'!S70,1))</f>
        <v/>
      </c>
      <c r="U70" s="87" t="str">
        <f t="shared" ref="U70:U105" si="10">IF(D70="","",R70&amp; ", "&amp;T70)</f>
        <v/>
      </c>
      <c r="V70" s="42" t="str">
        <f t="shared" si="6"/>
        <v/>
      </c>
    </row>
    <row r="71" spans="4:22" hidden="1" x14ac:dyDescent="0.25">
      <c r="D71" s="41"/>
      <c r="E71" s="39"/>
      <c r="F71" s="39"/>
      <c r="G71" s="39"/>
      <c r="H71" s="52" t="str">
        <f t="shared" ref="H71:H105" si="11">IF(D71="","",G71-E71)</f>
        <v/>
      </c>
      <c r="I71" s="41" t="s">
        <v>548</v>
      </c>
      <c r="J71" s="39">
        <v>0.96640000000000004</v>
      </c>
      <c r="K71" s="39" t="s">
        <v>548</v>
      </c>
      <c r="L71" s="39">
        <v>0.52480000000000004</v>
      </c>
      <c r="M71" s="52">
        <f t="shared" ref="M71:M105" si="12">IF(I71="","",L71-J71)</f>
        <v>-0.44159999999999999</v>
      </c>
      <c r="O71" s="26" t="str">
        <f t="shared" si="7"/>
        <v/>
      </c>
      <c r="P71" s="31" t="e">
        <f t="shared" si="8"/>
        <v>#VALUE!</v>
      </c>
      <c r="Q71" s="39" t="e">
        <f t="shared" si="9"/>
        <v>#VALUE!</v>
      </c>
      <c r="R71" s="39" t="str">
        <f>IF(D71="","",INDEX('WINBUGS data'!$F$17:$AI$65,'Inconsistency Data'!O71,2))</f>
        <v/>
      </c>
      <c r="S71" s="116" t="e">
        <f>INDEX('WINBUGS data'!$F$17:$AI$65,(O71*1),MATCH(Q71,'WINBUGS data'!$F$16:$AI$16,0))</f>
        <v>#VALUE!</v>
      </c>
      <c r="T71" s="87" t="str">
        <f>IF(D71="","",INDEX('WINBUGS Data Inconsistency'!$B$4:$C$18,'Inconsistency Data'!S71,1))</f>
        <v/>
      </c>
      <c r="U71" s="87" t="str">
        <f t="shared" si="10"/>
        <v/>
      </c>
      <c r="V71" s="42" t="str">
        <f t="shared" ref="V71:V105" si="13">CHOOSE($V$5,R71,T71,U71)</f>
        <v/>
      </c>
    </row>
    <row r="72" spans="4:22" hidden="1" x14ac:dyDescent="0.25">
      <c r="D72" s="41"/>
      <c r="E72" s="39"/>
      <c r="F72" s="39"/>
      <c r="G72" s="39"/>
      <c r="H72" s="52" t="str">
        <f t="shared" si="11"/>
        <v/>
      </c>
      <c r="I72" s="41" t="s">
        <v>549</v>
      </c>
      <c r="J72" s="39">
        <v>0.7399</v>
      </c>
      <c r="K72" s="39" t="s">
        <v>549</v>
      </c>
      <c r="L72" s="39">
        <v>0.72250000000000003</v>
      </c>
      <c r="M72" s="52">
        <f t="shared" si="12"/>
        <v>-1.7399999999999971E-2</v>
      </c>
      <c r="O72" s="26" t="str">
        <f t="shared" si="7"/>
        <v/>
      </c>
      <c r="P72" s="31" t="e">
        <f t="shared" si="8"/>
        <v>#VALUE!</v>
      </c>
      <c r="Q72" s="39" t="e">
        <f t="shared" si="9"/>
        <v>#VALUE!</v>
      </c>
      <c r="R72" s="39" t="str">
        <f>IF(D72="","",INDEX('WINBUGS data'!$F$17:$AI$65,'Inconsistency Data'!O72,2))</f>
        <v/>
      </c>
      <c r="S72" s="116" t="e">
        <f>INDEX('WINBUGS data'!$F$17:$AI$65,(O72*1),MATCH(Q72,'WINBUGS data'!$F$16:$AI$16,0))</f>
        <v>#VALUE!</v>
      </c>
      <c r="T72" s="87" t="str">
        <f>IF(D72="","",INDEX('WINBUGS Data Inconsistency'!$B$4:$C$18,'Inconsistency Data'!S72,1))</f>
        <v/>
      </c>
      <c r="U72" s="87" t="str">
        <f t="shared" si="10"/>
        <v/>
      </c>
      <c r="V72" s="42" t="str">
        <f t="shared" si="13"/>
        <v/>
      </c>
    </row>
    <row r="73" spans="4:22" hidden="1" x14ac:dyDescent="0.25">
      <c r="D73" s="41"/>
      <c r="E73" s="39"/>
      <c r="F73" s="39"/>
      <c r="G73" s="39"/>
      <c r="H73" s="52" t="str">
        <f t="shared" si="11"/>
        <v/>
      </c>
      <c r="I73" s="41" t="s">
        <v>550</v>
      </c>
      <c r="J73" s="39">
        <v>0.63219999999999998</v>
      </c>
      <c r="K73" s="39" t="s">
        <v>550</v>
      </c>
      <c r="L73" s="39">
        <v>0.622</v>
      </c>
      <c r="M73" s="52">
        <f t="shared" si="12"/>
        <v>-1.0199999999999987E-2</v>
      </c>
      <c r="O73" s="26" t="str">
        <f t="shared" si="7"/>
        <v/>
      </c>
      <c r="P73" s="31" t="e">
        <f t="shared" si="8"/>
        <v>#VALUE!</v>
      </c>
      <c r="Q73" s="39" t="e">
        <f t="shared" si="9"/>
        <v>#VALUE!</v>
      </c>
      <c r="R73" s="39" t="str">
        <f>IF(D73="","",INDEX('WINBUGS data'!$F$17:$AI$65,'Inconsistency Data'!O73,2))</f>
        <v/>
      </c>
      <c r="S73" s="116" t="e">
        <f>INDEX('WINBUGS data'!$F$17:$AI$65,(O73*1),MATCH(Q73,'WINBUGS data'!$F$16:$AI$16,0))</f>
        <v>#VALUE!</v>
      </c>
      <c r="T73" s="87" t="str">
        <f>IF(D73="","",INDEX('WINBUGS Data Inconsistency'!$B$4:$C$18,'Inconsistency Data'!S73,1))</f>
        <v/>
      </c>
      <c r="U73" s="87" t="str">
        <f t="shared" si="10"/>
        <v/>
      </c>
      <c r="V73" s="42" t="str">
        <f t="shared" si="13"/>
        <v/>
      </c>
    </row>
    <row r="74" spans="4:22" hidden="1" x14ac:dyDescent="0.25">
      <c r="D74" s="41"/>
      <c r="E74" s="39"/>
      <c r="F74" s="39"/>
      <c r="G74" s="39"/>
      <c r="H74" s="52" t="str">
        <f t="shared" si="11"/>
        <v/>
      </c>
      <c r="I74" s="41" t="s">
        <v>551</v>
      </c>
      <c r="J74" s="39">
        <v>0.91890000000000005</v>
      </c>
      <c r="K74" s="39" t="s">
        <v>551</v>
      </c>
      <c r="L74" s="39">
        <v>1.073</v>
      </c>
      <c r="M74" s="52">
        <f t="shared" si="12"/>
        <v>0.1540999999999999</v>
      </c>
      <c r="O74" s="26" t="str">
        <f t="shared" si="7"/>
        <v/>
      </c>
      <c r="P74" s="31" t="e">
        <f t="shared" si="8"/>
        <v>#VALUE!</v>
      </c>
      <c r="Q74" s="39" t="e">
        <f t="shared" si="9"/>
        <v>#VALUE!</v>
      </c>
      <c r="R74" s="39" t="str">
        <f>IF(D74="","",INDEX('WINBUGS data'!$F$17:$AI$65,'Inconsistency Data'!O74,2))</f>
        <v/>
      </c>
      <c r="S74" s="116" t="e">
        <f>INDEX('WINBUGS data'!$F$17:$AI$65,(O74*1),MATCH(Q74,'WINBUGS data'!$F$16:$AI$16,0))</f>
        <v>#VALUE!</v>
      </c>
      <c r="T74" s="87" t="str">
        <f>IF(D74="","",INDEX('WINBUGS Data Inconsistency'!$B$4:$C$18,'Inconsistency Data'!S74,1))</f>
        <v/>
      </c>
      <c r="U74" s="87" t="str">
        <f t="shared" si="10"/>
        <v/>
      </c>
      <c r="V74" s="42" t="str">
        <f t="shared" si="13"/>
        <v/>
      </c>
    </row>
    <row r="75" spans="4:22" hidden="1" x14ac:dyDescent="0.25">
      <c r="D75" s="41"/>
      <c r="E75" s="39"/>
      <c r="F75" s="39"/>
      <c r="G75" s="39"/>
      <c r="H75" s="52" t="str">
        <f t="shared" si="11"/>
        <v/>
      </c>
      <c r="I75" s="41" t="s">
        <v>552</v>
      </c>
      <c r="J75" s="39">
        <v>0.44669999999999999</v>
      </c>
      <c r="K75" s="39" t="s">
        <v>552</v>
      </c>
      <c r="L75" s="39">
        <v>1.03</v>
      </c>
      <c r="M75" s="52">
        <f t="shared" si="12"/>
        <v>0.58330000000000004</v>
      </c>
      <c r="O75" s="26" t="str">
        <f t="shared" si="7"/>
        <v/>
      </c>
      <c r="P75" s="31" t="e">
        <f t="shared" si="8"/>
        <v>#VALUE!</v>
      </c>
      <c r="Q75" s="39" t="e">
        <f t="shared" si="9"/>
        <v>#VALUE!</v>
      </c>
      <c r="R75" s="39" t="str">
        <f>IF(D75="","",INDEX('WINBUGS data'!$F$17:$AI$65,'Inconsistency Data'!O75,2))</f>
        <v/>
      </c>
      <c r="S75" s="116" t="e">
        <f>INDEX('WINBUGS data'!$F$17:$AI$65,(O75*1),MATCH(Q75,'WINBUGS data'!$F$16:$AI$16,0))</f>
        <v>#VALUE!</v>
      </c>
      <c r="T75" s="87" t="str">
        <f>IF(D75="","",INDEX('WINBUGS Data Inconsistency'!$B$4:$C$18,'Inconsistency Data'!S75,1))</f>
        <v/>
      </c>
      <c r="U75" s="87" t="str">
        <f t="shared" si="10"/>
        <v/>
      </c>
      <c r="V75" s="42" t="str">
        <f t="shared" si="13"/>
        <v/>
      </c>
    </row>
    <row r="76" spans="4:22" hidden="1" x14ac:dyDescent="0.25">
      <c r="D76" s="41"/>
      <c r="E76" s="39"/>
      <c r="F76" s="39"/>
      <c r="G76" s="39"/>
      <c r="H76" s="52" t="str">
        <f t="shared" si="11"/>
        <v/>
      </c>
      <c r="I76" s="41" t="s">
        <v>553</v>
      </c>
      <c r="J76" s="39">
        <v>1.7270000000000001</v>
      </c>
      <c r="K76" s="39" t="s">
        <v>553</v>
      </c>
      <c r="L76" s="39">
        <v>2.1349999999999998</v>
      </c>
      <c r="M76" s="52">
        <f t="shared" si="12"/>
        <v>0.4079999999999997</v>
      </c>
      <c r="O76" s="26" t="str">
        <f t="shared" si="7"/>
        <v/>
      </c>
      <c r="P76" s="31" t="e">
        <f t="shared" si="8"/>
        <v>#VALUE!</v>
      </c>
      <c r="Q76" s="39" t="e">
        <f t="shared" si="9"/>
        <v>#VALUE!</v>
      </c>
      <c r="R76" s="39" t="str">
        <f>IF(D76="","",INDEX('WINBUGS data'!$F$17:$AI$65,'Inconsistency Data'!O76,2))</f>
        <v/>
      </c>
      <c r="S76" s="116" t="e">
        <f>INDEX('WINBUGS data'!$F$17:$AI$65,(O76*1),MATCH(Q76,'WINBUGS data'!$F$16:$AI$16,0))</f>
        <v>#VALUE!</v>
      </c>
      <c r="T76" s="87" t="str">
        <f>IF(D76="","",INDEX('WINBUGS Data Inconsistency'!$B$4:$C$18,'Inconsistency Data'!S76,1))</f>
        <v/>
      </c>
      <c r="U76" s="87" t="str">
        <f t="shared" si="10"/>
        <v/>
      </c>
      <c r="V76" s="42" t="str">
        <f t="shared" si="13"/>
        <v/>
      </c>
    </row>
    <row r="77" spans="4:22" hidden="1" x14ac:dyDescent="0.25">
      <c r="D77" s="41"/>
      <c r="E77" s="39"/>
      <c r="F77" s="39"/>
      <c r="G77" s="39"/>
      <c r="H77" s="52" t="str">
        <f t="shared" si="11"/>
        <v/>
      </c>
      <c r="I77" s="41" t="s">
        <v>554</v>
      </c>
      <c r="J77" s="39">
        <v>1.69</v>
      </c>
      <c r="K77" s="39" t="s">
        <v>554</v>
      </c>
      <c r="L77" s="39">
        <v>2.0720000000000001</v>
      </c>
      <c r="M77" s="52">
        <f t="shared" si="12"/>
        <v>0.38200000000000012</v>
      </c>
      <c r="O77" s="26" t="str">
        <f t="shared" si="7"/>
        <v/>
      </c>
      <c r="P77" s="31" t="e">
        <f t="shared" si="8"/>
        <v>#VALUE!</v>
      </c>
      <c r="Q77" s="39" t="e">
        <f t="shared" si="9"/>
        <v>#VALUE!</v>
      </c>
      <c r="R77" s="39" t="str">
        <f>IF(D77="","",INDEX('WINBUGS data'!$F$17:$AI$65,'Inconsistency Data'!O77,2))</f>
        <v/>
      </c>
      <c r="S77" s="116" t="e">
        <f>INDEX('WINBUGS data'!$F$17:$AI$65,(O77*1),MATCH(Q77,'WINBUGS data'!$F$16:$AI$16,0))</f>
        <v>#VALUE!</v>
      </c>
      <c r="T77" s="87" t="str">
        <f>IF(D77="","",INDEX('WINBUGS Data Inconsistency'!$B$4:$C$18,'Inconsistency Data'!S77,1))</f>
        <v/>
      </c>
      <c r="U77" s="87" t="str">
        <f t="shared" si="10"/>
        <v/>
      </c>
      <c r="V77" s="42" t="str">
        <f t="shared" si="13"/>
        <v/>
      </c>
    </row>
    <row r="78" spans="4:22" hidden="1" x14ac:dyDescent="0.25">
      <c r="D78" s="41"/>
      <c r="E78" s="39"/>
      <c r="F78" s="39"/>
      <c r="G78" s="39"/>
      <c r="H78" s="52" t="str">
        <f t="shared" si="11"/>
        <v/>
      </c>
      <c r="I78" s="41" t="s">
        <v>555</v>
      </c>
      <c r="J78" s="39">
        <v>0.71850000000000003</v>
      </c>
      <c r="K78" s="39" t="s">
        <v>555</v>
      </c>
      <c r="L78" s="39">
        <v>1.2470000000000001</v>
      </c>
      <c r="M78" s="52">
        <f t="shared" si="12"/>
        <v>0.52850000000000008</v>
      </c>
      <c r="O78" s="26" t="str">
        <f t="shared" si="7"/>
        <v/>
      </c>
      <c r="P78" s="31" t="e">
        <f t="shared" si="8"/>
        <v>#VALUE!</v>
      </c>
      <c r="Q78" s="39" t="e">
        <f t="shared" si="9"/>
        <v>#VALUE!</v>
      </c>
      <c r="R78" s="39" t="str">
        <f>IF(D78="","",INDEX('WINBUGS data'!$F$17:$AI$65,'Inconsistency Data'!O78,2))</f>
        <v/>
      </c>
      <c r="S78" s="116" t="e">
        <f>INDEX('WINBUGS data'!$F$17:$AI$65,(O78*1),MATCH(Q78,'WINBUGS data'!$F$16:$AI$16,0))</f>
        <v>#VALUE!</v>
      </c>
      <c r="T78" s="87" t="str">
        <f>IF(D78="","",INDEX('WINBUGS Data Inconsistency'!$B$4:$C$18,'Inconsistency Data'!S78,1))</f>
        <v/>
      </c>
      <c r="U78" s="87" t="str">
        <f t="shared" si="10"/>
        <v/>
      </c>
      <c r="V78" s="42" t="str">
        <f t="shared" si="13"/>
        <v/>
      </c>
    </row>
    <row r="79" spans="4:22" hidden="1" x14ac:dyDescent="0.25">
      <c r="D79" s="41"/>
      <c r="E79" s="39"/>
      <c r="F79" s="39"/>
      <c r="G79" s="39"/>
      <c r="H79" s="52" t="str">
        <f t="shared" si="11"/>
        <v/>
      </c>
      <c r="I79" s="41" t="s">
        <v>556</v>
      </c>
      <c r="J79" s="39">
        <v>0.79369999999999996</v>
      </c>
      <c r="K79" s="39" t="s">
        <v>556</v>
      </c>
      <c r="L79" s="39">
        <v>1.212</v>
      </c>
      <c r="M79" s="52">
        <f t="shared" si="12"/>
        <v>0.41830000000000001</v>
      </c>
      <c r="O79" s="26" t="str">
        <f t="shared" si="7"/>
        <v/>
      </c>
      <c r="P79" s="31" t="e">
        <f t="shared" si="8"/>
        <v>#VALUE!</v>
      </c>
      <c r="Q79" s="39" t="e">
        <f t="shared" si="9"/>
        <v>#VALUE!</v>
      </c>
      <c r="R79" s="39" t="str">
        <f>IF(D79="","",INDEX('WINBUGS data'!$F$17:$AI$65,'Inconsistency Data'!O79,2))</f>
        <v/>
      </c>
      <c r="S79" s="116" t="e">
        <f>INDEX('WINBUGS data'!$F$17:$AI$65,(O79*1),MATCH(Q79,'WINBUGS data'!$F$16:$AI$16,0))</f>
        <v>#VALUE!</v>
      </c>
      <c r="T79" s="87" t="str">
        <f>IF(D79="","",INDEX('WINBUGS Data Inconsistency'!$B$4:$C$18,'Inconsistency Data'!S79,1))</f>
        <v/>
      </c>
      <c r="U79" s="87" t="str">
        <f t="shared" si="10"/>
        <v/>
      </c>
      <c r="V79" s="42" t="str">
        <f t="shared" si="13"/>
        <v/>
      </c>
    </row>
    <row r="80" spans="4:22" hidden="1" x14ac:dyDescent="0.25">
      <c r="D80" s="41"/>
      <c r="E80" s="39"/>
      <c r="F80" s="39"/>
      <c r="G80" s="39"/>
      <c r="H80" s="52" t="str">
        <f t="shared" si="11"/>
        <v/>
      </c>
      <c r="I80" s="41" t="s">
        <v>557</v>
      </c>
      <c r="J80" s="39">
        <v>0.82879999999999998</v>
      </c>
      <c r="K80" s="39" t="s">
        <v>557</v>
      </c>
      <c r="L80" s="39">
        <v>0.77900000000000003</v>
      </c>
      <c r="M80" s="52">
        <f t="shared" si="12"/>
        <v>-4.9799999999999955E-2</v>
      </c>
      <c r="O80" s="26" t="str">
        <f t="shared" si="7"/>
        <v/>
      </c>
      <c r="P80" s="31" t="e">
        <f t="shared" si="8"/>
        <v>#VALUE!</v>
      </c>
      <c r="Q80" s="39" t="e">
        <f t="shared" si="9"/>
        <v>#VALUE!</v>
      </c>
      <c r="R80" s="39" t="str">
        <f>IF(D80="","",INDEX('WINBUGS data'!$F$17:$AI$65,'Inconsistency Data'!O80,2))</f>
        <v/>
      </c>
      <c r="S80" s="116" t="e">
        <f>INDEX('WINBUGS data'!$F$17:$AI$65,(O80*1),MATCH(Q80,'WINBUGS data'!$F$16:$AI$16,0))</f>
        <v>#VALUE!</v>
      </c>
      <c r="T80" s="87" t="str">
        <f>IF(D80="","",INDEX('WINBUGS Data Inconsistency'!$B$4:$C$18,'Inconsistency Data'!S80,1))</f>
        <v/>
      </c>
      <c r="U80" s="87" t="str">
        <f t="shared" si="10"/>
        <v/>
      </c>
      <c r="V80" s="42" t="str">
        <f t="shared" si="13"/>
        <v/>
      </c>
    </row>
    <row r="81" spans="4:22" hidden="1" x14ac:dyDescent="0.25">
      <c r="D81" s="41"/>
      <c r="E81" s="39"/>
      <c r="F81" s="39"/>
      <c r="G81" s="39"/>
      <c r="H81" s="52" t="str">
        <f t="shared" si="11"/>
        <v/>
      </c>
      <c r="I81" s="41" t="s">
        <v>558</v>
      </c>
      <c r="J81" s="39">
        <v>0.82979999999999998</v>
      </c>
      <c r="K81" s="39" t="s">
        <v>558</v>
      </c>
      <c r="L81" s="39">
        <v>0.78310000000000002</v>
      </c>
      <c r="M81" s="52">
        <f t="shared" si="12"/>
        <v>-4.6699999999999964E-2</v>
      </c>
      <c r="O81" s="26" t="str">
        <f t="shared" si="7"/>
        <v/>
      </c>
      <c r="P81" s="31" t="e">
        <f t="shared" si="8"/>
        <v>#VALUE!</v>
      </c>
      <c r="Q81" s="39" t="e">
        <f t="shared" si="9"/>
        <v>#VALUE!</v>
      </c>
      <c r="R81" s="39" t="str">
        <f>IF(D81="","",INDEX('WINBUGS data'!$F$17:$AI$65,'Inconsistency Data'!O81,2))</f>
        <v/>
      </c>
      <c r="S81" s="116" t="e">
        <f>INDEX('WINBUGS data'!$F$17:$AI$65,(O81*1),MATCH(Q81,'WINBUGS data'!$F$16:$AI$16,0))</f>
        <v>#VALUE!</v>
      </c>
      <c r="T81" s="87" t="str">
        <f>IF(D81="","",INDEX('WINBUGS Data Inconsistency'!$B$4:$C$18,'Inconsistency Data'!S81,1))</f>
        <v/>
      </c>
      <c r="U81" s="87" t="str">
        <f t="shared" si="10"/>
        <v/>
      </c>
      <c r="V81" s="42" t="str">
        <f t="shared" si="13"/>
        <v/>
      </c>
    </row>
    <row r="82" spans="4:22" hidden="1" x14ac:dyDescent="0.25">
      <c r="D82" s="41"/>
      <c r="E82" s="39"/>
      <c r="F82" s="39"/>
      <c r="G82" s="39"/>
      <c r="H82" s="52" t="str">
        <f t="shared" si="11"/>
        <v/>
      </c>
      <c r="I82" s="41" t="s">
        <v>559</v>
      </c>
      <c r="J82" s="39">
        <v>0.53029999999999999</v>
      </c>
      <c r="K82" s="39" t="s">
        <v>559</v>
      </c>
      <c r="L82" s="39">
        <v>0.62450000000000006</v>
      </c>
      <c r="M82" s="52">
        <f t="shared" si="12"/>
        <v>9.4200000000000061E-2</v>
      </c>
      <c r="O82" s="26" t="str">
        <f t="shared" si="7"/>
        <v/>
      </c>
      <c r="P82" s="31" t="e">
        <f t="shared" si="8"/>
        <v>#VALUE!</v>
      </c>
      <c r="Q82" s="39" t="e">
        <f t="shared" si="9"/>
        <v>#VALUE!</v>
      </c>
      <c r="R82" s="39" t="str">
        <f>IF(D82="","",INDEX('WINBUGS data'!$F$17:$AI$65,'Inconsistency Data'!O82,2))</f>
        <v/>
      </c>
      <c r="S82" s="116" t="e">
        <f>INDEX('WINBUGS data'!$F$17:$AI$65,(O82*1),MATCH(Q82,'WINBUGS data'!$F$16:$AI$16,0))</f>
        <v>#VALUE!</v>
      </c>
      <c r="T82" s="87" t="str">
        <f>IF(D82="","",INDEX('WINBUGS Data Inconsistency'!$B$4:$C$18,'Inconsistency Data'!S82,1))</f>
        <v/>
      </c>
      <c r="U82" s="87" t="str">
        <f t="shared" si="10"/>
        <v/>
      </c>
      <c r="V82" s="42" t="str">
        <f t="shared" si="13"/>
        <v/>
      </c>
    </row>
    <row r="83" spans="4:22" hidden="1" x14ac:dyDescent="0.25">
      <c r="D83" s="41"/>
      <c r="E83" s="39"/>
      <c r="F83" s="39"/>
      <c r="G83" s="39"/>
      <c r="H83" s="52" t="str">
        <f t="shared" si="11"/>
        <v/>
      </c>
      <c r="I83" s="41" t="s">
        <v>560</v>
      </c>
      <c r="J83" s="39">
        <v>0.6603</v>
      </c>
      <c r="K83" s="39" t="s">
        <v>560</v>
      </c>
      <c r="L83" s="39">
        <v>0.77739999999999998</v>
      </c>
      <c r="M83" s="52">
        <f t="shared" si="12"/>
        <v>0.11709999999999998</v>
      </c>
      <c r="O83" s="26" t="str">
        <f t="shared" si="7"/>
        <v/>
      </c>
      <c r="P83" s="31" t="e">
        <f t="shared" si="8"/>
        <v>#VALUE!</v>
      </c>
      <c r="Q83" s="39" t="e">
        <f t="shared" si="9"/>
        <v>#VALUE!</v>
      </c>
      <c r="R83" s="39" t="str">
        <f>IF(D83="","",INDEX('WINBUGS data'!$F$17:$AI$65,'Inconsistency Data'!O83,2))</f>
        <v/>
      </c>
      <c r="S83" s="116" t="e">
        <f>INDEX('WINBUGS data'!$F$17:$AI$65,(O83*1),MATCH(Q83,'WINBUGS data'!$F$16:$AI$16,0))</f>
        <v>#VALUE!</v>
      </c>
      <c r="T83" s="87" t="str">
        <f>IF(D83="","",INDEX('WINBUGS Data Inconsistency'!$B$4:$C$18,'Inconsistency Data'!S83,1))</f>
        <v/>
      </c>
      <c r="U83" s="87" t="str">
        <f t="shared" si="10"/>
        <v/>
      </c>
      <c r="V83" s="42" t="str">
        <f t="shared" si="13"/>
        <v/>
      </c>
    </row>
    <row r="84" spans="4:22" hidden="1" x14ac:dyDescent="0.25">
      <c r="D84" s="41"/>
      <c r="E84" s="39"/>
      <c r="F84" s="39"/>
      <c r="G84" s="39"/>
      <c r="H84" s="52" t="str">
        <f t="shared" si="11"/>
        <v/>
      </c>
      <c r="I84" s="41"/>
      <c r="J84" s="39"/>
      <c r="K84" s="39"/>
      <c r="L84" s="39"/>
      <c r="M84" s="52" t="str">
        <f t="shared" si="12"/>
        <v/>
      </c>
      <c r="O84" s="26" t="str">
        <f t="shared" si="7"/>
        <v/>
      </c>
      <c r="P84" s="31" t="e">
        <f t="shared" si="8"/>
        <v>#VALUE!</v>
      </c>
      <c r="Q84" s="39" t="e">
        <f t="shared" si="9"/>
        <v>#VALUE!</v>
      </c>
      <c r="R84" s="39" t="str">
        <f>IF(D84="","",INDEX('WINBUGS data'!$F$17:$AI$65,'Inconsistency Data'!O84,2))</f>
        <v/>
      </c>
      <c r="S84" s="116" t="e">
        <f>INDEX('WINBUGS data'!$F$17:$AI$65,(O84*1),MATCH(Q84,'WINBUGS data'!$F$16:$AI$16,0))</f>
        <v>#VALUE!</v>
      </c>
      <c r="T84" s="87" t="str">
        <f>IF(D84="","",INDEX('WINBUGS Data Inconsistency'!$B$4:$C$18,'Inconsistency Data'!S84,1))</f>
        <v/>
      </c>
      <c r="U84" s="87" t="str">
        <f t="shared" si="10"/>
        <v/>
      </c>
      <c r="V84" s="42" t="str">
        <f t="shared" si="13"/>
        <v/>
      </c>
    </row>
    <row r="85" spans="4:22" hidden="1" x14ac:dyDescent="0.25">
      <c r="D85" s="41"/>
      <c r="E85" s="39"/>
      <c r="F85" s="39"/>
      <c r="G85" s="39"/>
      <c r="H85" s="52" t="str">
        <f t="shared" si="11"/>
        <v/>
      </c>
      <c r="I85" s="41"/>
      <c r="J85" s="39"/>
      <c r="K85" s="39"/>
      <c r="L85" s="39"/>
      <c r="M85" s="52" t="str">
        <f t="shared" si="12"/>
        <v/>
      </c>
      <c r="O85" s="26" t="str">
        <f t="shared" si="7"/>
        <v/>
      </c>
      <c r="P85" s="31" t="e">
        <f t="shared" si="8"/>
        <v>#VALUE!</v>
      </c>
      <c r="Q85" s="39" t="e">
        <f t="shared" si="9"/>
        <v>#VALUE!</v>
      </c>
      <c r="R85" s="39" t="str">
        <f>IF(D85="","",INDEX('WINBUGS data'!$F$17:$AI$65,'Inconsistency Data'!O85,2))</f>
        <v/>
      </c>
      <c r="S85" s="116" t="e">
        <f>INDEX('WINBUGS data'!$F$17:$AI$65,(O85*1),MATCH(Q85,'WINBUGS data'!$F$16:$AI$16,0))</f>
        <v>#VALUE!</v>
      </c>
      <c r="T85" s="87" t="str">
        <f>IF(D85="","",INDEX('WINBUGS Data Inconsistency'!$B$4:$C$18,'Inconsistency Data'!S85,1))</f>
        <v/>
      </c>
      <c r="U85" s="87" t="str">
        <f t="shared" si="10"/>
        <v/>
      </c>
      <c r="V85" s="42" t="str">
        <f t="shared" si="13"/>
        <v/>
      </c>
    </row>
    <row r="86" spans="4:22" hidden="1" x14ac:dyDescent="0.25">
      <c r="D86" s="41"/>
      <c r="E86" s="39"/>
      <c r="F86" s="39"/>
      <c r="G86" s="39"/>
      <c r="H86" s="52" t="str">
        <f t="shared" si="11"/>
        <v/>
      </c>
      <c r="I86" s="41"/>
      <c r="J86" s="39"/>
      <c r="K86" s="39"/>
      <c r="L86" s="39"/>
      <c r="M86" s="52" t="str">
        <f t="shared" si="12"/>
        <v/>
      </c>
      <c r="O86" s="26" t="str">
        <f t="shared" si="7"/>
        <v/>
      </c>
      <c r="P86" s="31" t="e">
        <f t="shared" si="8"/>
        <v>#VALUE!</v>
      </c>
      <c r="Q86" s="39" t="e">
        <f t="shared" si="9"/>
        <v>#VALUE!</v>
      </c>
      <c r="R86" s="39" t="str">
        <f>IF(D86="","",INDEX('WINBUGS data'!$F$17:$AI$65,'Inconsistency Data'!O86,2))</f>
        <v/>
      </c>
      <c r="S86" s="116" t="e">
        <f>INDEX('WINBUGS data'!$F$17:$AI$65,(O86*1),MATCH(Q86,'WINBUGS data'!$F$16:$AI$16,0))</f>
        <v>#VALUE!</v>
      </c>
      <c r="T86" s="87" t="str">
        <f>IF(D86="","",INDEX('WINBUGS Data Inconsistency'!$B$4:$C$18,'Inconsistency Data'!S86,1))</f>
        <v/>
      </c>
      <c r="U86" s="87" t="str">
        <f t="shared" si="10"/>
        <v/>
      </c>
      <c r="V86" s="42" t="str">
        <f t="shared" si="13"/>
        <v/>
      </c>
    </row>
    <row r="87" spans="4:22" hidden="1" x14ac:dyDescent="0.25">
      <c r="D87" s="41"/>
      <c r="E87" s="39"/>
      <c r="F87" s="39"/>
      <c r="G87" s="39"/>
      <c r="H87" s="52" t="str">
        <f t="shared" si="11"/>
        <v/>
      </c>
      <c r="I87" s="41"/>
      <c r="J87" s="39"/>
      <c r="K87" s="39"/>
      <c r="L87" s="39"/>
      <c r="M87" s="52" t="str">
        <f t="shared" si="12"/>
        <v/>
      </c>
      <c r="O87" s="26" t="str">
        <f t="shared" si="7"/>
        <v/>
      </c>
      <c r="P87" s="31" t="e">
        <f t="shared" si="8"/>
        <v>#VALUE!</v>
      </c>
      <c r="Q87" s="39" t="e">
        <f t="shared" si="9"/>
        <v>#VALUE!</v>
      </c>
      <c r="R87" s="39" t="str">
        <f>IF(D87="","",INDEX('WINBUGS data'!$F$17:$AI$65,'Inconsistency Data'!O87,2))</f>
        <v/>
      </c>
      <c r="S87" s="116" t="e">
        <f>INDEX('WINBUGS data'!$F$17:$AI$65,(O87*1),MATCH(Q87,'WINBUGS data'!$F$16:$AI$16,0))</f>
        <v>#VALUE!</v>
      </c>
      <c r="T87" s="87" t="str">
        <f>IF(D87="","",INDEX('WINBUGS Data Inconsistency'!$B$4:$C$18,'Inconsistency Data'!S87,1))</f>
        <v/>
      </c>
      <c r="U87" s="87" t="str">
        <f t="shared" si="10"/>
        <v/>
      </c>
      <c r="V87" s="42" t="str">
        <f t="shared" si="13"/>
        <v/>
      </c>
    </row>
    <row r="88" spans="4:22" hidden="1" x14ac:dyDescent="0.25">
      <c r="D88" s="41"/>
      <c r="E88" s="39"/>
      <c r="F88" s="39"/>
      <c r="G88" s="39"/>
      <c r="H88" s="52" t="str">
        <f t="shared" si="11"/>
        <v/>
      </c>
      <c r="I88" s="41"/>
      <c r="J88" s="39"/>
      <c r="K88" s="39"/>
      <c r="L88" s="39"/>
      <c r="M88" s="52" t="str">
        <f t="shared" si="12"/>
        <v/>
      </c>
      <c r="O88" s="26" t="str">
        <f t="shared" si="7"/>
        <v/>
      </c>
      <c r="P88" s="31" t="e">
        <f t="shared" si="8"/>
        <v>#VALUE!</v>
      </c>
      <c r="Q88" s="39" t="e">
        <f t="shared" si="9"/>
        <v>#VALUE!</v>
      </c>
      <c r="R88" s="39" t="str">
        <f>IF(D88="","",INDEX('WINBUGS data'!$F$17:$AI$65,'Inconsistency Data'!O88,2))</f>
        <v/>
      </c>
      <c r="S88" s="116" t="e">
        <f>INDEX('WINBUGS data'!$F$17:$AI$65,(O88*1),MATCH(Q88,'WINBUGS data'!$F$16:$AI$16,0))</f>
        <v>#VALUE!</v>
      </c>
      <c r="T88" s="87" t="str">
        <f>IF(D88="","",INDEX('WINBUGS Data Inconsistency'!$B$4:$C$18,'Inconsistency Data'!S88,1))</f>
        <v/>
      </c>
      <c r="U88" s="87" t="str">
        <f t="shared" si="10"/>
        <v/>
      </c>
      <c r="V88" s="42" t="str">
        <f t="shared" si="13"/>
        <v/>
      </c>
    </row>
    <row r="89" spans="4:22" hidden="1" x14ac:dyDescent="0.25">
      <c r="D89" s="41"/>
      <c r="E89" s="39"/>
      <c r="F89" s="39"/>
      <c r="G89" s="39"/>
      <c r="H89" s="52" t="str">
        <f t="shared" si="11"/>
        <v/>
      </c>
      <c r="I89" s="41"/>
      <c r="J89" s="39"/>
      <c r="K89" s="39"/>
      <c r="L89" s="39"/>
      <c r="M89" s="52" t="str">
        <f t="shared" si="12"/>
        <v/>
      </c>
      <c r="O89" s="26" t="str">
        <f t="shared" si="7"/>
        <v/>
      </c>
      <c r="P89" s="31" t="e">
        <f t="shared" si="8"/>
        <v>#VALUE!</v>
      </c>
      <c r="Q89" s="39" t="e">
        <f t="shared" si="9"/>
        <v>#VALUE!</v>
      </c>
      <c r="R89" s="39" t="str">
        <f>IF(D89="","",INDEX('WINBUGS data'!$F$17:$AI$65,'Inconsistency Data'!O89,2))</f>
        <v/>
      </c>
      <c r="S89" s="116" t="e">
        <f>INDEX('WINBUGS data'!$F$17:$AI$65,(O89*1),MATCH(Q89,'WINBUGS data'!$F$16:$AI$16,0))</f>
        <v>#VALUE!</v>
      </c>
      <c r="T89" s="87" t="str">
        <f>IF(D89="","",INDEX('WINBUGS Data Inconsistency'!$B$4:$C$18,'Inconsistency Data'!S89,1))</f>
        <v/>
      </c>
      <c r="U89" s="87" t="str">
        <f t="shared" si="10"/>
        <v/>
      </c>
      <c r="V89" s="42" t="str">
        <f t="shared" si="13"/>
        <v/>
      </c>
    </row>
    <row r="90" spans="4:22" hidden="1" x14ac:dyDescent="0.25">
      <c r="D90" s="41"/>
      <c r="E90" s="39"/>
      <c r="F90" s="39"/>
      <c r="G90" s="39"/>
      <c r="H90" s="52" t="str">
        <f t="shared" si="11"/>
        <v/>
      </c>
      <c r="I90" s="41"/>
      <c r="J90" s="39"/>
      <c r="K90" s="39"/>
      <c r="L90" s="39"/>
      <c r="M90" s="52" t="str">
        <f t="shared" si="12"/>
        <v/>
      </c>
      <c r="O90" s="26" t="str">
        <f t="shared" si="7"/>
        <v/>
      </c>
      <c r="P90" s="31" t="e">
        <f t="shared" si="8"/>
        <v>#VALUE!</v>
      </c>
      <c r="Q90" s="39" t="e">
        <f t="shared" si="9"/>
        <v>#VALUE!</v>
      </c>
      <c r="R90" s="39" t="str">
        <f>IF(D90="","",INDEX('WINBUGS data'!$F$17:$AI$65,'Inconsistency Data'!O90,2))</f>
        <v/>
      </c>
      <c r="S90" s="116" t="e">
        <f>INDEX('WINBUGS data'!$F$17:$AI$65,(O90*1),MATCH(Q90,'WINBUGS data'!$F$16:$AI$16,0))</f>
        <v>#VALUE!</v>
      </c>
      <c r="T90" s="87" t="str">
        <f>IF(D90="","",INDEX('WINBUGS Data Inconsistency'!$B$4:$C$18,'Inconsistency Data'!S90,1))</f>
        <v/>
      </c>
      <c r="U90" s="87" t="str">
        <f t="shared" si="10"/>
        <v/>
      </c>
      <c r="V90" s="42" t="str">
        <f t="shared" si="13"/>
        <v/>
      </c>
    </row>
    <row r="91" spans="4:22" hidden="1" x14ac:dyDescent="0.25">
      <c r="D91" s="41"/>
      <c r="E91" s="39"/>
      <c r="F91" s="39"/>
      <c r="G91" s="39"/>
      <c r="H91" s="52" t="str">
        <f t="shared" si="11"/>
        <v/>
      </c>
      <c r="I91" s="41"/>
      <c r="J91" s="39"/>
      <c r="K91" s="39"/>
      <c r="L91" s="39"/>
      <c r="M91" s="52" t="str">
        <f t="shared" si="12"/>
        <v/>
      </c>
      <c r="O91" s="26" t="str">
        <f t="shared" si="7"/>
        <v/>
      </c>
      <c r="P91" s="31" t="e">
        <f t="shared" si="8"/>
        <v>#VALUE!</v>
      </c>
      <c r="Q91" s="39" t="e">
        <f t="shared" si="9"/>
        <v>#VALUE!</v>
      </c>
      <c r="R91" s="39" t="str">
        <f>IF(D91="","",INDEX('WINBUGS data'!$F$17:$AI$65,'Inconsistency Data'!O91,2))</f>
        <v/>
      </c>
      <c r="S91" s="116" t="e">
        <f>INDEX('WINBUGS data'!$F$17:$AI$65,(O91*1),MATCH(Q91,'WINBUGS data'!$F$16:$AI$16,0))</f>
        <v>#VALUE!</v>
      </c>
      <c r="T91" s="87" t="str">
        <f>IF(D91="","",INDEX('WINBUGS Data Inconsistency'!$B$4:$C$18,'Inconsistency Data'!S91,1))</f>
        <v/>
      </c>
      <c r="U91" s="87" t="str">
        <f t="shared" si="10"/>
        <v/>
      </c>
      <c r="V91" s="42" t="str">
        <f t="shared" si="13"/>
        <v/>
      </c>
    </row>
    <row r="92" spans="4:22" hidden="1" x14ac:dyDescent="0.25">
      <c r="D92" s="41"/>
      <c r="E92" s="39"/>
      <c r="F92" s="39"/>
      <c r="G92" s="39"/>
      <c r="H92" s="52" t="str">
        <f t="shared" si="11"/>
        <v/>
      </c>
      <c r="I92" s="41"/>
      <c r="J92" s="39"/>
      <c r="K92" s="39"/>
      <c r="L92" s="39"/>
      <c r="M92" s="52" t="str">
        <f t="shared" si="12"/>
        <v/>
      </c>
      <c r="O92" s="26" t="str">
        <f t="shared" si="7"/>
        <v/>
      </c>
      <c r="P92" s="31" t="e">
        <f t="shared" si="8"/>
        <v>#VALUE!</v>
      </c>
      <c r="Q92" s="39" t="e">
        <f t="shared" si="9"/>
        <v>#VALUE!</v>
      </c>
      <c r="R92" s="39" t="str">
        <f>IF(D92="","",INDEX('WINBUGS data'!$F$17:$AI$65,'Inconsistency Data'!O92,2))</f>
        <v/>
      </c>
      <c r="S92" s="116" t="e">
        <f>INDEX('WINBUGS data'!$F$17:$AI$65,(O92*1),MATCH(Q92,'WINBUGS data'!$F$16:$AI$16,0))</f>
        <v>#VALUE!</v>
      </c>
      <c r="T92" s="87" t="str">
        <f>IF(D92="","",INDEX('WINBUGS Data Inconsistency'!$B$4:$C$18,'Inconsistency Data'!S92,1))</f>
        <v/>
      </c>
      <c r="U92" s="87" t="str">
        <f t="shared" si="10"/>
        <v/>
      </c>
      <c r="V92" s="42" t="str">
        <f t="shared" si="13"/>
        <v/>
      </c>
    </row>
    <row r="93" spans="4:22" hidden="1" x14ac:dyDescent="0.25">
      <c r="D93" s="41"/>
      <c r="E93" s="39"/>
      <c r="F93" s="39"/>
      <c r="G93" s="39"/>
      <c r="H93" s="52" t="str">
        <f t="shared" si="11"/>
        <v/>
      </c>
      <c r="I93" s="41"/>
      <c r="J93" s="39"/>
      <c r="K93" s="39"/>
      <c r="L93" s="39"/>
      <c r="M93" s="52" t="str">
        <f t="shared" si="12"/>
        <v/>
      </c>
      <c r="O93" s="26" t="str">
        <f t="shared" si="7"/>
        <v/>
      </c>
      <c r="P93" s="31" t="e">
        <f t="shared" si="8"/>
        <v>#VALUE!</v>
      </c>
      <c r="Q93" s="39" t="e">
        <f t="shared" si="9"/>
        <v>#VALUE!</v>
      </c>
      <c r="R93" s="39" t="str">
        <f>IF(D93="","",INDEX('WINBUGS data'!$F$17:$AI$65,'Inconsistency Data'!O93,2))</f>
        <v/>
      </c>
      <c r="S93" s="116" t="e">
        <f>INDEX('WINBUGS data'!$F$17:$AI$65,(O93*1),MATCH(Q93,'WINBUGS data'!$F$16:$AI$16,0))</f>
        <v>#VALUE!</v>
      </c>
      <c r="T93" s="87" t="str">
        <f>IF(D93="","",INDEX('WINBUGS Data Inconsistency'!$B$4:$C$18,'Inconsistency Data'!S93,1))</f>
        <v/>
      </c>
      <c r="U93" s="87" t="str">
        <f t="shared" si="10"/>
        <v/>
      </c>
      <c r="V93" s="42" t="str">
        <f t="shared" si="13"/>
        <v/>
      </c>
    </row>
    <row r="94" spans="4:22" hidden="1" x14ac:dyDescent="0.25">
      <c r="D94" s="41"/>
      <c r="E94" s="39"/>
      <c r="F94" s="39"/>
      <c r="G94" s="39"/>
      <c r="H94" s="52" t="str">
        <f t="shared" si="11"/>
        <v/>
      </c>
      <c r="I94" s="41"/>
      <c r="J94" s="39"/>
      <c r="K94" s="39"/>
      <c r="L94" s="39"/>
      <c r="M94" s="52" t="str">
        <f t="shared" si="12"/>
        <v/>
      </c>
      <c r="O94" s="26" t="str">
        <f t="shared" si="7"/>
        <v/>
      </c>
      <c r="P94" s="31" t="e">
        <f t="shared" si="8"/>
        <v>#VALUE!</v>
      </c>
      <c r="Q94" s="39" t="e">
        <f t="shared" si="9"/>
        <v>#VALUE!</v>
      </c>
      <c r="R94" s="39" t="str">
        <f>IF(D94="","",INDEX('WINBUGS data'!$F$17:$AI$65,'Inconsistency Data'!O94,2))</f>
        <v/>
      </c>
      <c r="S94" s="116" t="e">
        <f>INDEX('WINBUGS data'!$F$17:$AI$65,(O94*1),MATCH(Q94,'WINBUGS data'!$F$16:$AI$16,0))</f>
        <v>#VALUE!</v>
      </c>
      <c r="T94" s="87" t="str">
        <f>IF(D94="","",INDEX('WINBUGS Data Inconsistency'!$B$4:$C$18,'Inconsistency Data'!S94,1))</f>
        <v/>
      </c>
      <c r="U94" s="87" t="str">
        <f t="shared" si="10"/>
        <v/>
      </c>
      <c r="V94" s="42" t="str">
        <f t="shared" si="13"/>
        <v/>
      </c>
    </row>
    <row r="95" spans="4:22" hidden="1" x14ac:dyDescent="0.25">
      <c r="D95" s="41"/>
      <c r="E95" s="39"/>
      <c r="F95" s="39"/>
      <c r="G95" s="39"/>
      <c r="H95" s="52" t="str">
        <f t="shared" si="11"/>
        <v/>
      </c>
      <c r="I95" s="41"/>
      <c r="J95" s="39"/>
      <c r="K95" s="39"/>
      <c r="L95" s="39"/>
      <c r="M95" s="52" t="str">
        <f t="shared" si="12"/>
        <v/>
      </c>
      <c r="O95" s="26" t="str">
        <f t="shared" si="7"/>
        <v/>
      </c>
      <c r="P95" s="31" t="e">
        <f t="shared" si="8"/>
        <v>#VALUE!</v>
      </c>
      <c r="Q95" s="39" t="e">
        <f t="shared" si="9"/>
        <v>#VALUE!</v>
      </c>
      <c r="R95" s="39" t="str">
        <f>IF(D95="","",INDEX('WINBUGS data'!$F$17:$AI$65,'Inconsistency Data'!O95,2))</f>
        <v/>
      </c>
      <c r="S95" s="116" t="e">
        <f>INDEX('WINBUGS data'!$F$17:$AI$65,(O95*1),MATCH(Q95,'WINBUGS data'!$F$16:$AI$16,0))</f>
        <v>#VALUE!</v>
      </c>
      <c r="T95" s="87" t="str">
        <f>IF(D95="","",INDEX('WINBUGS Data Inconsistency'!$B$4:$C$18,'Inconsistency Data'!S95,1))</f>
        <v/>
      </c>
      <c r="U95" s="87" t="str">
        <f t="shared" si="10"/>
        <v/>
      </c>
      <c r="V95" s="42" t="str">
        <f t="shared" si="13"/>
        <v/>
      </c>
    </row>
    <row r="96" spans="4:22" hidden="1" x14ac:dyDescent="0.25">
      <c r="D96" s="41"/>
      <c r="E96" s="39"/>
      <c r="F96" s="39"/>
      <c r="G96" s="39"/>
      <c r="H96" s="52" t="str">
        <f t="shared" si="11"/>
        <v/>
      </c>
      <c r="I96" s="41"/>
      <c r="J96" s="39"/>
      <c r="K96" s="39"/>
      <c r="L96" s="39"/>
      <c r="M96" s="52" t="str">
        <f t="shared" si="12"/>
        <v/>
      </c>
      <c r="O96" s="26" t="str">
        <f t="shared" si="7"/>
        <v/>
      </c>
      <c r="P96" s="31" t="e">
        <f t="shared" si="8"/>
        <v>#VALUE!</v>
      </c>
      <c r="Q96" s="39" t="e">
        <f t="shared" si="9"/>
        <v>#VALUE!</v>
      </c>
      <c r="R96" s="39" t="str">
        <f>IF(D96="","",INDEX('WINBUGS data'!$F$17:$AI$65,'Inconsistency Data'!O96,2))</f>
        <v/>
      </c>
      <c r="S96" s="116" t="e">
        <f>INDEX('WINBUGS data'!$F$17:$AI$65,(O96*1),MATCH(Q96,'WINBUGS data'!$F$16:$AI$16,0))</f>
        <v>#VALUE!</v>
      </c>
      <c r="T96" s="87" t="str">
        <f>IF(D96="","",INDEX('WINBUGS Data Inconsistency'!$B$4:$C$18,'Inconsistency Data'!S96,1))</f>
        <v/>
      </c>
      <c r="U96" s="87" t="str">
        <f t="shared" si="10"/>
        <v/>
      </c>
      <c r="V96" s="42" t="str">
        <f t="shared" si="13"/>
        <v/>
      </c>
    </row>
    <row r="97" spans="4:22" hidden="1" x14ac:dyDescent="0.25">
      <c r="D97" s="41"/>
      <c r="E97" s="39"/>
      <c r="F97" s="39"/>
      <c r="G97" s="39"/>
      <c r="H97" s="52" t="str">
        <f t="shared" si="11"/>
        <v/>
      </c>
      <c r="I97" s="41"/>
      <c r="J97" s="39"/>
      <c r="K97" s="39"/>
      <c r="L97" s="39"/>
      <c r="M97" s="52" t="str">
        <f t="shared" si="12"/>
        <v/>
      </c>
      <c r="O97" s="26" t="str">
        <f t="shared" si="7"/>
        <v/>
      </c>
      <c r="P97" s="31" t="e">
        <f t="shared" si="8"/>
        <v>#VALUE!</v>
      </c>
      <c r="Q97" s="39" t="e">
        <f t="shared" si="9"/>
        <v>#VALUE!</v>
      </c>
      <c r="R97" s="39" t="str">
        <f>IF(D97="","",INDEX('WINBUGS data'!$F$17:$AI$65,'Inconsistency Data'!O97,2))</f>
        <v/>
      </c>
      <c r="S97" s="116" t="e">
        <f>INDEX('WINBUGS data'!$F$17:$AI$65,(O97*1),MATCH(Q97,'WINBUGS data'!$F$16:$AI$16,0))</f>
        <v>#VALUE!</v>
      </c>
      <c r="T97" s="87" t="str">
        <f>IF(D97="","",INDEX('WINBUGS Data Inconsistency'!$B$4:$C$18,'Inconsistency Data'!S97,1))</f>
        <v/>
      </c>
      <c r="U97" s="87" t="str">
        <f t="shared" si="10"/>
        <v/>
      </c>
      <c r="V97" s="42" t="str">
        <f t="shared" si="13"/>
        <v/>
      </c>
    </row>
    <row r="98" spans="4:22" hidden="1" x14ac:dyDescent="0.25">
      <c r="D98" s="41"/>
      <c r="E98" s="39"/>
      <c r="F98" s="39"/>
      <c r="G98" s="39"/>
      <c r="H98" s="52" t="str">
        <f t="shared" si="11"/>
        <v/>
      </c>
      <c r="I98" s="41"/>
      <c r="J98" s="39"/>
      <c r="K98" s="39"/>
      <c r="L98" s="39"/>
      <c r="M98" s="52" t="str">
        <f t="shared" si="12"/>
        <v/>
      </c>
      <c r="O98" s="26" t="str">
        <f t="shared" si="7"/>
        <v/>
      </c>
      <c r="P98" s="31" t="e">
        <f t="shared" si="8"/>
        <v>#VALUE!</v>
      </c>
      <c r="Q98" s="39" t="e">
        <f t="shared" si="9"/>
        <v>#VALUE!</v>
      </c>
      <c r="R98" s="39" t="str">
        <f>IF(D98="","",INDEX('WINBUGS data'!$F$17:$AI$65,'Inconsistency Data'!O98,2))</f>
        <v/>
      </c>
      <c r="S98" s="116" t="e">
        <f>INDEX('WINBUGS data'!$F$17:$AI$65,(O98*1),MATCH(Q98,'WINBUGS data'!$F$16:$AI$16,0))</f>
        <v>#VALUE!</v>
      </c>
      <c r="T98" s="87" t="str">
        <f>IF(D98="","",INDEX('WINBUGS Data Inconsistency'!$B$4:$C$18,'Inconsistency Data'!S98,1))</f>
        <v/>
      </c>
      <c r="U98" s="87" t="str">
        <f t="shared" si="10"/>
        <v/>
      </c>
      <c r="V98" s="42" t="str">
        <f t="shared" si="13"/>
        <v/>
      </c>
    </row>
    <row r="99" spans="4:22" hidden="1" x14ac:dyDescent="0.25">
      <c r="D99" s="41"/>
      <c r="E99" s="39"/>
      <c r="F99" s="39"/>
      <c r="G99" s="39"/>
      <c r="H99" s="52" t="str">
        <f t="shared" si="11"/>
        <v/>
      </c>
      <c r="I99" s="41"/>
      <c r="J99" s="39"/>
      <c r="K99" s="39"/>
      <c r="L99" s="39"/>
      <c r="M99" s="52" t="str">
        <f t="shared" si="12"/>
        <v/>
      </c>
      <c r="O99" s="26" t="str">
        <f t="shared" si="7"/>
        <v/>
      </c>
      <c r="P99" s="31" t="e">
        <f t="shared" si="8"/>
        <v>#VALUE!</v>
      </c>
      <c r="Q99" s="39" t="e">
        <f t="shared" si="9"/>
        <v>#VALUE!</v>
      </c>
      <c r="R99" s="39" t="str">
        <f>IF(D99="","",INDEX('WINBUGS data'!$F$17:$AI$65,'Inconsistency Data'!O99,2))</f>
        <v/>
      </c>
      <c r="S99" s="116" t="e">
        <f>INDEX('WINBUGS data'!$F$17:$AI$65,(O99*1),MATCH(Q99,'WINBUGS data'!$F$16:$AI$16,0))</f>
        <v>#VALUE!</v>
      </c>
      <c r="T99" s="87" t="str">
        <f>IF(D99="","",INDEX('WINBUGS Data Inconsistency'!$B$4:$C$18,'Inconsistency Data'!S99,1))</f>
        <v/>
      </c>
      <c r="U99" s="87" t="str">
        <f t="shared" si="10"/>
        <v/>
      </c>
      <c r="V99" s="42" t="str">
        <f t="shared" si="13"/>
        <v/>
      </c>
    </row>
    <row r="100" spans="4:22" hidden="1" x14ac:dyDescent="0.25">
      <c r="D100" s="41"/>
      <c r="E100" s="39"/>
      <c r="F100" s="39"/>
      <c r="G100" s="39"/>
      <c r="H100" s="52" t="str">
        <f t="shared" si="11"/>
        <v/>
      </c>
      <c r="I100" s="41"/>
      <c r="J100" s="39"/>
      <c r="K100" s="39"/>
      <c r="L100" s="39"/>
      <c r="M100" s="52" t="str">
        <f t="shared" si="12"/>
        <v/>
      </c>
      <c r="O100" s="26" t="str">
        <f t="shared" si="7"/>
        <v/>
      </c>
      <c r="P100" s="31" t="e">
        <f t="shared" si="8"/>
        <v>#VALUE!</v>
      </c>
      <c r="Q100" s="39" t="e">
        <f t="shared" si="9"/>
        <v>#VALUE!</v>
      </c>
      <c r="R100" s="39" t="str">
        <f>IF(D100="","",INDEX('WINBUGS data'!$F$17:$AI$65,'Inconsistency Data'!O100,2))</f>
        <v/>
      </c>
      <c r="S100" s="116" t="e">
        <f>INDEX('WINBUGS data'!$F$17:$AI$65,(O100*1),MATCH(Q100,'WINBUGS data'!$F$16:$AI$16,0))</f>
        <v>#VALUE!</v>
      </c>
      <c r="T100" s="87" t="str">
        <f>IF(D100="","",INDEX('WINBUGS Data Inconsistency'!$B$4:$C$18,'Inconsistency Data'!S100,1))</f>
        <v/>
      </c>
      <c r="U100" s="87" t="str">
        <f t="shared" si="10"/>
        <v/>
      </c>
      <c r="V100" s="42" t="str">
        <f t="shared" si="13"/>
        <v/>
      </c>
    </row>
    <row r="101" spans="4:22" hidden="1" x14ac:dyDescent="0.25">
      <c r="D101" s="41"/>
      <c r="E101" s="39"/>
      <c r="F101" s="39"/>
      <c r="G101" s="39"/>
      <c r="H101" s="52" t="str">
        <f t="shared" si="11"/>
        <v/>
      </c>
      <c r="I101" s="41"/>
      <c r="J101" s="39"/>
      <c r="K101" s="39"/>
      <c r="L101" s="39"/>
      <c r="M101" s="52" t="str">
        <f t="shared" si="12"/>
        <v/>
      </c>
      <c r="O101" s="26" t="str">
        <f t="shared" si="7"/>
        <v/>
      </c>
      <c r="P101" s="31" t="e">
        <f t="shared" si="8"/>
        <v>#VALUE!</v>
      </c>
      <c r="Q101" s="39" t="e">
        <f t="shared" si="9"/>
        <v>#VALUE!</v>
      </c>
      <c r="R101" s="39" t="str">
        <f>IF(D101="","",INDEX('WINBUGS data'!$F$17:$AI$65,'Inconsistency Data'!O101,2))</f>
        <v/>
      </c>
      <c r="S101" s="116" t="e">
        <f>INDEX('WINBUGS data'!$F$17:$AI$65,(O101*1),MATCH(Q101,'WINBUGS data'!$F$16:$AI$16,0))</f>
        <v>#VALUE!</v>
      </c>
      <c r="T101" s="87" t="str">
        <f>IF(D101="","",INDEX('WINBUGS Data Inconsistency'!$B$4:$C$18,'Inconsistency Data'!S101,1))</f>
        <v/>
      </c>
      <c r="U101" s="87" t="str">
        <f t="shared" si="10"/>
        <v/>
      </c>
      <c r="V101" s="42" t="str">
        <f t="shared" si="13"/>
        <v/>
      </c>
    </row>
    <row r="102" spans="4:22" hidden="1" x14ac:dyDescent="0.25">
      <c r="D102" s="41"/>
      <c r="E102" s="39"/>
      <c r="F102" s="39"/>
      <c r="G102" s="39"/>
      <c r="H102" s="52" t="str">
        <f t="shared" si="11"/>
        <v/>
      </c>
      <c r="I102" s="41"/>
      <c r="J102" s="39"/>
      <c r="K102" s="39"/>
      <c r="L102" s="39"/>
      <c r="M102" s="52" t="str">
        <f t="shared" si="12"/>
        <v/>
      </c>
      <c r="O102" s="26" t="str">
        <f t="shared" si="7"/>
        <v/>
      </c>
      <c r="P102" s="31" t="e">
        <f t="shared" si="8"/>
        <v>#VALUE!</v>
      </c>
      <c r="Q102" s="39" t="e">
        <f t="shared" si="9"/>
        <v>#VALUE!</v>
      </c>
      <c r="R102" s="39" t="str">
        <f>IF(D102="","",INDEX('WINBUGS data'!$F$17:$AI$65,'Inconsistency Data'!O102,2))</f>
        <v/>
      </c>
      <c r="S102" s="116" t="e">
        <f>INDEX('WINBUGS data'!$F$17:$AI$65,(O102*1),MATCH(Q102,'WINBUGS data'!$F$16:$AI$16,0))</f>
        <v>#VALUE!</v>
      </c>
      <c r="T102" s="87" t="str">
        <f>IF(D102="","",INDEX('WINBUGS Data Inconsistency'!$B$4:$C$18,'Inconsistency Data'!S102,1))</f>
        <v/>
      </c>
      <c r="U102" s="87" t="str">
        <f t="shared" si="10"/>
        <v/>
      </c>
      <c r="V102" s="42" t="str">
        <f t="shared" si="13"/>
        <v/>
      </c>
    </row>
    <row r="103" spans="4:22" hidden="1" x14ac:dyDescent="0.25">
      <c r="D103" s="41"/>
      <c r="E103" s="39"/>
      <c r="F103" s="39"/>
      <c r="G103" s="39"/>
      <c r="H103" s="52" t="str">
        <f t="shared" si="11"/>
        <v/>
      </c>
      <c r="I103" s="41"/>
      <c r="J103" s="39"/>
      <c r="K103" s="39"/>
      <c r="L103" s="39"/>
      <c r="M103" s="52" t="str">
        <f t="shared" si="12"/>
        <v/>
      </c>
      <c r="O103" s="26" t="str">
        <f t="shared" si="7"/>
        <v/>
      </c>
      <c r="P103" s="31" t="e">
        <f t="shared" si="8"/>
        <v>#VALUE!</v>
      </c>
      <c r="Q103" s="39" t="e">
        <f t="shared" si="9"/>
        <v>#VALUE!</v>
      </c>
      <c r="R103" s="39" t="str">
        <f>IF(D103="","",INDEX('WINBUGS data'!$F$17:$AI$65,'Inconsistency Data'!O103,2))</f>
        <v/>
      </c>
      <c r="S103" s="116" t="e">
        <f>INDEX('WINBUGS data'!$F$17:$AI$65,(O103*1),MATCH(Q103,'WINBUGS data'!$F$16:$AI$16,0))</f>
        <v>#VALUE!</v>
      </c>
      <c r="T103" s="87" t="str">
        <f>IF(D103="","",INDEX('WINBUGS Data Inconsistency'!$B$4:$C$18,'Inconsistency Data'!S103,1))</f>
        <v/>
      </c>
      <c r="U103" s="87" t="str">
        <f t="shared" si="10"/>
        <v/>
      </c>
      <c r="V103" s="42" t="str">
        <f t="shared" si="13"/>
        <v/>
      </c>
    </row>
    <row r="104" spans="4:22" hidden="1" x14ac:dyDescent="0.25">
      <c r="D104" s="41"/>
      <c r="E104" s="39"/>
      <c r="F104" s="39"/>
      <c r="G104" s="39"/>
      <c r="H104" s="52" t="str">
        <f t="shared" si="11"/>
        <v/>
      </c>
      <c r="I104" s="41"/>
      <c r="J104" s="39"/>
      <c r="K104" s="39"/>
      <c r="L104" s="39"/>
      <c r="M104" s="52" t="str">
        <f t="shared" si="12"/>
        <v/>
      </c>
      <c r="O104" s="26" t="str">
        <f t="shared" si="7"/>
        <v/>
      </c>
      <c r="P104" s="31" t="e">
        <f t="shared" si="8"/>
        <v>#VALUE!</v>
      </c>
      <c r="Q104" s="39" t="e">
        <f t="shared" si="9"/>
        <v>#VALUE!</v>
      </c>
      <c r="R104" s="39" t="str">
        <f>IF(D104="","",INDEX('WINBUGS data'!$F$17:$AI$65,'Inconsistency Data'!O104,2))</f>
        <v/>
      </c>
      <c r="S104" s="116" t="e">
        <f>INDEX('WINBUGS data'!$F$17:$AI$65,(O104*1),MATCH(Q104,'WINBUGS data'!$F$16:$AI$16,0))</f>
        <v>#VALUE!</v>
      </c>
      <c r="T104" s="87" t="str">
        <f>IF(D104="","",INDEX('WINBUGS Data Inconsistency'!$B$4:$C$18,'Inconsistency Data'!S104,1))</f>
        <v/>
      </c>
      <c r="U104" s="87" t="str">
        <f t="shared" si="10"/>
        <v/>
      </c>
      <c r="V104" s="42" t="str">
        <f t="shared" si="13"/>
        <v/>
      </c>
    </row>
    <row r="105" spans="4:22" ht="15.75" hidden="1" thickBot="1" x14ac:dyDescent="0.3">
      <c r="D105" s="43"/>
      <c r="E105" s="44"/>
      <c r="F105" s="44"/>
      <c r="G105" s="44"/>
      <c r="H105" s="53" t="str">
        <f t="shared" si="11"/>
        <v/>
      </c>
      <c r="I105" s="43"/>
      <c r="J105" s="44"/>
      <c r="K105" s="44"/>
      <c r="L105" s="44"/>
      <c r="M105" s="53" t="str">
        <f t="shared" si="12"/>
        <v/>
      </c>
      <c r="O105" s="114" t="str">
        <f t="shared" si="7"/>
        <v/>
      </c>
      <c r="P105" s="115" t="e">
        <f t="shared" si="8"/>
        <v>#VALUE!</v>
      </c>
      <c r="Q105" s="44" t="e">
        <f t="shared" si="9"/>
        <v>#VALUE!</v>
      </c>
      <c r="R105" s="44" t="str">
        <f>IF(D105="","",INDEX('WINBUGS data'!$F$17:$AI$65,'Inconsistency Data'!O105,2))</f>
        <v/>
      </c>
      <c r="S105" s="85" t="e">
        <f>INDEX('WINBUGS data'!$F$17:$AI$65,(O105*1),MATCH(Q105,'WINBUGS data'!$F$16:$AI$16,0))</f>
        <v>#VALUE!</v>
      </c>
      <c r="T105" s="88" t="str">
        <f>IF(D105="","",INDEX('WINBUGS Data Inconsistency'!$B$4:$C$18,'Inconsistency Data'!S105,1))</f>
        <v/>
      </c>
      <c r="U105" s="88" t="str">
        <f t="shared" si="10"/>
        <v/>
      </c>
      <c r="V105" s="45" t="str">
        <f t="shared" si="13"/>
        <v/>
      </c>
    </row>
  </sheetData>
  <mergeCells count="9">
    <mergeCell ref="AB5:AC5"/>
    <mergeCell ref="AD5:AE5"/>
    <mergeCell ref="D4:H4"/>
    <mergeCell ref="I4:M4"/>
    <mergeCell ref="O4:V4"/>
    <mergeCell ref="D5:E5"/>
    <mergeCell ref="F5:G5"/>
    <mergeCell ref="I5:J5"/>
    <mergeCell ref="K5:L5"/>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rgb="FFC00000"/>
  </sheetPr>
  <dimension ref="D2:V150"/>
  <sheetViews>
    <sheetView showGridLines="0" workbookViewId="0">
      <selection activeCell="Q5" sqref="Q5"/>
    </sheetView>
  </sheetViews>
  <sheetFormatPr defaultRowHeight="15" x14ac:dyDescent="0.25"/>
  <cols>
    <col min="1" max="1" width="1.5703125" customWidth="1"/>
    <col min="2" max="2" width="1.28515625" customWidth="1"/>
    <col min="3" max="3" width="3.140625" customWidth="1"/>
    <col min="4" max="4" width="7.85546875" style="16" customWidth="1"/>
    <col min="5" max="5" width="57.85546875" customWidth="1"/>
    <col min="6" max="6" width="12" customWidth="1"/>
    <col min="7" max="7" width="14.42578125" customWidth="1"/>
    <col min="8" max="8" width="5.85546875" style="16" customWidth="1"/>
    <col min="9" max="9" width="8.85546875" style="19" customWidth="1"/>
    <col min="10" max="10" width="54.42578125" customWidth="1"/>
    <col min="11" max="11" width="11.5703125" customWidth="1"/>
    <col min="12" max="12" width="14.28515625" customWidth="1"/>
    <col min="13" max="13" width="3.85546875" style="16" hidden="1" customWidth="1"/>
    <col min="14" max="14" width="3" hidden="1" customWidth="1"/>
    <col min="15" max="15" width="3.5703125" customWidth="1"/>
    <col min="16" max="16" width="11.5703125" customWidth="1"/>
    <col min="17" max="17" width="9.140625" customWidth="1"/>
    <col min="18" max="18" width="18.85546875" customWidth="1"/>
    <col min="19" max="19" width="11.42578125" customWidth="1"/>
    <col min="20" max="20" width="24.42578125" customWidth="1"/>
    <col min="21" max="21" width="33.85546875" customWidth="1"/>
    <col min="22" max="22" width="40" customWidth="1"/>
    <col min="23" max="27" width="9.140625" customWidth="1"/>
  </cols>
  <sheetData>
    <row r="2" spans="4:22" ht="276" customHeight="1" thickBot="1" x14ac:dyDescent="0.3"/>
    <row r="3" spans="4:22" ht="15.75" customHeight="1" thickBot="1" x14ac:dyDescent="0.3">
      <c r="E3" s="271" t="s">
        <v>246</v>
      </c>
      <c r="F3" s="272"/>
      <c r="G3" s="273"/>
      <c r="J3" s="271" t="s">
        <v>247</v>
      </c>
      <c r="K3" s="272"/>
      <c r="L3" s="273"/>
    </row>
    <row r="4" spans="4:22" s="39" customFormat="1" ht="45.75" customHeight="1" thickBot="1" x14ac:dyDescent="0.3">
      <c r="D4" s="31"/>
      <c r="E4" s="133" t="s">
        <v>109</v>
      </c>
      <c r="F4" s="134" t="s">
        <v>210</v>
      </c>
      <c r="G4" s="135" t="s">
        <v>245</v>
      </c>
      <c r="H4" s="121"/>
      <c r="I4" s="31"/>
      <c r="J4" s="133" t="s">
        <v>109</v>
      </c>
      <c r="K4" s="134" t="s">
        <v>210</v>
      </c>
      <c r="L4" s="135" t="s">
        <v>245</v>
      </c>
      <c r="M4" s="121"/>
      <c r="N4" s="120"/>
      <c r="O4" s="120"/>
      <c r="P4" s="120"/>
      <c r="Q4" s="120"/>
      <c r="R4" s="120"/>
      <c r="S4" s="120"/>
      <c r="T4" s="120"/>
      <c r="U4" s="120"/>
      <c r="V4" s="120"/>
    </row>
    <row r="5" spans="4:22" x14ac:dyDescent="0.25">
      <c r="D5" s="136" t="str">
        <f>IF('Fixed Effects'!N5="","",'Fixed Effects'!N5)</f>
        <v/>
      </c>
      <c r="E5" s="122" t="str">
        <f>IF('Fixed Effects'!O5="","",'Fixed Effects'!O5)</f>
        <v/>
      </c>
      <c r="F5" s="123" t="str">
        <f>IF('Fixed Effects'!Q5="","",'Fixed Effects'!Q5)</f>
        <v/>
      </c>
      <c r="G5" s="124" t="str">
        <f>IF(D5="","",IF((INDEX('FE Inconsistency Results'!$H$1:$H$500,MATCH(SUBSTITUTE(D5,"OR","d"),'FE Inconsistency Results'!$B$1:$B$500,0),1))-(INDEX('FE Inconsistency Results'!$F$1:$F$500,MATCH(SUBSTITUTE(D5,"OR","d"),'FE Inconsistency Results'!$B$1:$B$500,0),1))&gt;50,"N/A",EXP(INDEX('FE Inconsistency Results'!$G$1:$G$500,MATCH(SUBSTITUTE(D5,"OR","d"),'FE Inconsistency Results'!$B$1:$B$500,0),1))))</f>
        <v/>
      </c>
      <c r="I5" s="137" t="str">
        <f ca="1">IF(INDIRECT(CONCATENATE("'",'Inconsistency Data'!$I$4,"'!N5"))="","",INDIRECT(CONCATENATE("'",'Inconsistency Data'!$I$4,"'!N5")))</f>
        <v>OR[1,2]</v>
      </c>
      <c r="J5" s="122" t="str">
        <f ca="1">IF(INDIRECT(CONCATENATE("'",'Inconsistency Data'!$I$4,"'!O5"))="","",INDIRECT(CONCATENATE("'",'Inconsistency Data'!$I$4,"'!O5")))</f>
        <v>IBUIV versus INDOIV</v>
      </c>
      <c r="K5" s="123">
        <f ca="1">IF(INDIRECT(CONCATENATE("'",'Inconsistency Data'!$I$4,"'!Q5"))="","",INDIRECT(CONCATENATE("'",'Inconsistency Data'!$I$4,"'!Q5")))</f>
        <v>0.53680000000000005</v>
      </c>
      <c r="L5" s="124" t="str">
        <f>IF(D5="","",IF((INDEX('RE Inconsistency Results'!$H$1:$H$500,MATCH(SUBSTITUTE(D5,"OR","d"),'RE Inconsistency Results'!$B$1:$B$500,0),1))-(INDEX('RE Inconsistency Results'!$F$1:$F$500,MATCH(SUBSTITUTE(D5,"OR","d"),'RE Inconsistency Results'!$B$1:$B$500,0),1))&gt;50,"N/A",EXP(INDEX('RE Inconsistency Results'!$G$1:$G$500,MATCH(SUBSTITUTE(D5,"OR","d"),'RE Inconsistency Results'!$B$1:$B$500,0),1))))</f>
        <v/>
      </c>
    </row>
    <row r="6" spans="4:22" x14ac:dyDescent="0.25">
      <c r="D6" s="125" t="str">
        <f>IF('Fixed Effects'!N6="","",'Fixed Effects'!N6)</f>
        <v/>
      </c>
      <c r="E6" s="126" t="str">
        <f>IF('Fixed Effects'!O6="","",'Fixed Effects'!O6)</f>
        <v/>
      </c>
      <c r="F6" s="127" t="str">
        <f>IF('Fixed Effects'!Q6="","",'Fixed Effects'!Q6)</f>
        <v/>
      </c>
      <c r="G6" s="128" t="str">
        <f>IF(D6="","",IF((INDEX('FE Inconsistency Results'!$H$1:$H$500,MATCH(SUBSTITUTE(D6,"OR","d"),'FE Inconsistency Results'!$B$1:$B$500,0),1))-(INDEX('FE Inconsistency Results'!$F$1:$F$500,MATCH(SUBSTITUTE(D6,"OR","d"),'FE Inconsistency Results'!$B$1:$B$500,0),1))&gt;50,"N/A",EXP(INDEX('FE Inconsistency Results'!$G$1:$G$500,MATCH(SUBSTITUTE(D6,"OR","d"),'FE Inconsistency Results'!$B$1:$B$500,0),1))))</f>
        <v/>
      </c>
      <c r="I6" s="138" t="str">
        <f ca="1">IF(INDIRECT(CONCATENATE("'",'Inconsistency Data'!$I$4,"'!N6"))="","",INDIRECT(CONCATENATE("'",'Inconsistency Data'!$I$4,"'!N6")))</f>
        <v>OR[1,3]</v>
      </c>
      <c r="J6" s="126" t="str">
        <f ca="1">IF(INDIRECT(CONCATENATE("'",'Inconsistency Data'!$I$4,"'!O6"))="","",INDIRECT(CONCATENATE("'",'Inconsistency Data'!$I$4,"'!O6")))</f>
        <v>IBUPO versus INDOIV</v>
      </c>
      <c r="K6" s="127">
        <f ca="1">IF(INDIRECT(CONCATENATE("'",'Inconsistency Data'!$I$4,"'!Q6"))="","",INDIRECT(CONCATENATE("'",'Inconsistency Data'!$I$4,"'!Q6")))</f>
        <v>1.282</v>
      </c>
      <c r="L6" s="128" t="str">
        <f>IF(D6="","",IF((INDEX('RE Inconsistency Results'!$H$1:$H$500,MATCH(SUBSTITUTE(D6,"OR","d"),'RE Inconsistency Results'!$B$1:$B$500,0),1))-(INDEX('RE Inconsistency Results'!$F$1:$F$500,MATCH(SUBSTITUTE(D6,"OR","d"),'RE Inconsistency Results'!$B$1:$B$500,0),1))&gt;50,"N/A",EXP(INDEX('RE Inconsistency Results'!$G$1:$G$500,MATCH(SUBSTITUTE(D6,"OR","d"),'RE Inconsistency Results'!$B$1:$B$500,0),1))))</f>
        <v/>
      </c>
    </row>
    <row r="7" spans="4:22" x14ac:dyDescent="0.25">
      <c r="D7" s="125" t="str">
        <f>IF('Fixed Effects'!N7="","",'Fixed Effects'!N7)</f>
        <v/>
      </c>
      <c r="E7" s="126" t="str">
        <f>IF('Fixed Effects'!O7="","",'Fixed Effects'!O7)</f>
        <v/>
      </c>
      <c r="F7" s="127" t="str">
        <f>IF('Fixed Effects'!Q7="","",'Fixed Effects'!Q7)</f>
        <v/>
      </c>
      <c r="G7" s="128" t="str">
        <f>IF(D7="","",IF((INDEX('FE Inconsistency Results'!$H$1:$H$500,MATCH(SUBSTITUTE(D7,"OR","d"),'FE Inconsistency Results'!$B$1:$B$500,0),1))-(INDEX('FE Inconsistency Results'!$F$1:$F$500,MATCH(SUBSTITUTE(D7,"OR","d"),'FE Inconsistency Results'!$B$1:$B$500,0),1))&gt;50,"N/A",EXP(INDEX('FE Inconsistency Results'!$G$1:$G$500,MATCH(SUBSTITUTE(D7,"OR","d"),'FE Inconsistency Results'!$B$1:$B$500,0),1))))</f>
        <v/>
      </c>
      <c r="I7" s="138" t="str">
        <f ca="1">IF(INDIRECT(CONCATENATE("'",'Inconsistency Data'!$I$4,"'!N7"))="","",INDIRECT(CONCATENATE("'",'Inconsistency Data'!$I$4,"'!N7")))</f>
        <v>OR[1,4]</v>
      </c>
      <c r="J7" s="126" t="str">
        <f ca="1">IF(INDIRECT(CONCATENATE("'",'Inconsistency Data'!$I$4,"'!O7"))="","",INDIRECT(CONCATENATE("'",'Inconsistency Data'!$I$4,"'!O7")))</f>
        <v>PARAPO versus INDOIV</v>
      </c>
      <c r="K7" s="127">
        <f ca="1">IF(INDIRECT(CONCATENATE("'",'Inconsistency Data'!$I$4,"'!Q7"))="","",INDIRECT(CONCATENATE("'",'Inconsistency Data'!$I$4,"'!Q7")))</f>
        <v>2.016</v>
      </c>
      <c r="L7" s="128" t="str">
        <f>IF(D7="","",IF((INDEX('RE Inconsistency Results'!$H$1:$H$500,MATCH(SUBSTITUTE(D7,"OR","d"),'RE Inconsistency Results'!$B$1:$B$500,0),1))-(INDEX('RE Inconsistency Results'!$F$1:$F$500,MATCH(SUBSTITUTE(D7,"OR","d"),'RE Inconsistency Results'!$B$1:$B$500,0),1))&gt;50,"N/A",EXP(INDEX('RE Inconsistency Results'!$G$1:$G$500,MATCH(SUBSTITUTE(D7,"OR","d"),'RE Inconsistency Results'!$B$1:$B$500,0),1))))</f>
        <v/>
      </c>
    </row>
    <row r="8" spans="4:22" x14ac:dyDescent="0.25">
      <c r="D8" s="125" t="str">
        <f>IF('Fixed Effects'!N8="","",'Fixed Effects'!N8)</f>
        <v/>
      </c>
      <c r="E8" s="126" t="str">
        <f>IF('Fixed Effects'!O8="","",'Fixed Effects'!O8)</f>
        <v/>
      </c>
      <c r="F8" s="127" t="str">
        <f>IF('Fixed Effects'!Q8="","",'Fixed Effects'!Q8)</f>
        <v/>
      </c>
      <c r="G8" s="128" t="str">
        <f>IF(D8="","",IF((INDEX('FE Inconsistency Results'!$H$1:$H$500,MATCH(SUBSTITUTE(D8,"OR","d"),'FE Inconsistency Results'!$B$1:$B$500,0),1))-(INDEX('FE Inconsistency Results'!$F$1:$F$500,MATCH(SUBSTITUTE(D8,"OR","d"),'FE Inconsistency Results'!$B$1:$B$500,0),1))&gt;50,"N/A",EXP(INDEX('FE Inconsistency Results'!$G$1:$G$500,MATCH(SUBSTITUTE(D8,"OR","d"),'FE Inconsistency Results'!$B$1:$B$500,0),1))))</f>
        <v/>
      </c>
      <c r="I8" s="138" t="str">
        <f ca="1">IF(INDIRECT(CONCATENATE("'",'Inconsistency Data'!$I$4,"'!N8"))="","",INDIRECT(CONCATENATE("'",'Inconsistency Data'!$I$4,"'!N8")))</f>
        <v>OR[1,5]</v>
      </c>
      <c r="J8" s="126" t="str">
        <f ca="1">IF(INDIRECT(CONCATENATE("'",'Inconsistency Data'!$I$4,"'!O8"))="","",INDIRECT(CONCATENATE("'",'Inconsistency Data'!$I$4,"'!O8")))</f>
        <v>IBUIVHIGHDOSE versus INDOIV</v>
      </c>
      <c r="K8" s="127">
        <f ca="1">IF(INDIRECT(CONCATENATE("'",'Inconsistency Data'!$I$4,"'!Q8"))="","",INDIRECT(CONCATENATE("'",'Inconsistency Data'!$I$4,"'!Q8")))</f>
        <v>2.0129999999999999</v>
      </c>
      <c r="L8" s="128" t="str">
        <f>IF(D8="","",IF((INDEX('RE Inconsistency Results'!$H$1:$H$500,MATCH(SUBSTITUTE(D8,"OR","d"),'RE Inconsistency Results'!$B$1:$B$500,0),1))-(INDEX('RE Inconsistency Results'!$F$1:$F$500,MATCH(SUBSTITUTE(D8,"OR","d"),'RE Inconsistency Results'!$B$1:$B$500,0),1))&gt;50,"N/A",EXP(INDEX('RE Inconsistency Results'!$G$1:$G$500,MATCH(SUBSTITUTE(D8,"OR","d"),'RE Inconsistency Results'!$B$1:$B$500,0),1))))</f>
        <v/>
      </c>
    </row>
    <row r="9" spans="4:22" x14ac:dyDescent="0.25">
      <c r="D9" s="125" t="str">
        <f>IF('Fixed Effects'!N9="","",'Fixed Effects'!N9)</f>
        <v/>
      </c>
      <c r="E9" s="126" t="str">
        <f>IF('Fixed Effects'!O9="","",'Fixed Effects'!O9)</f>
        <v/>
      </c>
      <c r="F9" s="127" t="str">
        <f>IF('Fixed Effects'!Q9="","",'Fixed Effects'!Q9)</f>
        <v/>
      </c>
      <c r="G9" s="128" t="str">
        <f>IF(D9="","",IF((INDEX('FE Inconsistency Results'!$H$1:$H$500,MATCH(SUBSTITUTE(D9,"OR","d"),'FE Inconsistency Results'!$B$1:$B$500,0),1))-(INDEX('FE Inconsistency Results'!$F$1:$F$500,MATCH(SUBSTITUTE(D9,"OR","d"),'FE Inconsistency Results'!$B$1:$B$500,0),1))&gt;50,"N/A",EXP(INDEX('FE Inconsistency Results'!$G$1:$G$500,MATCH(SUBSTITUTE(D9,"OR","d"),'FE Inconsistency Results'!$B$1:$B$500,0),1))))</f>
        <v/>
      </c>
      <c r="I9" s="138" t="str">
        <f ca="1">IF(INDIRECT(CONCATENATE("'",'Inconsistency Data'!$I$4,"'!N9"))="","",INDIRECT(CONCATENATE("'",'Inconsistency Data'!$I$4,"'!N9")))</f>
        <v>OR[1,6]</v>
      </c>
      <c r="J9" s="126" t="str">
        <f ca="1">IF(INDIRECT(CONCATENATE("'",'Inconsistency Data'!$I$4,"'!O9"))="","",INDIRECT(CONCATENATE("'",'Inconsistency Data'!$I$4,"'!O9")))</f>
        <v>IBUPOHIGHDOSE versus INDOIV</v>
      </c>
      <c r="K9" s="127">
        <f ca="1">IF(INDIRECT(CONCATENATE("'",'Inconsistency Data'!$I$4,"'!Q9"))="","",INDIRECT(CONCATENATE("'",'Inconsistency Data'!$I$4,"'!Q9")))</f>
        <v>2.3290000000000002</v>
      </c>
      <c r="L9" s="128" t="str">
        <f>IF(D9="","",IF((INDEX('RE Inconsistency Results'!$H$1:$H$500,MATCH(SUBSTITUTE(D9,"OR","d"),'RE Inconsistency Results'!$B$1:$B$500,0),1))-(INDEX('RE Inconsistency Results'!$F$1:$F$500,MATCH(SUBSTITUTE(D9,"OR","d"),'RE Inconsistency Results'!$B$1:$B$500,0),1))&gt;50,"N/A",EXP(INDEX('RE Inconsistency Results'!$G$1:$G$500,MATCH(SUBSTITUTE(D9,"OR","d"),'RE Inconsistency Results'!$B$1:$B$500,0),1))))</f>
        <v/>
      </c>
    </row>
    <row r="10" spans="4:22" x14ac:dyDescent="0.25">
      <c r="D10" s="125" t="str">
        <f>IF('Fixed Effects'!N10="","",'Fixed Effects'!N10)</f>
        <v/>
      </c>
      <c r="E10" s="126" t="str">
        <f>IF('Fixed Effects'!O10="","",'Fixed Effects'!O10)</f>
        <v/>
      </c>
      <c r="F10" s="127" t="str">
        <f>IF('Fixed Effects'!Q10="","",'Fixed Effects'!Q10)</f>
        <v/>
      </c>
      <c r="G10" s="128" t="str">
        <f>IF(D10="","",IF((INDEX('FE Inconsistency Results'!$H$1:$H$500,MATCH(SUBSTITUTE(D10,"OR","d"),'FE Inconsistency Results'!$B$1:$B$500,0),1))-(INDEX('FE Inconsistency Results'!$F$1:$F$500,MATCH(SUBSTITUTE(D10,"OR","d"),'FE Inconsistency Results'!$B$1:$B$500,0),1))&gt;50,"N/A",EXP(INDEX('FE Inconsistency Results'!$G$1:$G$500,MATCH(SUBSTITUTE(D10,"OR","d"),'FE Inconsistency Results'!$B$1:$B$500,0),1))))</f>
        <v/>
      </c>
      <c r="I10" s="138" t="str">
        <f ca="1">IF(INDIRECT(CONCATENATE("'",'Inconsistency Data'!$I$4,"'!N10"))="","",INDIRECT(CONCATENATE("'",'Inconsistency Data'!$I$4,"'!N10")))</f>
        <v>OR[1,7]</v>
      </c>
      <c r="J10" s="126" t="str">
        <f ca="1">IF(INDIRECT(CONCATENATE("'",'Inconsistency Data'!$I$4,"'!O10"))="","",INDIRECT(CONCATENATE("'",'Inconsistency Data'!$I$4,"'!O10")))</f>
        <v>IBUIVCONT versus INDOIV</v>
      </c>
      <c r="K10" s="127">
        <f ca="1">IF(INDIRECT(CONCATENATE("'",'Inconsistency Data'!$I$4,"'!Q10"))="","",INDIRECT(CONCATENATE("'",'Inconsistency Data'!$I$4,"'!Q10")))</f>
        <v>0.38619999999999999</v>
      </c>
      <c r="L10" s="128" t="str">
        <f>IF(D10="","",IF((INDEX('RE Inconsistency Results'!$H$1:$H$500,MATCH(SUBSTITUTE(D10,"OR","d"),'RE Inconsistency Results'!$B$1:$B$500,0),1))-(INDEX('RE Inconsistency Results'!$F$1:$F$500,MATCH(SUBSTITUTE(D10,"OR","d"),'RE Inconsistency Results'!$B$1:$B$500,0),1))&gt;50,"N/A",EXP(INDEX('RE Inconsistency Results'!$G$1:$G$500,MATCH(SUBSTITUTE(D10,"OR","d"),'RE Inconsistency Results'!$B$1:$B$500,0),1))))</f>
        <v/>
      </c>
      <c r="M10" s="104"/>
    </row>
    <row r="11" spans="4:22" x14ac:dyDescent="0.25">
      <c r="D11" s="125" t="str">
        <f>IF('Fixed Effects'!N11="","",'Fixed Effects'!N11)</f>
        <v/>
      </c>
      <c r="E11" s="126" t="str">
        <f>IF('Fixed Effects'!O11="","",'Fixed Effects'!O11)</f>
        <v/>
      </c>
      <c r="F11" s="127" t="str">
        <f>IF('Fixed Effects'!Q11="","",'Fixed Effects'!Q11)</f>
        <v/>
      </c>
      <c r="G11" s="128" t="str">
        <f>IF(D11="","",IF((INDEX('FE Inconsistency Results'!$H$1:$H$500,MATCH(SUBSTITUTE(D11,"OR","d"),'FE Inconsistency Results'!$B$1:$B$500,0),1))-(INDEX('FE Inconsistency Results'!$F$1:$F$500,MATCH(SUBSTITUTE(D11,"OR","d"),'FE Inconsistency Results'!$B$1:$B$500,0),1))&gt;50,"N/A",EXP(INDEX('FE Inconsistency Results'!$G$1:$G$500,MATCH(SUBSTITUTE(D11,"OR","d"),'FE Inconsistency Results'!$B$1:$B$500,0),1))))</f>
        <v/>
      </c>
      <c r="I11" s="138" t="str">
        <f ca="1">IF(INDIRECT(CONCATENATE("'",'Inconsistency Data'!$I$4,"'!N11"))="","",INDIRECT(CONCATENATE("'",'Inconsistency Data'!$I$4,"'!N11")))</f>
        <v>OR[1,8]</v>
      </c>
      <c r="J11" s="126" t="str">
        <f ca="1">IF(INDIRECT(CONCATENATE("'",'Inconsistency Data'!$I$4,"'!O11"))="","",INDIRECT(CONCATENATE("'",'Inconsistency Data'!$I$4,"'!O11")))</f>
        <v>INDOIVCONT versus INDOIV</v>
      </c>
      <c r="K11" s="127">
        <f ca="1">IF(INDIRECT(CONCATENATE("'",'Inconsistency Data'!$I$4,"'!Q11"))="","",INDIRECT(CONCATENATE("'",'Inconsistency Data'!$I$4,"'!Q11")))</f>
        <v>0.71519999999999995</v>
      </c>
      <c r="L11" s="128" t="str">
        <f>IF(D11="","",IF((INDEX('RE Inconsistency Results'!$H$1:$H$500,MATCH(SUBSTITUTE(D11,"OR","d"),'RE Inconsistency Results'!$B$1:$B$500,0),1))-(INDEX('RE Inconsistency Results'!$F$1:$F$500,MATCH(SUBSTITUTE(D11,"OR","d"),'RE Inconsistency Results'!$B$1:$B$500,0),1))&gt;50,"N/A",EXP(INDEX('RE Inconsistency Results'!$G$1:$G$500,MATCH(SUBSTITUTE(D11,"OR","d"),'RE Inconsistency Results'!$B$1:$B$500,0),1))))</f>
        <v/>
      </c>
      <c r="M11" s="104"/>
    </row>
    <row r="12" spans="4:22" x14ac:dyDescent="0.25">
      <c r="D12" s="125" t="str">
        <f>IF('Fixed Effects'!N12="","",'Fixed Effects'!N12)</f>
        <v/>
      </c>
      <c r="E12" s="126" t="str">
        <f>IF('Fixed Effects'!O12="","",'Fixed Effects'!O12)</f>
        <v/>
      </c>
      <c r="F12" s="127" t="str">
        <f>IF('Fixed Effects'!Q12="","",'Fixed Effects'!Q12)</f>
        <v/>
      </c>
      <c r="G12" s="128" t="str">
        <f>IF(D12="","",IF((INDEX('FE Inconsistency Results'!$H$1:$H$500,MATCH(SUBSTITUTE(D12,"OR","d"),'FE Inconsistency Results'!$B$1:$B$500,0),1))-(INDEX('FE Inconsistency Results'!$F$1:$F$500,MATCH(SUBSTITUTE(D12,"OR","d"),'FE Inconsistency Results'!$B$1:$B$500,0),1))&gt;50,"N/A",EXP(INDEX('FE Inconsistency Results'!$G$1:$G$500,MATCH(SUBSTITUTE(D12,"OR","d"),'FE Inconsistency Results'!$B$1:$B$500,0),1))))</f>
        <v/>
      </c>
      <c r="I12" s="138" t="str">
        <f ca="1">IF(INDIRECT(CONCATENATE("'",'Inconsistency Data'!$I$4,"'!N12"))="","",INDIRECT(CONCATENATE("'",'Inconsistency Data'!$I$4,"'!N12")))</f>
        <v>OR[1,9]</v>
      </c>
      <c r="J12" s="126" t="str">
        <f ca="1">IF(INDIRECT(CONCATENATE("'",'Inconsistency Data'!$I$4,"'!O12"))="","",INDIRECT(CONCATENATE("'",'Inconsistency Data'!$I$4,"'!O12")))</f>
        <v>INDOTHERS versus INDOIV</v>
      </c>
      <c r="K12" s="127">
        <f ca="1">IF(INDIRECT(CONCATENATE("'",'Inconsistency Data'!$I$4,"'!Q12"))="","",INDIRECT(CONCATENATE("'",'Inconsistency Data'!$I$4,"'!Q12")))</f>
        <v>1.077</v>
      </c>
      <c r="L12" s="128" t="str">
        <f>IF(D12="","",IF((INDEX('RE Inconsistency Results'!$H$1:$H$500,MATCH(SUBSTITUTE(D12,"OR","d"),'RE Inconsistency Results'!$B$1:$B$500,0),1))-(INDEX('RE Inconsistency Results'!$F$1:$F$500,MATCH(SUBSTITUTE(D12,"OR","d"),'RE Inconsistency Results'!$B$1:$B$500,0),1))&gt;50,"N/A",EXP(INDEX('RE Inconsistency Results'!$G$1:$G$500,MATCH(SUBSTITUTE(D12,"OR","d"),'RE Inconsistency Results'!$B$1:$B$500,0),1))))</f>
        <v/>
      </c>
    </row>
    <row r="13" spans="4:22" x14ac:dyDescent="0.25">
      <c r="D13" s="125" t="str">
        <f>IF('Fixed Effects'!N13="","",'Fixed Effects'!N13)</f>
        <v/>
      </c>
      <c r="E13" s="126" t="str">
        <f>IF('Fixed Effects'!O13="","",'Fixed Effects'!O13)</f>
        <v/>
      </c>
      <c r="F13" s="127" t="str">
        <f>IF('Fixed Effects'!Q13="","",'Fixed Effects'!Q13)</f>
        <v/>
      </c>
      <c r="G13" s="128" t="str">
        <f>IF(D13="","",IF((INDEX('FE Inconsistency Results'!$H$1:$H$500,MATCH(SUBSTITUTE(D13,"OR","d"),'FE Inconsistency Results'!$B$1:$B$500,0),1))-(INDEX('FE Inconsistency Results'!$F$1:$F$500,MATCH(SUBSTITUTE(D13,"OR","d"),'FE Inconsistency Results'!$B$1:$B$500,0),1))&gt;50,"N/A",EXP(INDEX('FE Inconsistency Results'!$G$1:$G$500,MATCH(SUBSTITUTE(D13,"OR","d"),'FE Inconsistency Results'!$B$1:$B$500,0),1))))</f>
        <v/>
      </c>
      <c r="I13" s="138" t="str">
        <f ca="1">IF(INDIRECT(CONCATENATE("'",'Inconsistency Data'!$I$4,"'!N13"))="","",INDIRECT(CONCATENATE("'",'Inconsistency Data'!$I$4,"'!N13")))</f>
        <v>OR[1,10]</v>
      </c>
      <c r="J13" s="126" t="str">
        <f ca="1">IF(INDIRECT(CONCATENATE("'",'Inconsistency Data'!$I$4,"'!O13"))="","",INDIRECT(CONCATENATE("'",'Inconsistency Data'!$I$4,"'!O13")))</f>
        <v>PLAC_NORX versus INDOIV</v>
      </c>
      <c r="K13" s="127">
        <f ca="1">IF(INDIRECT(CONCATENATE("'",'Inconsistency Data'!$I$4,"'!Q13"))="","",INDIRECT(CONCATENATE("'",'Inconsistency Data'!$I$4,"'!Q13")))</f>
        <v>0.1467</v>
      </c>
      <c r="L13" s="128" t="str">
        <f>IF(D13="","",IF((INDEX('RE Inconsistency Results'!$H$1:$H$500,MATCH(SUBSTITUTE(D13,"OR","d"),'RE Inconsistency Results'!$B$1:$B$500,0),1))-(INDEX('RE Inconsistency Results'!$F$1:$F$500,MATCH(SUBSTITUTE(D13,"OR","d"),'RE Inconsistency Results'!$B$1:$B$500,0),1))&gt;50,"N/A",EXP(INDEX('RE Inconsistency Results'!$G$1:$G$500,MATCH(SUBSTITUTE(D13,"OR","d"),'RE Inconsistency Results'!$B$1:$B$500,0),1))))</f>
        <v/>
      </c>
    </row>
    <row r="14" spans="4:22" x14ac:dyDescent="0.25">
      <c r="D14" s="125" t="str">
        <f>IF('Fixed Effects'!N14="","",'Fixed Effects'!N14)</f>
        <v/>
      </c>
      <c r="E14" s="126" t="str">
        <f>IF('Fixed Effects'!O14="","",'Fixed Effects'!O14)</f>
        <v/>
      </c>
      <c r="F14" s="127" t="str">
        <f>IF('Fixed Effects'!Q14="","",'Fixed Effects'!Q14)</f>
        <v/>
      </c>
      <c r="G14" s="128" t="str">
        <f>IF(D14="","",IF((INDEX('FE Inconsistency Results'!$H$1:$H$500,MATCH(SUBSTITUTE(D14,"OR","d"),'FE Inconsistency Results'!$B$1:$B$500,0),1))-(INDEX('FE Inconsistency Results'!$F$1:$F$500,MATCH(SUBSTITUTE(D14,"OR","d"),'FE Inconsistency Results'!$B$1:$B$500,0),1))&gt;50,"N/A",EXP(INDEX('FE Inconsistency Results'!$G$1:$G$500,MATCH(SUBSTITUTE(D14,"OR","d"),'FE Inconsistency Results'!$B$1:$B$500,0),1))))</f>
        <v/>
      </c>
      <c r="I14" s="138" t="str">
        <f ca="1">IF(INDIRECT(CONCATENATE("'",'Inconsistency Data'!$I$4,"'!N14"))="","",INDIRECT(CONCATENATE("'",'Inconsistency Data'!$I$4,"'!N14")))</f>
        <v>OR[2,3]</v>
      </c>
      <c r="J14" s="126" t="str">
        <f ca="1">IF(INDIRECT(CONCATENATE("'",'Inconsistency Data'!$I$4,"'!O14"))="","",INDIRECT(CONCATENATE("'",'Inconsistency Data'!$I$4,"'!O14")))</f>
        <v>IBUPO versus IBUIV</v>
      </c>
      <c r="K14" s="127">
        <f ca="1">IF(INDIRECT(CONCATENATE("'",'Inconsistency Data'!$I$4,"'!Q14"))="","",INDIRECT(CONCATENATE("'",'Inconsistency Data'!$I$4,"'!Q14")))</f>
        <v>2.3889999999999998</v>
      </c>
      <c r="L14" s="128" t="str">
        <f>IF(D14="","",IF((INDEX('RE Inconsistency Results'!$H$1:$H$500,MATCH(SUBSTITUTE(D14,"OR","d"),'RE Inconsistency Results'!$B$1:$B$500,0),1))-(INDEX('RE Inconsistency Results'!$F$1:$F$500,MATCH(SUBSTITUTE(D14,"OR","d"),'RE Inconsistency Results'!$B$1:$B$500,0),1))&gt;50,"N/A",EXP(INDEX('RE Inconsistency Results'!$G$1:$G$500,MATCH(SUBSTITUTE(D14,"OR","d"),'RE Inconsistency Results'!$B$1:$B$500,0),1))))</f>
        <v/>
      </c>
    </row>
    <row r="15" spans="4:22" x14ac:dyDescent="0.25">
      <c r="D15" s="125" t="str">
        <f>IF('Fixed Effects'!N15="","",'Fixed Effects'!N15)</f>
        <v/>
      </c>
      <c r="E15" s="126" t="str">
        <f>IF('Fixed Effects'!O15="","",'Fixed Effects'!O15)</f>
        <v/>
      </c>
      <c r="F15" s="127" t="str">
        <f>IF('Fixed Effects'!Q15="","",'Fixed Effects'!Q15)</f>
        <v/>
      </c>
      <c r="G15" s="128" t="str">
        <f>IF(D15="","",IF((INDEX('FE Inconsistency Results'!$H$1:$H$500,MATCH(SUBSTITUTE(D15,"OR","d"),'FE Inconsistency Results'!$B$1:$B$500,0),1))-(INDEX('FE Inconsistency Results'!$F$1:$F$500,MATCH(SUBSTITUTE(D15,"OR","d"),'FE Inconsistency Results'!$B$1:$B$500,0),1))&gt;50,"N/A",EXP(INDEX('FE Inconsistency Results'!$G$1:$G$500,MATCH(SUBSTITUTE(D15,"OR","d"),'FE Inconsistency Results'!$B$1:$B$500,0),1))))</f>
        <v/>
      </c>
      <c r="I15" s="138" t="str">
        <f ca="1">IF(INDIRECT(CONCATENATE("'",'Inconsistency Data'!$I$4,"'!N15"))="","",INDIRECT(CONCATENATE("'",'Inconsistency Data'!$I$4,"'!N15")))</f>
        <v>OR[2,4]</v>
      </c>
      <c r="J15" s="126" t="str">
        <f ca="1">IF(INDIRECT(CONCATENATE("'",'Inconsistency Data'!$I$4,"'!O15"))="","",INDIRECT(CONCATENATE("'",'Inconsistency Data'!$I$4,"'!O15")))</f>
        <v>PARAPO versus IBUIV</v>
      </c>
      <c r="K15" s="127">
        <f ca="1">IF(INDIRECT(CONCATENATE("'",'Inconsistency Data'!$I$4,"'!Q15"))="","",INDIRECT(CONCATENATE("'",'Inconsistency Data'!$I$4,"'!Q15")))</f>
        <v>3.7730000000000001</v>
      </c>
      <c r="L15" s="128" t="str">
        <f>IF(D15="","",IF((INDEX('RE Inconsistency Results'!$H$1:$H$500,MATCH(SUBSTITUTE(D15,"OR","d"),'RE Inconsistency Results'!$B$1:$B$500,0),1))-(INDEX('RE Inconsistency Results'!$F$1:$F$500,MATCH(SUBSTITUTE(D15,"OR","d"),'RE Inconsistency Results'!$B$1:$B$500,0),1))&gt;50,"N/A",EXP(INDEX('RE Inconsistency Results'!$G$1:$G$500,MATCH(SUBSTITUTE(D15,"OR","d"),'RE Inconsistency Results'!$B$1:$B$500,0),1))))</f>
        <v/>
      </c>
    </row>
    <row r="16" spans="4:22" x14ac:dyDescent="0.25">
      <c r="D16" s="125" t="str">
        <f>IF('Fixed Effects'!N16="","",'Fixed Effects'!N16)</f>
        <v/>
      </c>
      <c r="E16" s="126" t="str">
        <f>IF('Fixed Effects'!O16="","",'Fixed Effects'!O16)</f>
        <v/>
      </c>
      <c r="F16" s="127" t="str">
        <f>IF('Fixed Effects'!Q16="","",'Fixed Effects'!Q16)</f>
        <v/>
      </c>
      <c r="G16" s="128" t="str">
        <f>IF(D16="","",IF((INDEX('FE Inconsistency Results'!$H$1:$H$500,MATCH(SUBSTITUTE(D16,"OR","d"),'FE Inconsistency Results'!$B$1:$B$500,0),1))-(INDEX('FE Inconsistency Results'!$F$1:$F$500,MATCH(SUBSTITUTE(D16,"OR","d"),'FE Inconsistency Results'!$B$1:$B$500,0),1))&gt;50,"N/A",EXP(INDEX('FE Inconsistency Results'!$G$1:$G$500,MATCH(SUBSTITUTE(D16,"OR","d"),'FE Inconsistency Results'!$B$1:$B$500,0),1))))</f>
        <v/>
      </c>
      <c r="I16" s="138" t="str">
        <f ca="1">IF(INDIRECT(CONCATENATE("'",'Inconsistency Data'!$I$4,"'!N16"))="","",INDIRECT(CONCATENATE("'",'Inconsistency Data'!$I$4,"'!N16")))</f>
        <v>OR[2,5]</v>
      </c>
      <c r="J16" s="126" t="str">
        <f ca="1">IF(INDIRECT(CONCATENATE("'",'Inconsistency Data'!$I$4,"'!O16"))="","",INDIRECT(CONCATENATE("'",'Inconsistency Data'!$I$4,"'!O16")))</f>
        <v>IBUIVHIGHDOSE versus IBUIV</v>
      </c>
      <c r="K16" s="127">
        <f ca="1">IF(INDIRECT(CONCATENATE("'",'Inconsistency Data'!$I$4,"'!Q16"))="","",INDIRECT(CONCATENATE("'",'Inconsistency Data'!$I$4,"'!Q16")))</f>
        <v>3.762</v>
      </c>
      <c r="L16" s="128" t="str">
        <f>IF(D16="","",IF((INDEX('RE Inconsistency Results'!$H$1:$H$500,MATCH(SUBSTITUTE(D16,"OR","d"),'RE Inconsistency Results'!$B$1:$B$500,0),1))-(INDEX('RE Inconsistency Results'!$F$1:$F$500,MATCH(SUBSTITUTE(D16,"OR","d"),'RE Inconsistency Results'!$B$1:$B$500,0),1))&gt;50,"N/A",EXP(INDEX('RE Inconsistency Results'!$G$1:$G$500,MATCH(SUBSTITUTE(D16,"OR","d"),'RE Inconsistency Results'!$B$1:$B$500,0),1))))</f>
        <v/>
      </c>
    </row>
    <row r="17" spans="4:12" x14ac:dyDescent="0.25">
      <c r="D17" s="125" t="str">
        <f>IF('Fixed Effects'!N17="","",'Fixed Effects'!N17)</f>
        <v/>
      </c>
      <c r="E17" s="126" t="str">
        <f>IF('Fixed Effects'!O17="","",'Fixed Effects'!O17)</f>
        <v/>
      </c>
      <c r="F17" s="127" t="str">
        <f>IF('Fixed Effects'!Q17="","",'Fixed Effects'!Q17)</f>
        <v/>
      </c>
      <c r="G17" s="128" t="str">
        <f>IF(D17="","",IF((INDEX('FE Inconsistency Results'!$H$1:$H$500,MATCH(SUBSTITUTE(D17,"OR","d"),'FE Inconsistency Results'!$B$1:$B$500,0),1))-(INDEX('FE Inconsistency Results'!$F$1:$F$500,MATCH(SUBSTITUTE(D17,"OR","d"),'FE Inconsistency Results'!$B$1:$B$500,0),1))&gt;50,"N/A",EXP(INDEX('FE Inconsistency Results'!$G$1:$G$500,MATCH(SUBSTITUTE(D17,"OR","d"),'FE Inconsistency Results'!$B$1:$B$500,0),1))))</f>
        <v/>
      </c>
      <c r="I17" s="138" t="str">
        <f ca="1">IF(INDIRECT(CONCATENATE("'",'Inconsistency Data'!$I$4,"'!N17"))="","",INDIRECT(CONCATENATE("'",'Inconsistency Data'!$I$4,"'!N17")))</f>
        <v>OR[2,6]</v>
      </c>
      <c r="J17" s="126" t="str">
        <f ca="1">IF(INDIRECT(CONCATENATE("'",'Inconsistency Data'!$I$4,"'!O17"))="","",INDIRECT(CONCATENATE("'",'Inconsistency Data'!$I$4,"'!O17")))</f>
        <v>IBUPOHIGHDOSE versus IBUIV</v>
      </c>
      <c r="K17" s="127">
        <f ca="1">IF(INDIRECT(CONCATENATE("'",'Inconsistency Data'!$I$4,"'!Q17"))="","",INDIRECT(CONCATENATE("'",'Inconsistency Data'!$I$4,"'!Q17")))</f>
        <v>4.3410000000000002</v>
      </c>
      <c r="L17" s="128" t="str">
        <f>IF(D17="","",IF((INDEX('RE Inconsistency Results'!$H$1:$H$500,MATCH(SUBSTITUTE(D17,"OR","d"),'RE Inconsistency Results'!$B$1:$B$500,0),1))-(INDEX('RE Inconsistency Results'!$F$1:$F$500,MATCH(SUBSTITUTE(D17,"OR","d"),'RE Inconsistency Results'!$B$1:$B$500,0),1))&gt;50,"N/A",EXP(INDEX('RE Inconsistency Results'!$G$1:$G$500,MATCH(SUBSTITUTE(D17,"OR","d"),'RE Inconsistency Results'!$B$1:$B$500,0),1))))</f>
        <v/>
      </c>
    </row>
    <row r="18" spans="4:12" x14ac:dyDescent="0.25">
      <c r="D18" s="125" t="str">
        <f>IF('Fixed Effects'!N18="","",'Fixed Effects'!N18)</f>
        <v/>
      </c>
      <c r="E18" s="126" t="str">
        <f>IF('Fixed Effects'!O18="","",'Fixed Effects'!O18)</f>
        <v/>
      </c>
      <c r="F18" s="127" t="str">
        <f>IF('Fixed Effects'!Q18="","",'Fixed Effects'!Q18)</f>
        <v/>
      </c>
      <c r="G18" s="128" t="str">
        <f>IF(D18="","",IF((INDEX('FE Inconsistency Results'!$H$1:$H$500,MATCH(SUBSTITUTE(D18,"OR","d"),'FE Inconsistency Results'!$B$1:$B$500,0),1))-(INDEX('FE Inconsistency Results'!$F$1:$F$500,MATCH(SUBSTITUTE(D18,"OR","d"),'FE Inconsistency Results'!$B$1:$B$500,0),1))&gt;50,"N/A",EXP(INDEX('FE Inconsistency Results'!$G$1:$G$500,MATCH(SUBSTITUTE(D18,"OR","d"),'FE Inconsistency Results'!$B$1:$B$500,0),1))))</f>
        <v/>
      </c>
      <c r="I18" s="138" t="str">
        <f ca="1">IF(INDIRECT(CONCATENATE("'",'Inconsistency Data'!$I$4,"'!N18"))="","",INDIRECT(CONCATENATE("'",'Inconsistency Data'!$I$4,"'!N18")))</f>
        <v>OR[2,7]</v>
      </c>
      <c r="J18" s="126" t="str">
        <f ca="1">IF(INDIRECT(CONCATENATE("'",'Inconsistency Data'!$I$4,"'!O18"))="","",INDIRECT(CONCATENATE("'",'Inconsistency Data'!$I$4,"'!O18")))</f>
        <v>IBUIVCONT versus IBUIV</v>
      </c>
      <c r="K18" s="127">
        <f ca="1">IF(INDIRECT(CONCATENATE("'",'Inconsistency Data'!$I$4,"'!Q18"))="","",INDIRECT(CONCATENATE("'",'Inconsistency Data'!$I$4,"'!Q18")))</f>
        <v>0.71870000000000001</v>
      </c>
      <c r="L18" s="128" t="str">
        <f>IF(D18="","",IF((INDEX('RE Inconsistency Results'!$H$1:$H$500,MATCH(SUBSTITUTE(D18,"OR","d"),'RE Inconsistency Results'!$B$1:$B$500,0),1))-(INDEX('RE Inconsistency Results'!$F$1:$F$500,MATCH(SUBSTITUTE(D18,"OR","d"),'RE Inconsistency Results'!$B$1:$B$500,0),1))&gt;50,"N/A",EXP(INDEX('RE Inconsistency Results'!$G$1:$G$500,MATCH(SUBSTITUTE(D18,"OR","d"),'RE Inconsistency Results'!$B$1:$B$500,0),1))))</f>
        <v/>
      </c>
    </row>
    <row r="19" spans="4:12" x14ac:dyDescent="0.25">
      <c r="D19" s="125" t="str">
        <f>IF('Fixed Effects'!N19="","",'Fixed Effects'!N19)</f>
        <v/>
      </c>
      <c r="E19" s="126" t="str">
        <f>IF('Fixed Effects'!O19="","",'Fixed Effects'!O19)</f>
        <v/>
      </c>
      <c r="F19" s="127" t="str">
        <f>IF('Fixed Effects'!Q19="","",'Fixed Effects'!Q19)</f>
        <v/>
      </c>
      <c r="G19" s="128" t="str">
        <f>IF(D19="","",IF((INDEX('FE Inconsistency Results'!$H$1:$H$500,MATCH(SUBSTITUTE(D19,"OR","d"),'FE Inconsistency Results'!$B$1:$B$500,0),1))-(INDEX('FE Inconsistency Results'!$F$1:$F$500,MATCH(SUBSTITUTE(D19,"OR","d"),'FE Inconsistency Results'!$B$1:$B$500,0),1))&gt;50,"N/A",EXP(INDEX('FE Inconsistency Results'!$G$1:$G$500,MATCH(SUBSTITUTE(D19,"OR","d"),'FE Inconsistency Results'!$B$1:$B$500,0),1))))</f>
        <v/>
      </c>
      <c r="I19" s="138" t="str">
        <f ca="1">IF(INDIRECT(CONCATENATE("'",'Inconsistency Data'!$I$4,"'!N19"))="","",INDIRECT(CONCATENATE("'",'Inconsistency Data'!$I$4,"'!N19")))</f>
        <v>OR[2,8]</v>
      </c>
      <c r="J19" s="126" t="str">
        <f ca="1">IF(INDIRECT(CONCATENATE("'",'Inconsistency Data'!$I$4,"'!O19"))="","",INDIRECT(CONCATENATE("'",'Inconsistency Data'!$I$4,"'!O19")))</f>
        <v>INDOIVCONT versus IBUIV</v>
      </c>
      <c r="K19" s="127">
        <f ca="1">IF(INDIRECT(CONCATENATE("'",'Inconsistency Data'!$I$4,"'!Q19"))="","",INDIRECT(CONCATENATE("'",'Inconsistency Data'!$I$4,"'!Q19")))</f>
        <v>1.333</v>
      </c>
      <c r="L19" s="128" t="str">
        <f>IF(D19="","",IF((INDEX('RE Inconsistency Results'!$H$1:$H$500,MATCH(SUBSTITUTE(D19,"OR","d"),'RE Inconsistency Results'!$B$1:$B$500,0),1))-(INDEX('RE Inconsistency Results'!$F$1:$F$500,MATCH(SUBSTITUTE(D19,"OR","d"),'RE Inconsistency Results'!$B$1:$B$500,0),1))&gt;50,"N/A",EXP(INDEX('RE Inconsistency Results'!$G$1:$G$500,MATCH(SUBSTITUTE(D19,"OR","d"),'RE Inconsistency Results'!$B$1:$B$500,0),1))))</f>
        <v/>
      </c>
    </row>
    <row r="20" spans="4:12" x14ac:dyDescent="0.25">
      <c r="D20" s="125" t="str">
        <f>IF('Fixed Effects'!N20="","",'Fixed Effects'!N20)</f>
        <v/>
      </c>
      <c r="E20" s="126" t="str">
        <f>IF('Fixed Effects'!O20="","",'Fixed Effects'!O20)</f>
        <v/>
      </c>
      <c r="F20" s="127" t="str">
        <f>IF('Fixed Effects'!Q20="","",'Fixed Effects'!Q20)</f>
        <v/>
      </c>
      <c r="G20" s="128" t="str">
        <f>IF(D20="","",IF((INDEX('FE Inconsistency Results'!$H$1:$H$500,MATCH(SUBSTITUTE(D20,"OR","d"),'FE Inconsistency Results'!$B$1:$B$500,0),1))-(INDEX('FE Inconsistency Results'!$F$1:$F$500,MATCH(SUBSTITUTE(D20,"OR","d"),'FE Inconsistency Results'!$B$1:$B$500,0),1))&gt;50,"N/A",EXP(INDEX('FE Inconsistency Results'!$G$1:$G$500,MATCH(SUBSTITUTE(D20,"OR","d"),'FE Inconsistency Results'!$B$1:$B$500,0),1))))</f>
        <v/>
      </c>
      <c r="I20" s="138" t="str">
        <f ca="1">IF(INDIRECT(CONCATENATE("'",'Inconsistency Data'!$I$4,"'!N20"))="","",INDIRECT(CONCATENATE("'",'Inconsistency Data'!$I$4,"'!N20")))</f>
        <v>OR[2,9]</v>
      </c>
      <c r="J20" s="126" t="str">
        <f ca="1">IF(INDIRECT(CONCATENATE("'",'Inconsistency Data'!$I$4,"'!O20"))="","",INDIRECT(CONCATENATE("'",'Inconsistency Data'!$I$4,"'!O20")))</f>
        <v>INDOTHERS versus IBUIV</v>
      </c>
      <c r="K20" s="127">
        <f ca="1">IF(INDIRECT(CONCATENATE("'",'Inconsistency Data'!$I$4,"'!Q20"))="","",INDIRECT(CONCATENATE("'",'Inconsistency Data'!$I$4,"'!Q20")))</f>
        <v>2.008</v>
      </c>
      <c r="L20" s="128" t="str">
        <f>IF(D20="","",IF((INDEX('RE Inconsistency Results'!$H$1:$H$500,MATCH(SUBSTITUTE(D20,"OR","d"),'RE Inconsistency Results'!$B$1:$B$500,0),1))-(INDEX('RE Inconsistency Results'!$F$1:$F$500,MATCH(SUBSTITUTE(D20,"OR","d"),'RE Inconsistency Results'!$B$1:$B$500,0),1))&gt;50,"N/A",EXP(INDEX('RE Inconsistency Results'!$G$1:$G$500,MATCH(SUBSTITUTE(D20,"OR","d"),'RE Inconsistency Results'!$B$1:$B$500,0),1))))</f>
        <v/>
      </c>
    </row>
    <row r="21" spans="4:12" x14ac:dyDescent="0.25">
      <c r="D21" s="125" t="str">
        <f>IF('Fixed Effects'!N21="","",'Fixed Effects'!N21)</f>
        <v/>
      </c>
      <c r="E21" s="126" t="str">
        <f>IF('Fixed Effects'!O21="","",'Fixed Effects'!O21)</f>
        <v/>
      </c>
      <c r="F21" s="127" t="str">
        <f>IF('Fixed Effects'!Q21="","",'Fixed Effects'!Q21)</f>
        <v/>
      </c>
      <c r="G21" s="128" t="str">
        <f>IF(D21="","",IF((INDEX('FE Inconsistency Results'!$H$1:$H$500,MATCH(SUBSTITUTE(D21,"OR","d"),'FE Inconsistency Results'!$B$1:$B$500,0),1))-(INDEX('FE Inconsistency Results'!$F$1:$F$500,MATCH(SUBSTITUTE(D21,"OR","d"),'FE Inconsistency Results'!$B$1:$B$500,0),1))&gt;50,"N/A",EXP(INDEX('FE Inconsistency Results'!$G$1:$G$500,MATCH(SUBSTITUTE(D21,"OR","d"),'FE Inconsistency Results'!$B$1:$B$500,0),1))))</f>
        <v/>
      </c>
      <c r="I21" s="138" t="str">
        <f ca="1">IF(INDIRECT(CONCATENATE("'",'Inconsistency Data'!$I$4,"'!N21"))="","",INDIRECT(CONCATENATE("'",'Inconsistency Data'!$I$4,"'!N21")))</f>
        <v>OR[2,10]</v>
      </c>
      <c r="J21" s="126" t="str">
        <f ca="1">IF(INDIRECT(CONCATENATE("'",'Inconsistency Data'!$I$4,"'!O21"))="","",INDIRECT(CONCATENATE("'",'Inconsistency Data'!$I$4,"'!O21")))</f>
        <v>PLAC_NORX versus IBUIV</v>
      </c>
      <c r="K21" s="127">
        <f ca="1">IF(INDIRECT(CONCATENATE("'",'Inconsistency Data'!$I$4,"'!Q21"))="","",INDIRECT(CONCATENATE("'",'Inconsistency Data'!$I$4,"'!Q21")))</f>
        <v>0.2727</v>
      </c>
      <c r="L21" s="128" t="str">
        <f>IF(D21="","",IF((INDEX('RE Inconsistency Results'!$H$1:$H$500,MATCH(SUBSTITUTE(D21,"OR","d"),'RE Inconsistency Results'!$B$1:$B$500,0),1))-(INDEX('RE Inconsistency Results'!$F$1:$F$500,MATCH(SUBSTITUTE(D21,"OR","d"),'RE Inconsistency Results'!$B$1:$B$500,0),1))&gt;50,"N/A",EXP(INDEX('RE Inconsistency Results'!$G$1:$G$500,MATCH(SUBSTITUTE(D21,"OR","d"),'RE Inconsistency Results'!$B$1:$B$500,0),1))))</f>
        <v/>
      </c>
    </row>
    <row r="22" spans="4:12" x14ac:dyDescent="0.25">
      <c r="D22" s="125" t="str">
        <f>IF('Fixed Effects'!N22="","",'Fixed Effects'!N22)</f>
        <v/>
      </c>
      <c r="E22" s="126" t="str">
        <f>IF('Fixed Effects'!O22="","",'Fixed Effects'!O22)</f>
        <v/>
      </c>
      <c r="F22" s="127" t="str">
        <f>IF('Fixed Effects'!Q22="","",'Fixed Effects'!Q22)</f>
        <v/>
      </c>
      <c r="G22" s="128" t="str">
        <f>IF(D22="","",IF((INDEX('FE Inconsistency Results'!$H$1:$H$500,MATCH(SUBSTITUTE(D22,"OR","d"),'FE Inconsistency Results'!$B$1:$B$500,0),1))-(INDEX('FE Inconsistency Results'!$F$1:$F$500,MATCH(SUBSTITUTE(D22,"OR","d"),'FE Inconsistency Results'!$B$1:$B$500,0),1))&gt;50,"N/A",EXP(INDEX('FE Inconsistency Results'!$G$1:$G$500,MATCH(SUBSTITUTE(D22,"OR","d"),'FE Inconsistency Results'!$B$1:$B$500,0),1))))</f>
        <v/>
      </c>
      <c r="I22" s="138" t="str">
        <f ca="1">IF(INDIRECT(CONCATENATE("'",'Inconsistency Data'!$I$4,"'!N22"))="","",INDIRECT(CONCATENATE("'",'Inconsistency Data'!$I$4,"'!N22")))</f>
        <v>OR[3,4]</v>
      </c>
      <c r="J22" s="126" t="str">
        <f ca="1">IF(INDIRECT(CONCATENATE("'",'Inconsistency Data'!$I$4,"'!O22"))="","",INDIRECT(CONCATENATE("'",'Inconsistency Data'!$I$4,"'!O22")))</f>
        <v>PARAPO versus IBUPO</v>
      </c>
      <c r="K22" s="127">
        <f ca="1">IF(INDIRECT(CONCATENATE("'",'Inconsistency Data'!$I$4,"'!Q22"))="","",INDIRECT(CONCATENATE("'",'Inconsistency Data'!$I$4,"'!Q22")))</f>
        <v>1.58</v>
      </c>
      <c r="L22" s="128" t="str">
        <f>IF(D22="","",IF((INDEX('RE Inconsistency Results'!$H$1:$H$500,MATCH(SUBSTITUTE(D22,"OR","d"),'RE Inconsistency Results'!$B$1:$B$500,0),1))-(INDEX('RE Inconsistency Results'!$F$1:$F$500,MATCH(SUBSTITUTE(D22,"OR","d"),'RE Inconsistency Results'!$B$1:$B$500,0),1))&gt;50,"N/A",EXP(INDEX('RE Inconsistency Results'!$G$1:$G$500,MATCH(SUBSTITUTE(D22,"OR","d"),'RE Inconsistency Results'!$B$1:$B$500,0),1))))</f>
        <v/>
      </c>
    </row>
    <row r="23" spans="4:12" x14ac:dyDescent="0.25">
      <c r="D23" s="125" t="str">
        <f>IF('Fixed Effects'!N23="","",'Fixed Effects'!N23)</f>
        <v/>
      </c>
      <c r="E23" s="126" t="str">
        <f>IF('Fixed Effects'!O23="","",'Fixed Effects'!O23)</f>
        <v/>
      </c>
      <c r="F23" s="127" t="str">
        <f>IF('Fixed Effects'!Q23="","",'Fixed Effects'!Q23)</f>
        <v/>
      </c>
      <c r="G23" s="128" t="str">
        <f>IF(D23="","",IF((INDEX('FE Inconsistency Results'!$H$1:$H$500,MATCH(SUBSTITUTE(D23,"OR","d"),'FE Inconsistency Results'!$B$1:$B$500,0),1))-(INDEX('FE Inconsistency Results'!$F$1:$F$500,MATCH(SUBSTITUTE(D23,"OR","d"),'FE Inconsistency Results'!$B$1:$B$500,0),1))&gt;50,"N/A",EXP(INDEX('FE Inconsistency Results'!$G$1:$G$500,MATCH(SUBSTITUTE(D23,"OR","d"),'FE Inconsistency Results'!$B$1:$B$500,0),1))))</f>
        <v/>
      </c>
      <c r="I23" s="138" t="str">
        <f ca="1">IF(INDIRECT(CONCATENATE("'",'Inconsistency Data'!$I$4,"'!N23"))="","",INDIRECT(CONCATENATE("'",'Inconsistency Data'!$I$4,"'!N23")))</f>
        <v>OR[3,5]</v>
      </c>
      <c r="J23" s="126" t="str">
        <f ca="1">IF(INDIRECT(CONCATENATE("'",'Inconsistency Data'!$I$4,"'!O23"))="","",INDIRECT(CONCATENATE("'",'Inconsistency Data'!$I$4,"'!O23")))</f>
        <v>IBUIVHIGHDOSE versus IBUPO</v>
      </c>
      <c r="K23" s="127">
        <f ca="1">IF(INDIRECT(CONCATENATE("'",'Inconsistency Data'!$I$4,"'!Q23"))="","",INDIRECT(CONCATENATE("'",'Inconsistency Data'!$I$4,"'!Q23")))</f>
        <v>1.5820000000000001</v>
      </c>
      <c r="L23" s="128" t="str">
        <f>IF(D23="","",IF((INDEX('RE Inconsistency Results'!$H$1:$H$500,MATCH(SUBSTITUTE(D23,"OR","d"),'RE Inconsistency Results'!$B$1:$B$500,0),1))-(INDEX('RE Inconsistency Results'!$F$1:$F$500,MATCH(SUBSTITUTE(D23,"OR","d"),'RE Inconsistency Results'!$B$1:$B$500,0),1))&gt;50,"N/A",EXP(INDEX('RE Inconsistency Results'!$G$1:$G$500,MATCH(SUBSTITUTE(D23,"OR","d"),'RE Inconsistency Results'!$B$1:$B$500,0),1))))</f>
        <v/>
      </c>
    </row>
    <row r="24" spans="4:12" x14ac:dyDescent="0.25">
      <c r="D24" s="125" t="str">
        <f>IF('Fixed Effects'!N24="","",'Fixed Effects'!N24)</f>
        <v/>
      </c>
      <c r="E24" s="126" t="str">
        <f>IF('Fixed Effects'!O24="","",'Fixed Effects'!O24)</f>
        <v/>
      </c>
      <c r="F24" s="127" t="str">
        <f>IF('Fixed Effects'!Q24="","",'Fixed Effects'!Q24)</f>
        <v/>
      </c>
      <c r="G24" s="128" t="str">
        <f>IF(D24="","",IF((INDEX('FE Inconsistency Results'!$H$1:$H$500,MATCH(SUBSTITUTE(D24,"OR","d"),'FE Inconsistency Results'!$B$1:$B$500,0),1))-(INDEX('FE Inconsistency Results'!$F$1:$F$500,MATCH(SUBSTITUTE(D24,"OR","d"),'FE Inconsistency Results'!$B$1:$B$500,0),1))&gt;50,"N/A",EXP(INDEX('FE Inconsistency Results'!$G$1:$G$500,MATCH(SUBSTITUTE(D24,"OR","d"),'FE Inconsistency Results'!$B$1:$B$500,0),1))))</f>
        <v/>
      </c>
      <c r="I24" s="138" t="str">
        <f ca="1">IF(INDIRECT(CONCATENATE("'",'Inconsistency Data'!$I$4,"'!N24"))="","",INDIRECT(CONCATENATE("'",'Inconsistency Data'!$I$4,"'!N24")))</f>
        <v>OR[3,6]</v>
      </c>
      <c r="J24" s="126" t="str">
        <f ca="1">IF(INDIRECT(CONCATENATE("'",'Inconsistency Data'!$I$4,"'!O24"))="","",INDIRECT(CONCATENATE("'",'Inconsistency Data'!$I$4,"'!O24")))</f>
        <v>IBUPOHIGHDOSE versus IBUPO</v>
      </c>
      <c r="K24" s="127">
        <f ca="1">IF(INDIRECT(CONCATENATE("'",'Inconsistency Data'!$I$4,"'!Q24"))="","",INDIRECT(CONCATENATE("'",'Inconsistency Data'!$I$4,"'!Q24")))</f>
        <v>1.8109999999999999</v>
      </c>
      <c r="L24" s="128" t="str">
        <f>IF(D24="","",IF((INDEX('RE Inconsistency Results'!$H$1:$H$500,MATCH(SUBSTITUTE(D24,"OR","d"),'RE Inconsistency Results'!$B$1:$B$500,0),1))-(INDEX('RE Inconsistency Results'!$F$1:$F$500,MATCH(SUBSTITUTE(D24,"OR","d"),'RE Inconsistency Results'!$B$1:$B$500,0),1))&gt;50,"N/A",EXP(INDEX('RE Inconsistency Results'!$G$1:$G$500,MATCH(SUBSTITUTE(D24,"OR","d"),'RE Inconsistency Results'!$B$1:$B$500,0),1))))</f>
        <v/>
      </c>
    </row>
    <row r="25" spans="4:12" x14ac:dyDescent="0.25">
      <c r="D25" s="125" t="str">
        <f>IF('Fixed Effects'!N25="","",'Fixed Effects'!N25)</f>
        <v/>
      </c>
      <c r="E25" s="126" t="str">
        <f>IF('Fixed Effects'!O25="","",'Fixed Effects'!O25)</f>
        <v/>
      </c>
      <c r="F25" s="127" t="str">
        <f>IF('Fixed Effects'!Q25="","",'Fixed Effects'!Q25)</f>
        <v/>
      </c>
      <c r="G25" s="128" t="str">
        <f>IF(D25="","",IF((INDEX('FE Inconsistency Results'!$H$1:$H$500,MATCH(SUBSTITUTE(D25,"OR","d"),'FE Inconsistency Results'!$B$1:$B$500,0),1))-(INDEX('FE Inconsistency Results'!$F$1:$F$500,MATCH(SUBSTITUTE(D25,"OR","d"),'FE Inconsistency Results'!$B$1:$B$500,0),1))&gt;50,"N/A",EXP(INDEX('FE Inconsistency Results'!$G$1:$G$500,MATCH(SUBSTITUTE(D25,"OR","d"),'FE Inconsistency Results'!$B$1:$B$500,0),1))))</f>
        <v/>
      </c>
      <c r="I25" s="138" t="str">
        <f ca="1">IF(INDIRECT(CONCATENATE("'",'Inconsistency Data'!$I$4,"'!N25"))="","",INDIRECT(CONCATENATE("'",'Inconsistency Data'!$I$4,"'!N25")))</f>
        <v>OR[3,7]</v>
      </c>
      <c r="J25" s="126" t="str">
        <f ca="1">IF(INDIRECT(CONCATENATE("'",'Inconsistency Data'!$I$4,"'!O25"))="","",INDIRECT(CONCATENATE("'",'Inconsistency Data'!$I$4,"'!O25")))</f>
        <v>IBUIVCONT versus IBUPO</v>
      </c>
      <c r="K25" s="127">
        <f ca="1">IF(INDIRECT(CONCATENATE("'",'Inconsistency Data'!$I$4,"'!Q25"))="","",INDIRECT(CONCATENATE("'",'Inconsistency Data'!$I$4,"'!Q25")))</f>
        <v>0.30130000000000001</v>
      </c>
      <c r="L25" s="128" t="str">
        <f>IF(D25="","",IF((INDEX('RE Inconsistency Results'!$H$1:$H$500,MATCH(SUBSTITUTE(D25,"OR","d"),'RE Inconsistency Results'!$B$1:$B$500,0),1))-(INDEX('RE Inconsistency Results'!$F$1:$F$500,MATCH(SUBSTITUTE(D25,"OR","d"),'RE Inconsistency Results'!$B$1:$B$500,0),1))&gt;50,"N/A",EXP(INDEX('RE Inconsistency Results'!$G$1:$G$500,MATCH(SUBSTITUTE(D25,"OR","d"),'RE Inconsistency Results'!$B$1:$B$500,0),1))))</f>
        <v/>
      </c>
    </row>
    <row r="26" spans="4:12" x14ac:dyDescent="0.25">
      <c r="D26" s="125" t="str">
        <f>IF('Fixed Effects'!N26="","",'Fixed Effects'!N26)</f>
        <v/>
      </c>
      <c r="E26" s="126" t="str">
        <f>IF('Fixed Effects'!O26="","",'Fixed Effects'!O26)</f>
        <v/>
      </c>
      <c r="F26" s="127" t="str">
        <f>IF('Fixed Effects'!Q26="","",'Fixed Effects'!Q26)</f>
        <v/>
      </c>
      <c r="G26" s="128" t="str">
        <f>IF(D26="","",IF((INDEX('FE Inconsistency Results'!$H$1:$H$500,MATCH(SUBSTITUTE(D26,"OR","d"),'FE Inconsistency Results'!$B$1:$B$500,0),1))-(INDEX('FE Inconsistency Results'!$F$1:$F$500,MATCH(SUBSTITUTE(D26,"OR","d"),'FE Inconsistency Results'!$B$1:$B$500,0),1))&gt;50,"N/A",EXP(INDEX('FE Inconsistency Results'!$G$1:$G$500,MATCH(SUBSTITUTE(D26,"OR","d"),'FE Inconsistency Results'!$B$1:$B$500,0),1))))</f>
        <v/>
      </c>
      <c r="I26" s="138" t="str">
        <f ca="1">IF(INDIRECT(CONCATENATE("'",'Inconsistency Data'!$I$4,"'!N26"))="","",INDIRECT(CONCATENATE("'",'Inconsistency Data'!$I$4,"'!N26")))</f>
        <v>OR[3,8]</v>
      </c>
      <c r="J26" s="126" t="str">
        <f ca="1">IF(INDIRECT(CONCATENATE("'",'Inconsistency Data'!$I$4,"'!O26"))="","",INDIRECT(CONCATENATE("'",'Inconsistency Data'!$I$4,"'!O26")))</f>
        <v>INDOIVCONT versus IBUPO</v>
      </c>
      <c r="K26" s="127">
        <f ca="1">IF(INDIRECT(CONCATENATE("'",'Inconsistency Data'!$I$4,"'!Q26"))="","",INDIRECT(CONCATENATE("'",'Inconsistency Data'!$I$4,"'!Q26")))</f>
        <v>0.56059999999999999</v>
      </c>
      <c r="L26" s="128" t="str">
        <f>IF(D26="","",IF((INDEX('RE Inconsistency Results'!$H$1:$H$500,MATCH(SUBSTITUTE(D26,"OR","d"),'RE Inconsistency Results'!$B$1:$B$500,0),1))-(INDEX('RE Inconsistency Results'!$F$1:$F$500,MATCH(SUBSTITUTE(D26,"OR","d"),'RE Inconsistency Results'!$B$1:$B$500,0),1))&gt;50,"N/A",EXP(INDEX('RE Inconsistency Results'!$G$1:$G$500,MATCH(SUBSTITUTE(D26,"OR","d"),'RE Inconsistency Results'!$B$1:$B$500,0),1))))</f>
        <v/>
      </c>
    </row>
    <row r="27" spans="4:12" x14ac:dyDescent="0.25">
      <c r="D27" s="125" t="str">
        <f>IF('Fixed Effects'!N27="","",'Fixed Effects'!N27)</f>
        <v/>
      </c>
      <c r="E27" s="126" t="str">
        <f>IF('Fixed Effects'!O27="","",'Fixed Effects'!O27)</f>
        <v/>
      </c>
      <c r="F27" s="127" t="str">
        <f>IF('Fixed Effects'!Q27="","",'Fixed Effects'!Q27)</f>
        <v/>
      </c>
      <c r="G27" s="128" t="str">
        <f>IF(D27="","",IF((INDEX('FE Inconsistency Results'!$H$1:$H$500,MATCH(SUBSTITUTE(D27,"OR","d"),'FE Inconsistency Results'!$B$1:$B$500,0),1))-(INDEX('FE Inconsistency Results'!$F$1:$F$500,MATCH(SUBSTITUTE(D27,"OR","d"),'FE Inconsistency Results'!$B$1:$B$500,0),1))&gt;50,"N/A",EXP(INDEX('FE Inconsistency Results'!$G$1:$G$500,MATCH(SUBSTITUTE(D27,"OR","d"),'FE Inconsistency Results'!$B$1:$B$500,0),1))))</f>
        <v/>
      </c>
      <c r="I27" s="138" t="str">
        <f ca="1">IF(INDIRECT(CONCATENATE("'",'Inconsistency Data'!$I$4,"'!N27"))="","",INDIRECT(CONCATENATE("'",'Inconsistency Data'!$I$4,"'!N27")))</f>
        <v>OR[3,9]</v>
      </c>
      <c r="J27" s="126" t="str">
        <f ca="1">IF(INDIRECT(CONCATENATE("'",'Inconsistency Data'!$I$4,"'!O27"))="","",INDIRECT(CONCATENATE("'",'Inconsistency Data'!$I$4,"'!O27")))</f>
        <v>INDOTHERS versus IBUPO</v>
      </c>
      <c r="K27" s="127">
        <f ca="1">IF(INDIRECT(CONCATENATE("'",'Inconsistency Data'!$I$4,"'!Q27"))="","",INDIRECT(CONCATENATE("'",'Inconsistency Data'!$I$4,"'!Q27")))</f>
        <v>0.8458</v>
      </c>
      <c r="L27" s="128" t="str">
        <f>IF(D27="","",IF((INDEX('RE Inconsistency Results'!$H$1:$H$500,MATCH(SUBSTITUTE(D27,"OR","d"),'RE Inconsistency Results'!$B$1:$B$500,0),1))-(INDEX('RE Inconsistency Results'!$F$1:$F$500,MATCH(SUBSTITUTE(D27,"OR","d"),'RE Inconsistency Results'!$B$1:$B$500,0),1))&gt;50,"N/A",EXP(INDEX('RE Inconsistency Results'!$G$1:$G$500,MATCH(SUBSTITUTE(D27,"OR","d"),'RE Inconsistency Results'!$B$1:$B$500,0),1))))</f>
        <v/>
      </c>
    </row>
    <row r="28" spans="4:12" x14ac:dyDescent="0.25">
      <c r="D28" s="125" t="str">
        <f>IF('Fixed Effects'!N28="","",'Fixed Effects'!N28)</f>
        <v/>
      </c>
      <c r="E28" s="126" t="str">
        <f>IF('Fixed Effects'!O28="","",'Fixed Effects'!O28)</f>
        <v/>
      </c>
      <c r="F28" s="127" t="str">
        <f>IF('Fixed Effects'!Q28="","",'Fixed Effects'!Q28)</f>
        <v/>
      </c>
      <c r="G28" s="128" t="str">
        <f>IF(D28="","",IF((INDEX('FE Inconsistency Results'!$H$1:$H$500,MATCH(SUBSTITUTE(D28,"OR","d"),'FE Inconsistency Results'!$B$1:$B$500,0),1))-(INDEX('FE Inconsistency Results'!$F$1:$F$500,MATCH(SUBSTITUTE(D28,"OR","d"),'FE Inconsistency Results'!$B$1:$B$500,0),1))&gt;50,"N/A",EXP(INDEX('FE Inconsistency Results'!$G$1:$G$500,MATCH(SUBSTITUTE(D28,"OR","d"),'FE Inconsistency Results'!$B$1:$B$500,0),1))))</f>
        <v/>
      </c>
      <c r="I28" s="138" t="str">
        <f ca="1">IF(INDIRECT(CONCATENATE("'",'Inconsistency Data'!$I$4,"'!N28"))="","",INDIRECT(CONCATENATE("'",'Inconsistency Data'!$I$4,"'!N28")))</f>
        <v>OR[3,10]</v>
      </c>
      <c r="J28" s="126" t="str">
        <f ca="1">IF(INDIRECT(CONCATENATE("'",'Inconsistency Data'!$I$4,"'!O28"))="","",INDIRECT(CONCATENATE("'",'Inconsistency Data'!$I$4,"'!O28")))</f>
        <v>PLAC_NORX versus IBUPO</v>
      </c>
      <c r="K28" s="127">
        <f ca="1">IF(INDIRECT(CONCATENATE("'",'Inconsistency Data'!$I$4,"'!Q28"))="","",INDIRECT(CONCATENATE("'",'Inconsistency Data'!$I$4,"'!Q28")))</f>
        <v>0.1147</v>
      </c>
      <c r="L28" s="128" t="str">
        <f>IF(D28="","",IF((INDEX('RE Inconsistency Results'!$H$1:$H$500,MATCH(SUBSTITUTE(D28,"OR","d"),'RE Inconsistency Results'!$B$1:$B$500,0),1))-(INDEX('RE Inconsistency Results'!$F$1:$F$500,MATCH(SUBSTITUTE(D28,"OR","d"),'RE Inconsistency Results'!$B$1:$B$500,0),1))&gt;50,"N/A",EXP(INDEX('RE Inconsistency Results'!$G$1:$G$500,MATCH(SUBSTITUTE(D28,"OR","d"),'RE Inconsistency Results'!$B$1:$B$500,0),1))))</f>
        <v/>
      </c>
    </row>
    <row r="29" spans="4:12" x14ac:dyDescent="0.25">
      <c r="D29" s="125" t="str">
        <f>IF('Fixed Effects'!N29="","",'Fixed Effects'!N29)</f>
        <v/>
      </c>
      <c r="E29" s="126" t="str">
        <f>IF('Fixed Effects'!O29="","",'Fixed Effects'!O29)</f>
        <v/>
      </c>
      <c r="F29" s="127" t="str">
        <f>IF('Fixed Effects'!Q29="","",'Fixed Effects'!Q29)</f>
        <v/>
      </c>
      <c r="G29" s="128" t="str">
        <f>IF(D29="","",IF((INDEX('FE Inconsistency Results'!$H$1:$H$500,MATCH(SUBSTITUTE(D29,"OR","d"),'FE Inconsistency Results'!$B$1:$B$500,0),1))-(INDEX('FE Inconsistency Results'!$F$1:$F$500,MATCH(SUBSTITUTE(D29,"OR","d"),'FE Inconsistency Results'!$B$1:$B$500,0),1))&gt;50,"N/A",EXP(INDEX('FE Inconsistency Results'!$G$1:$G$500,MATCH(SUBSTITUTE(D29,"OR","d"),'FE Inconsistency Results'!$B$1:$B$500,0),1))))</f>
        <v/>
      </c>
      <c r="I29" s="138" t="str">
        <f ca="1">IF(INDIRECT(CONCATENATE("'",'Inconsistency Data'!$I$4,"'!N29"))="","",INDIRECT(CONCATENATE("'",'Inconsistency Data'!$I$4,"'!N29")))</f>
        <v>OR[4,5]</v>
      </c>
      <c r="J29" s="126" t="str">
        <f ca="1">IF(INDIRECT(CONCATENATE("'",'Inconsistency Data'!$I$4,"'!O29"))="","",INDIRECT(CONCATENATE("'",'Inconsistency Data'!$I$4,"'!O29")))</f>
        <v>IBUIVHIGHDOSE versus PARAPO</v>
      </c>
      <c r="K29" s="127">
        <f ca="1">IF(INDIRECT(CONCATENATE("'",'Inconsistency Data'!$I$4,"'!Q29"))="","",INDIRECT(CONCATENATE("'",'Inconsistency Data'!$I$4,"'!Q29")))</f>
        <v>1.0029999999999999</v>
      </c>
      <c r="L29" s="128" t="str">
        <f>IF(D29="","",IF((INDEX('RE Inconsistency Results'!$H$1:$H$500,MATCH(SUBSTITUTE(D29,"OR","d"),'RE Inconsistency Results'!$B$1:$B$500,0),1))-(INDEX('RE Inconsistency Results'!$F$1:$F$500,MATCH(SUBSTITUTE(D29,"OR","d"),'RE Inconsistency Results'!$B$1:$B$500,0),1))&gt;50,"N/A",EXP(INDEX('RE Inconsistency Results'!$G$1:$G$500,MATCH(SUBSTITUTE(D29,"OR","d"),'RE Inconsistency Results'!$B$1:$B$500,0),1))))</f>
        <v/>
      </c>
    </row>
    <row r="30" spans="4:12" x14ac:dyDescent="0.25">
      <c r="D30" s="125" t="str">
        <f>IF('Fixed Effects'!N30="","",'Fixed Effects'!N30)</f>
        <v/>
      </c>
      <c r="E30" s="126" t="str">
        <f>IF('Fixed Effects'!O30="","",'Fixed Effects'!O30)</f>
        <v/>
      </c>
      <c r="F30" s="127" t="str">
        <f>IF('Fixed Effects'!Q30="","",'Fixed Effects'!Q30)</f>
        <v/>
      </c>
      <c r="G30" s="128" t="str">
        <f>IF(D30="","",IF((INDEX('FE Inconsistency Results'!$H$1:$H$500,MATCH(SUBSTITUTE(D30,"OR","d"),'FE Inconsistency Results'!$B$1:$B$500,0),1))-(INDEX('FE Inconsistency Results'!$F$1:$F$500,MATCH(SUBSTITUTE(D30,"OR","d"),'FE Inconsistency Results'!$B$1:$B$500,0),1))&gt;50,"N/A",EXP(INDEX('FE Inconsistency Results'!$G$1:$G$500,MATCH(SUBSTITUTE(D30,"OR","d"),'FE Inconsistency Results'!$B$1:$B$500,0),1))))</f>
        <v/>
      </c>
      <c r="I30" s="138" t="str">
        <f ca="1">IF(INDIRECT(CONCATENATE("'",'Inconsistency Data'!$I$4,"'!N30"))="","",INDIRECT(CONCATENATE("'",'Inconsistency Data'!$I$4,"'!N30")))</f>
        <v>OR[4,6]</v>
      </c>
      <c r="J30" s="126" t="str">
        <f ca="1">IF(INDIRECT(CONCATENATE("'",'Inconsistency Data'!$I$4,"'!O30"))="","",INDIRECT(CONCATENATE("'",'Inconsistency Data'!$I$4,"'!O30")))</f>
        <v>IBUPOHIGHDOSE versus PARAPO</v>
      </c>
      <c r="K30" s="127">
        <f ca="1">IF(INDIRECT(CONCATENATE("'",'Inconsistency Data'!$I$4,"'!Q30"))="","",INDIRECT(CONCATENATE("'",'Inconsistency Data'!$I$4,"'!Q30")))</f>
        <v>1.151</v>
      </c>
      <c r="L30" s="128" t="str">
        <f>IF(D30="","",IF((INDEX('RE Inconsistency Results'!$H$1:$H$500,MATCH(SUBSTITUTE(D30,"OR","d"),'RE Inconsistency Results'!$B$1:$B$500,0),1))-(INDEX('RE Inconsistency Results'!$F$1:$F$500,MATCH(SUBSTITUTE(D30,"OR","d"),'RE Inconsistency Results'!$B$1:$B$500,0),1))&gt;50,"N/A",EXP(INDEX('RE Inconsistency Results'!$G$1:$G$500,MATCH(SUBSTITUTE(D30,"OR","d"),'RE Inconsistency Results'!$B$1:$B$500,0),1))))</f>
        <v/>
      </c>
    </row>
    <row r="31" spans="4:12" x14ac:dyDescent="0.25">
      <c r="D31" s="125" t="str">
        <f>IF('Fixed Effects'!N31="","",'Fixed Effects'!N31)</f>
        <v/>
      </c>
      <c r="E31" s="126" t="str">
        <f>IF('Fixed Effects'!O31="","",'Fixed Effects'!O31)</f>
        <v/>
      </c>
      <c r="F31" s="127" t="str">
        <f>IF('Fixed Effects'!Q31="","",'Fixed Effects'!Q31)</f>
        <v/>
      </c>
      <c r="G31" s="128" t="str">
        <f>IF(D31="","",IF((INDEX('FE Inconsistency Results'!$H$1:$H$500,MATCH(SUBSTITUTE(D31,"OR","d"),'FE Inconsistency Results'!$B$1:$B$500,0),1))-(INDEX('FE Inconsistency Results'!$F$1:$F$500,MATCH(SUBSTITUTE(D31,"OR","d"),'FE Inconsistency Results'!$B$1:$B$500,0),1))&gt;50,"N/A",EXP(INDEX('FE Inconsistency Results'!$G$1:$G$500,MATCH(SUBSTITUTE(D31,"OR","d"),'FE Inconsistency Results'!$B$1:$B$500,0),1))))</f>
        <v/>
      </c>
      <c r="I31" s="138" t="str">
        <f ca="1">IF(INDIRECT(CONCATENATE("'",'Inconsistency Data'!$I$4,"'!N31"))="","",INDIRECT(CONCATENATE("'",'Inconsistency Data'!$I$4,"'!N31")))</f>
        <v>OR[4,7]</v>
      </c>
      <c r="J31" s="126" t="str">
        <f ca="1">IF(INDIRECT(CONCATENATE("'",'Inconsistency Data'!$I$4,"'!O31"))="","",INDIRECT(CONCATENATE("'",'Inconsistency Data'!$I$4,"'!O31")))</f>
        <v>IBUIVCONT versus PARAPO</v>
      </c>
      <c r="K31" s="127">
        <f ca="1">IF(INDIRECT(CONCATENATE("'",'Inconsistency Data'!$I$4,"'!Q31"))="","",INDIRECT(CONCATENATE("'",'Inconsistency Data'!$I$4,"'!Q31")))</f>
        <v>0.19289999999999999</v>
      </c>
      <c r="L31" s="128" t="str">
        <f>IF(D31="","",IF((INDEX('RE Inconsistency Results'!$H$1:$H$500,MATCH(SUBSTITUTE(D31,"OR","d"),'RE Inconsistency Results'!$B$1:$B$500,0),1))-(INDEX('RE Inconsistency Results'!$F$1:$F$500,MATCH(SUBSTITUTE(D31,"OR","d"),'RE Inconsistency Results'!$B$1:$B$500,0),1))&gt;50,"N/A",EXP(INDEX('RE Inconsistency Results'!$G$1:$G$500,MATCH(SUBSTITUTE(D31,"OR","d"),'RE Inconsistency Results'!$B$1:$B$500,0),1))))</f>
        <v/>
      </c>
    </row>
    <row r="32" spans="4:12" x14ac:dyDescent="0.25">
      <c r="D32" s="125" t="str">
        <f>IF('Fixed Effects'!N32="","",'Fixed Effects'!N32)</f>
        <v/>
      </c>
      <c r="E32" s="126" t="str">
        <f>IF('Fixed Effects'!O32="","",'Fixed Effects'!O32)</f>
        <v/>
      </c>
      <c r="F32" s="127" t="str">
        <f>IF('Fixed Effects'!Q32="","",'Fixed Effects'!Q32)</f>
        <v/>
      </c>
      <c r="G32" s="128" t="str">
        <f>IF(D32="","",IF((INDEX('FE Inconsistency Results'!$H$1:$H$500,MATCH(SUBSTITUTE(D32,"OR","d"),'FE Inconsistency Results'!$B$1:$B$500,0),1))-(INDEX('FE Inconsistency Results'!$F$1:$F$500,MATCH(SUBSTITUTE(D32,"OR","d"),'FE Inconsistency Results'!$B$1:$B$500,0),1))&gt;50,"N/A",EXP(INDEX('FE Inconsistency Results'!$G$1:$G$500,MATCH(SUBSTITUTE(D32,"OR","d"),'FE Inconsistency Results'!$B$1:$B$500,0),1))))</f>
        <v/>
      </c>
      <c r="I32" s="138" t="str">
        <f ca="1">IF(INDIRECT(CONCATENATE("'",'Inconsistency Data'!$I$4,"'!N32"))="","",INDIRECT(CONCATENATE("'",'Inconsistency Data'!$I$4,"'!N32")))</f>
        <v>OR[4,8]</v>
      </c>
      <c r="J32" s="126" t="str">
        <f ca="1">IF(INDIRECT(CONCATENATE("'",'Inconsistency Data'!$I$4,"'!O32"))="","",INDIRECT(CONCATENATE("'",'Inconsistency Data'!$I$4,"'!O32")))</f>
        <v>INDOIVCONT versus PARAPO</v>
      </c>
      <c r="K32" s="127">
        <f ca="1">IF(INDIRECT(CONCATENATE("'",'Inconsistency Data'!$I$4,"'!Q32"))="","",INDIRECT(CONCATENATE("'",'Inconsistency Data'!$I$4,"'!Q32")))</f>
        <v>0.35410000000000003</v>
      </c>
      <c r="L32" s="128" t="str">
        <f>IF(D32="","",IF((INDEX('RE Inconsistency Results'!$H$1:$H$500,MATCH(SUBSTITUTE(D32,"OR","d"),'RE Inconsistency Results'!$B$1:$B$500,0),1))-(INDEX('RE Inconsistency Results'!$F$1:$F$500,MATCH(SUBSTITUTE(D32,"OR","d"),'RE Inconsistency Results'!$B$1:$B$500,0),1))&gt;50,"N/A",EXP(INDEX('RE Inconsistency Results'!$G$1:$G$500,MATCH(SUBSTITUTE(D32,"OR","d"),'RE Inconsistency Results'!$B$1:$B$500,0),1))))</f>
        <v/>
      </c>
    </row>
    <row r="33" spans="4:12" x14ac:dyDescent="0.25">
      <c r="D33" s="125" t="str">
        <f>IF('Fixed Effects'!N33="","",'Fixed Effects'!N33)</f>
        <v/>
      </c>
      <c r="E33" s="126" t="str">
        <f>IF('Fixed Effects'!O33="","",'Fixed Effects'!O33)</f>
        <v/>
      </c>
      <c r="F33" s="127" t="str">
        <f>IF('Fixed Effects'!Q33="","",'Fixed Effects'!Q33)</f>
        <v/>
      </c>
      <c r="G33" s="128" t="str">
        <f>IF(D33="","",IF((INDEX('FE Inconsistency Results'!$H$1:$H$500,MATCH(SUBSTITUTE(D33,"OR","d"),'FE Inconsistency Results'!$B$1:$B$500,0),1))-(INDEX('FE Inconsistency Results'!$F$1:$F$500,MATCH(SUBSTITUTE(D33,"OR","d"),'FE Inconsistency Results'!$B$1:$B$500,0),1))&gt;50,"N/A",EXP(INDEX('FE Inconsistency Results'!$G$1:$G$500,MATCH(SUBSTITUTE(D33,"OR","d"),'FE Inconsistency Results'!$B$1:$B$500,0),1))))</f>
        <v/>
      </c>
      <c r="I33" s="138" t="str">
        <f ca="1">IF(INDIRECT(CONCATENATE("'",'Inconsistency Data'!$I$4,"'!N33"))="","",INDIRECT(CONCATENATE("'",'Inconsistency Data'!$I$4,"'!N33")))</f>
        <v>OR[4,9]</v>
      </c>
      <c r="J33" s="126" t="str">
        <f ca="1">IF(INDIRECT(CONCATENATE("'",'Inconsistency Data'!$I$4,"'!O33"))="","",INDIRECT(CONCATENATE("'",'Inconsistency Data'!$I$4,"'!O33")))</f>
        <v>INDOTHERS versus PARAPO</v>
      </c>
      <c r="K33" s="127">
        <f ca="1">IF(INDIRECT(CONCATENATE("'",'Inconsistency Data'!$I$4,"'!Q33"))="","",INDIRECT(CONCATENATE("'",'Inconsistency Data'!$I$4,"'!Q33")))</f>
        <v>0.53310000000000002</v>
      </c>
      <c r="L33" s="128" t="str">
        <f>IF(D33="","",IF((INDEX('RE Inconsistency Results'!$H$1:$H$500,MATCH(SUBSTITUTE(D33,"OR","d"),'RE Inconsistency Results'!$B$1:$B$500,0),1))-(INDEX('RE Inconsistency Results'!$F$1:$F$500,MATCH(SUBSTITUTE(D33,"OR","d"),'RE Inconsistency Results'!$B$1:$B$500,0),1))&gt;50,"N/A",EXP(INDEX('RE Inconsistency Results'!$G$1:$G$500,MATCH(SUBSTITUTE(D33,"OR","d"),'RE Inconsistency Results'!$B$1:$B$500,0),1))))</f>
        <v/>
      </c>
    </row>
    <row r="34" spans="4:12" x14ac:dyDescent="0.25">
      <c r="D34" s="125" t="str">
        <f>IF('Fixed Effects'!N34="","",'Fixed Effects'!N34)</f>
        <v/>
      </c>
      <c r="E34" s="126" t="str">
        <f>IF('Fixed Effects'!O34="","",'Fixed Effects'!O34)</f>
        <v/>
      </c>
      <c r="F34" s="127" t="str">
        <f>IF('Fixed Effects'!Q34="","",'Fixed Effects'!Q34)</f>
        <v/>
      </c>
      <c r="G34" s="128" t="str">
        <f>IF(D34="","",IF((INDEX('FE Inconsistency Results'!$H$1:$H$500,MATCH(SUBSTITUTE(D34,"OR","d"),'FE Inconsistency Results'!$B$1:$B$500,0),1))-(INDEX('FE Inconsistency Results'!$F$1:$F$500,MATCH(SUBSTITUTE(D34,"OR","d"),'FE Inconsistency Results'!$B$1:$B$500,0),1))&gt;50,"N/A",EXP(INDEX('FE Inconsistency Results'!$G$1:$G$500,MATCH(SUBSTITUTE(D34,"OR","d"),'FE Inconsistency Results'!$B$1:$B$500,0),1))))</f>
        <v/>
      </c>
      <c r="I34" s="138" t="str">
        <f ca="1">IF(INDIRECT(CONCATENATE("'",'Inconsistency Data'!$I$4,"'!N34"))="","",INDIRECT(CONCATENATE("'",'Inconsistency Data'!$I$4,"'!N34")))</f>
        <v>OR[4,10]</v>
      </c>
      <c r="J34" s="126" t="str">
        <f ca="1">IF(INDIRECT(CONCATENATE("'",'Inconsistency Data'!$I$4,"'!O34"))="","",INDIRECT(CONCATENATE("'",'Inconsistency Data'!$I$4,"'!O34")))</f>
        <v>PLAC_NORX versus PARAPO</v>
      </c>
      <c r="K34" s="127">
        <f ca="1">IF(INDIRECT(CONCATENATE("'",'Inconsistency Data'!$I$4,"'!Q34"))="","",INDIRECT(CONCATENATE("'",'Inconsistency Data'!$I$4,"'!Q34")))</f>
        <v>7.2349999999999998E-2</v>
      </c>
      <c r="L34" s="128" t="str">
        <f>IF(D34="","",IF((INDEX('RE Inconsistency Results'!$H$1:$H$500,MATCH(SUBSTITUTE(D34,"OR","d"),'RE Inconsistency Results'!$B$1:$B$500,0),1))-(INDEX('RE Inconsistency Results'!$F$1:$F$500,MATCH(SUBSTITUTE(D34,"OR","d"),'RE Inconsistency Results'!$B$1:$B$500,0),1))&gt;50,"N/A",EXP(INDEX('RE Inconsistency Results'!$G$1:$G$500,MATCH(SUBSTITUTE(D34,"OR","d"),'RE Inconsistency Results'!$B$1:$B$500,0),1))))</f>
        <v/>
      </c>
    </row>
    <row r="35" spans="4:12" x14ac:dyDescent="0.25">
      <c r="D35" s="125" t="str">
        <f>IF('Fixed Effects'!N35="","",'Fixed Effects'!N35)</f>
        <v/>
      </c>
      <c r="E35" s="126" t="str">
        <f>IF('Fixed Effects'!O35="","",'Fixed Effects'!O35)</f>
        <v/>
      </c>
      <c r="F35" s="127" t="str">
        <f>IF('Fixed Effects'!Q35="","",'Fixed Effects'!Q35)</f>
        <v/>
      </c>
      <c r="G35" s="128" t="str">
        <f>IF(D35="","",IF((INDEX('FE Inconsistency Results'!$H$1:$H$500,MATCH(SUBSTITUTE(D35,"OR","d"),'FE Inconsistency Results'!$B$1:$B$500,0),1))-(INDEX('FE Inconsistency Results'!$F$1:$F$500,MATCH(SUBSTITUTE(D35,"OR","d"),'FE Inconsistency Results'!$B$1:$B$500,0),1))&gt;50,"N/A",EXP(INDEX('FE Inconsistency Results'!$G$1:$G$500,MATCH(SUBSTITUTE(D35,"OR","d"),'FE Inconsistency Results'!$B$1:$B$500,0),1))))</f>
        <v/>
      </c>
      <c r="I35" s="138" t="str">
        <f ca="1">IF(INDIRECT(CONCATENATE("'",'Inconsistency Data'!$I$4,"'!N35"))="","",INDIRECT(CONCATENATE("'",'Inconsistency Data'!$I$4,"'!N35")))</f>
        <v>OR[5,6]</v>
      </c>
      <c r="J35" s="126" t="str">
        <f ca="1">IF(INDIRECT(CONCATENATE("'",'Inconsistency Data'!$I$4,"'!O35"))="","",INDIRECT(CONCATENATE("'",'Inconsistency Data'!$I$4,"'!O35")))</f>
        <v>IBUPOHIGHDOSE versus IBUIVHIGHDOSE</v>
      </c>
      <c r="K35" s="127">
        <f ca="1">IF(INDIRECT(CONCATENATE("'",'Inconsistency Data'!$I$4,"'!Q35"))="","",INDIRECT(CONCATENATE("'",'Inconsistency Data'!$I$4,"'!Q35")))</f>
        <v>1.1499999999999999</v>
      </c>
      <c r="L35" s="128" t="str">
        <f>IF(D35="","",IF((INDEX('RE Inconsistency Results'!$H$1:$H$500,MATCH(SUBSTITUTE(D35,"OR","d"),'RE Inconsistency Results'!$B$1:$B$500,0),1))-(INDEX('RE Inconsistency Results'!$F$1:$F$500,MATCH(SUBSTITUTE(D35,"OR","d"),'RE Inconsistency Results'!$B$1:$B$500,0),1))&gt;50,"N/A",EXP(INDEX('RE Inconsistency Results'!$G$1:$G$500,MATCH(SUBSTITUTE(D35,"OR","d"),'RE Inconsistency Results'!$B$1:$B$500,0),1))))</f>
        <v/>
      </c>
    </row>
    <row r="36" spans="4:12" x14ac:dyDescent="0.25">
      <c r="D36" s="125" t="str">
        <f>IF('Fixed Effects'!N36="","",'Fixed Effects'!N36)</f>
        <v/>
      </c>
      <c r="E36" s="126" t="str">
        <f>IF('Fixed Effects'!O36="","",'Fixed Effects'!O36)</f>
        <v/>
      </c>
      <c r="F36" s="127" t="str">
        <f>IF('Fixed Effects'!Q36="","",'Fixed Effects'!Q36)</f>
        <v/>
      </c>
      <c r="G36" s="128" t="str">
        <f>IF(D36="","",IF((INDEX('FE Inconsistency Results'!$H$1:$H$500,MATCH(SUBSTITUTE(D36,"OR","d"),'FE Inconsistency Results'!$B$1:$B$500,0),1))-(INDEX('FE Inconsistency Results'!$F$1:$F$500,MATCH(SUBSTITUTE(D36,"OR","d"),'FE Inconsistency Results'!$B$1:$B$500,0),1))&gt;50,"N/A",EXP(INDEX('FE Inconsistency Results'!$G$1:$G$500,MATCH(SUBSTITUTE(D36,"OR","d"),'FE Inconsistency Results'!$B$1:$B$500,0),1))))</f>
        <v/>
      </c>
      <c r="I36" s="138" t="str">
        <f ca="1">IF(INDIRECT(CONCATENATE("'",'Inconsistency Data'!$I$4,"'!N36"))="","",INDIRECT(CONCATENATE("'",'Inconsistency Data'!$I$4,"'!N36")))</f>
        <v>OR[5,7]</v>
      </c>
      <c r="J36" s="126" t="str">
        <f ca="1">IF(INDIRECT(CONCATENATE("'",'Inconsistency Data'!$I$4,"'!O36"))="","",INDIRECT(CONCATENATE("'",'Inconsistency Data'!$I$4,"'!O36")))</f>
        <v>IBUIVCONT versus IBUIVHIGHDOSE</v>
      </c>
      <c r="K36" s="127">
        <f ca="1">IF(INDIRECT(CONCATENATE("'",'Inconsistency Data'!$I$4,"'!Q36"))="","",INDIRECT(CONCATENATE("'",'Inconsistency Data'!$I$4,"'!Q36")))</f>
        <v>0.1918</v>
      </c>
      <c r="L36" s="128" t="str">
        <f>IF(D36="","",IF((INDEX('RE Inconsistency Results'!$H$1:$H$500,MATCH(SUBSTITUTE(D36,"OR","d"),'RE Inconsistency Results'!$B$1:$B$500,0),1))-(INDEX('RE Inconsistency Results'!$F$1:$F$500,MATCH(SUBSTITUTE(D36,"OR","d"),'RE Inconsistency Results'!$B$1:$B$500,0),1))&gt;50,"N/A",EXP(INDEX('RE Inconsistency Results'!$G$1:$G$500,MATCH(SUBSTITUTE(D36,"OR","d"),'RE Inconsistency Results'!$B$1:$B$500,0),1))))</f>
        <v/>
      </c>
    </row>
    <row r="37" spans="4:12" x14ac:dyDescent="0.25">
      <c r="D37" s="125" t="str">
        <f>IF('Fixed Effects'!N37="","",'Fixed Effects'!N37)</f>
        <v/>
      </c>
      <c r="E37" s="126" t="str">
        <f>IF('Fixed Effects'!O37="","",'Fixed Effects'!O37)</f>
        <v/>
      </c>
      <c r="F37" s="127" t="str">
        <f>IF('Fixed Effects'!Q37="","",'Fixed Effects'!Q37)</f>
        <v/>
      </c>
      <c r="G37" s="128" t="str">
        <f>IF(D37="","",IF((INDEX('FE Inconsistency Results'!$H$1:$H$500,MATCH(SUBSTITUTE(D37,"OR","d"),'FE Inconsistency Results'!$B$1:$B$500,0),1))-(INDEX('FE Inconsistency Results'!$F$1:$F$500,MATCH(SUBSTITUTE(D37,"OR","d"),'FE Inconsistency Results'!$B$1:$B$500,0),1))&gt;50,"N/A",EXP(INDEX('FE Inconsistency Results'!$G$1:$G$500,MATCH(SUBSTITUTE(D37,"OR","d"),'FE Inconsistency Results'!$B$1:$B$500,0),1))))</f>
        <v/>
      </c>
      <c r="I37" s="138" t="str">
        <f ca="1">IF(INDIRECT(CONCATENATE("'",'Inconsistency Data'!$I$4,"'!N37"))="","",INDIRECT(CONCATENATE("'",'Inconsistency Data'!$I$4,"'!N37")))</f>
        <v>OR[5,8]</v>
      </c>
      <c r="J37" s="126" t="str">
        <f ca="1">IF(INDIRECT(CONCATENATE("'",'Inconsistency Data'!$I$4,"'!O37"))="","",INDIRECT(CONCATENATE("'",'Inconsistency Data'!$I$4,"'!O37")))</f>
        <v>INDOIVCONT versus IBUIVHIGHDOSE</v>
      </c>
      <c r="K37" s="127">
        <f ca="1">IF(INDIRECT(CONCATENATE("'",'Inconsistency Data'!$I$4,"'!Q37"))="","",INDIRECT(CONCATENATE("'",'Inconsistency Data'!$I$4,"'!Q37")))</f>
        <v>0.34939999999999999</v>
      </c>
      <c r="L37" s="128" t="str">
        <f>IF(D37="","",IF((INDEX('RE Inconsistency Results'!$H$1:$H$500,MATCH(SUBSTITUTE(D37,"OR","d"),'RE Inconsistency Results'!$B$1:$B$500,0),1))-(INDEX('RE Inconsistency Results'!$F$1:$F$500,MATCH(SUBSTITUTE(D37,"OR","d"),'RE Inconsistency Results'!$B$1:$B$500,0),1))&gt;50,"N/A",EXP(INDEX('RE Inconsistency Results'!$G$1:$G$500,MATCH(SUBSTITUTE(D37,"OR","d"),'RE Inconsistency Results'!$B$1:$B$500,0),1))))</f>
        <v/>
      </c>
    </row>
    <row r="38" spans="4:12" x14ac:dyDescent="0.25">
      <c r="D38" s="125" t="str">
        <f>IF('Fixed Effects'!N38="","",'Fixed Effects'!N38)</f>
        <v/>
      </c>
      <c r="E38" s="126" t="str">
        <f>IF('Fixed Effects'!O38="","",'Fixed Effects'!O38)</f>
        <v/>
      </c>
      <c r="F38" s="127" t="str">
        <f>IF('Fixed Effects'!Q38="","",'Fixed Effects'!Q38)</f>
        <v/>
      </c>
      <c r="G38" s="128" t="str">
        <f>IF(D38="","",IF((INDEX('FE Inconsistency Results'!$H$1:$H$500,MATCH(SUBSTITUTE(D38,"OR","d"),'FE Inconsistency Results'!$B$1:$B$500,0),1))-(INDEX('FE Inconsistency Results'!$F$1:$F$500,MATCH(SUBSTITUTE(D38,"OR","d"),'FE Inconsistency Results'!$B$1:$B$500,0),1))&gt;50,"N/A",EXP(INDEX('FE Inconsistency Results'!$G$1:$G$500,MATCH(SUBSTITUTE(D38,"OR","d"),'FE Inconsistency Results'!$B$1:$B$500,0),1))))</f>
        <v/>
      </c>
      <c r="I38" s="138" t="str">
        <f ca="1">IF(INDIRECT(CONCATENATE("'",'Inconsistency Data'!$I$4,"'!N38"))="","",INDIRECT(CONCATENATE("'",'Inconsistency Data'!$I$4,"'!N38")))</f>
        <v>OR[5,9]</v>
      </c>
      <c r="J38" s="126" t="str">
        <f ca="1">IF(INDIRECT(CONCATENATE("'",'Inconsistency Data'!$I$4,"'!O38"))="","",INDIRECT(CONCATENATE("'",'Inconsistency Data'!$I$4,"'!O38")))</f>
        <v>INDOTHERS versus IBUIVHIGHDOSE</v>
      </c>
      <c r="K38" s="127">
        <f ca="1">IF(INDIRECT(CONCATENATE("'",'Inconsistency Data'!$I$4,"'!Q38"))="","",INDIRECT(CONCATENATE("'",'Inconsistency Data'!$I$4,"'!Q38")))</f>
        <v>0.53739999999999999</v>
      </c>
      <c r="L38" s="128" t="str">
        <f>IF(D38="","",IF((INDEX('RE Inconsistency Results'!$H$1:$H$500,MATCH(SUBSTITUTE(D38,"OR","d"),'RE Inconsistency Results'!$B$1:$B$500,0),1))-(INDEX('RE Inconsistency Results'!$F$1:$F$500,MATCH(SUBSTITUTE(D38,"OR","d"),'RE Inconsistency Results'!$B$1:$B$500,0),1))&gt;50,"N/A",EXP(INDEX('RE Inconsistency Results'!$G$1:$G$500,MATCH(SUBSTITUTE(D38,"OR","d"),'RE Inconsistency Results'!$B$1:$B$500,0),1))))</f>
        <v/>
      </c>
    </row>
    <row r="39" spans="4:12" x14ac:dyDescent="0.25">
      <c r="D39" s="125" t="str">
        <f>IF('Fixed Effects'!N39="","",'Fixed Effects'!N39)</f>
        <v/>
      </c>
      <c r="E39" s="126" t="str">
        <f>IF('Fixed Effects'!O39="","",'Fixed Effects'!O39)</f>
        <v/>
      </c>
      <c r="F39" s="127" t="str">
        <f>IF('Fixed Effects'!Q39="","",'Fixed Effects'!Q39)</f>
        <v/>
      </c>
      <c r="G39" s="128" t="str">
        <f>IF(D39="","",IF((INDEX('FE Inconsistency Results'!$H$1:$H$500,MATCH(SUBSTITUTE(D39,"OR","d"),'FE Inconsistency Results'!$B$1:$B$500,0),1))-(INDEX('FE Inconsistency Results'!$F$1:$F$500,MATCH(SUBSTITUTE(D39,"OR","d"),'FE Inconsistency Results'!$B$1:$B$500,0),1))&gt;50,"N/A",EXP(INDEX('FE Inconsistency Results'!$G$1:$G$500,MATCH(SUBSTITUTE(D39,"OR","d"),'FE Inconsistency Results'!$B$1:$B$500,0),1))))</f>
        <v/>
      </c>
      <c r="I39" s="138" t="str">
        <f ca="1">IF(INDIRECT(CONCATENATE("'",'Inconsistency Data'!$I$4,"'!N39"))="","",INDIRECT(CONCATENATE("'",'Inconsistency Data'!$I$4,"'!N39")))</f>
        <v>OR[5,10]</v>
      </c>
      <c r="J39" s="126" t="str">
        <f ca="1">IF(INDIRECT(CONCATENATE("'",'Inconsistency Data'!$I$4,"'!O39"))="","",INDIRECT(CONCATENATE("'",'Inconsistency Data'!$I$4,"'!O39")))</f>
        <v>PLAC_NORX versus IBUIVHIGHDOSE</v>
      </c>
      <c r="K39" s="127">
        <f ca="1">IF(INDIRECT(CONCATENATE("'",'Inconsistency Data'!$I$4,"'!Q39"))="","",INDIRECT(CONCATENATE("'",'Inconsistency Data'!$I$4,"'!Q39")))</f>
        <v>7.2559999999999999E-2</v>
      </c>
      <c r="L39" s="128" t="str">
        <f>IF(D39="","",IF((INDEX('RE Inconsistency Results'!$H$1:$H$500,MATCH(SUBSTITUTE(D39,"OR","d"),'RE Inconsistency Results'!$B$1:$B$500,0),1))-(INDEX('RE Inconsistency Results'!$F$1:$F$500,MATCH(SUBSTITUTE(D39,"OR","d"),'RE Inconsistency Results'!$B$1:$B$500,0),1))&gt;50,"N/A",EXP(INDEX('RE Inconsistency Results'!$G$1:$G$500,MATCH(SUBSTITUTE(D39,"OR","d"),'RE Inconsistency Results'!$B$1:$B$500,0),1))))</f>
        <v/>
      </c>
    </row>
    <row r="40" spans="4:12" x14ac:dyDescent="0.25">
      <c r="D40" s="125" t="str">
        <f>IF('Fixed Effects'!N40="","",'Fixed Effects'!N40)</f>
        <v/>
      </c>
      <c r="E40" s="126" t="str">
        <f>IF('Fixed Effects'!O40="","",'Fixed Effects'!O40)</f>
        <v/>
      </c>
      <c r="F40" s="127" t="str">
        <f>IF('Fixed Effects'!Q40="","",'Fixed Effects'!Q40)</f>
        <v/>
      </c>
      <c r="G40" s="128" t="str">
        <f>IF(D40="","",IF((INDEX('FE Inconsistency Results'!$H$1:$H$500,MATCH(SUBSTITUTE(D40,"OR","d"),'FE Inconsistency Results'!$B$1:$B$500,0),1))-(INDEX('FE Inconsistency Results'!$F$1:$F$500,MATCH(SUBSTITUTE(D40,"OR","d"),'FE Inconsistency Results'!$B$1:$B$500,0),1))&gt;50,"N/A",EXP(INDEX('FE Inconsistency Results'!$G$1:$G$500,MATCH(SUBSTITUTE(D40,"OR","d"),'FE Inconsistency Results'!$B$1:$B$500,0),1))))</f>
        <v/>
      </c>
      <c r="I40" s="138" t="str">
        <f ca="1">IF(INDIRECT(CONCATENATE("'",'Inconsistency Data'!$I$4,"'!N40"))="","",INDIRECT(CONCATENATE("'",'Inconsistency Data'!$I$4,"'!N40")))</f>
        <v>OR[6,7]</v>
      </c>
      <c r="J40" s="126" t="str">
        <f ca="1">IF(INDIRECT(CONCATENATE("'",'Inconsistency Data'!$I$4,"'!O40"))="","",INDIRECT(CONCATENATE("'",'Inconsistency Data'!$I$4,"'!O40")))</f>
        <v>IBUIVCONT versus IBUPOHIGHDOSE</v>
      </c>
      <c r="K40" s="127">
        <f ca="1">IF(INDIRECT(CONCATENATE("'",'Inconsistency Data'!$I$4,"'!Q40"))="","",INDIRECT(CONCATENATE("'",'Inconsistency Data'!$I$4,"'!Q40")))</f>
        <v>0.16669999999999999</v>
      </c>
      <c r="L40" s="128" t="str">
        <f>IF(D40="","",IF((INDEX('RE Inconsistency Results'!$H$1:$H$500,MATCH(SUBSTITUTE(D40,"OR","d"),'RE Inconsistency Results'!$B$1:$B$500,0),1))-(INDEX('RE Inconsistency Results'!$F$1:$F$500,MATCH(SUBSTITUTE(D40,"OR","d"),'RE Inconsistency Results'!$B$1:$B$500,0),1))&gt;50,"N/A",EXP(INDEX('RE Inconsistency Results'!$G$1:$G$500,MATCH(SUBSTITUTE(D40,"OR","d"),'RE Inconsistency Results'!$B$1:$B$500,0),1))))</f>
        <v/>
      </c>
    </row>
    <row r="41" spans="4:12" x14ac:dyDescent="0.25">
      <c r="D41" s="125" t="str">
        <f>IF('Fixed Effects'!N41="","",'Fixed Effects'!N41)</f>
        <v/>
      </c>
      <c r="E41" s="126" t="str">
        <f>IF('Fixed Effects'!O41="","",'Fixed Effects'!O41)</f>
        <v/>
      </c>
      <c r="F41" s="127" t="str">
        <f>IF('Fixed Effects'!Q41="","",'Fixed Effects'!Q41)</f>
        <v/>
      </c>
      <c r="G41" s="128" t="str">
        <f>IF(D41="","",IF((INDEX('FE Inconsistency Results'!$H$1:$H$500,MATCH(SUBSTITUTE(D41,"OR","d"),'FE Inconsistency Results'!$B$1:$B$500,0),1))-(INDEX('FE Inconsistency Results'!$F$1:$F$500,MATCH(SUBSTITUTE(D41,"OR","d"),'FE Inconsistency Results'!$B$1:$B$500,0),1))&gt;50,"N/A",EXP(INDEX('FE Inconsistency Results'!$G$1:$G$500,MATCH(SUBSTITUTE(D41,"OR","d"),'FE Inconsistency Results'!$B$1:$B$500,0),1))))</f>
        <v/>
      </c>
      <c r="I41" s="138" t="str">
        <f ca="1">IF(INDIRECT(CONCATENATE("'",'Inconsistency Data'!$I$4,"'!N41"))="","",INDIRECT(CONCATENATE("'",'Inconsistency Data'!$I$4,"'!N41")))</f>
        <v>OR[6,8]</v>
      </c>
      <c r="J41" s="126" t="str">
        <f ca="1">IF(INDIRECT(CONCATENATE("'",'Inconsistency Data'!$I$4,"'!O41"))="","",INDIRECT(CONCATENATE("'",'Inconsistency Data'!$I$4,"'!O41")))</f>
        <v>INDOIVCONT versus IBUPOHIGHDOSE</v>
      </c>
      <c r="K41" s="127">
        <f ca="1">IF(INDIRECT(CONCATENATE("'",'Inconsistency Data'!$I$4,"'!Q41"))="","",INDIRECT(CONCATENATE("'",'Inconsistency Data'!$I$4,"'!Q41")))</f>
        <v>0.30980000000000002</v>
      </c>
      <c r="L41" s="128" t="str">
        <f>IF(D41="","",IF((INDEX('RE Inconsistency Results'!$H$1:$H$500,MATCH(SUBSTITUTE(D41,"OR","d"),'RE Inconsistency Results'!$B$1:$B$500,0),1))-(INDEX('RE Inconsistency Results'!$F$1:$F$500,MATCH(SUBSTITUTE(D41,"OR","d"),'RE Inconsistency Results'!$B$1:$B$500,0),1))&gt;50,"N/A",EXP(INDEX('RE Inconsistency Results'!$G$1:$G$500,MATCH(SUBSTITUTE(D41,"OR","d"),'RE Inconsistency Results'!$B$1:$B$500,0),1))))</f>
        <v/>
      </c>
    </row>
    <row r="42" spans="4:12" x14ac:dyDescent="0.25">
      <c r="D42" s="125" t="str">
        <f>IF('Fixed Effects'!N42="","",'Fixed Effects'!N42)</f>
        <v/>
      </c>
      <c r="E42" s="126" t="str">
        <f>IF('Fixed Effects'!O42="","",'Fixed Effects'!O42)</f>
        <v/>
      </c>
      <c r="F42" s="127" t="str">
        <f>IF('Fixed Effects'!Q42="","",'Fixed Effects'!Q42)</f>
        <v/>
      </c>
      <c r="G42" s="128" t="str">
        <f>IF(D42="","",IF((INDEX('FE Inconsistency Results'!$H$1:$H$500,MATCH(SUBSTITUTE(D42,"OR","d"),'FE Inconsistency Results'!$B$1:$B$500,0),1))-(INDEX('FE Inconsistency Results'!$F$1:$F$500,MATCH(SUBSTITUTE(D42,"OR","d"),'FE Inconsistency Results'!$B$1:$B$500,0),1))&gt;50,"N/A",EXP(INDEX('FE Inconsistency Results'!$G$1:$G$500,MATCH(SUBSTITUTE(D42,"OR","d"),'FE Inconsistency Results'!$B$1:$B$500,0),1))))</f>
        <v/>
      </c>
      <c r="I42" s="138" t="str">
        <f ca="1">IF(INDIRECT(CONCATENATE("'",'Inconsistency Data'!$I$4,"'!N42"))="","",INDIRECT(CONCATENATE("'",'Inconsistency Data'!$I$4,"'!N42")))</f>
        <v>OR[6,9]</v>
      </c>
      <c r="J42" s="126" t="str">
        <f ca="1">IF(INDIRECT(CONCATENATE("'",'Inconsistency Data'!$I$4,"'!O42"))="","",INDIRECT(CONCATENATE("'",'Inconsistency Data'!$I$4,"'!O42")))</f>
        <v>INDOTHERS versus IBUPOHIGHDOSE</v>
      </c>
      <c r="K42" s="127">
        <f ca="1">IF(INDIRECT(CONCATENATE("'",'Inconsistency Data'!$I$4,"'!Q42"))="","",INDIRECT(CONCATENATE("'",'Inconsistency Data'!$I$4,"'!Q42")))</f>
        <v>0.45889999999999997</v>
      </c>
      <c r="L42" s="128" t="str">
        <f>IF(D42="","",IF((INDEX('RE Inconsistency Results'!$H$1:$H$500,MATCH(SUBSTITUTE(D42,"OR","d"),'RE Inconsistency Results'!$B$1:$B$500,0),1))-(INDEX('RE Inconsistency Results'!$F$1:$F$500,MATCH(SUBSTITUTE(D42,"OR","d"),'RE Inconsistency Results'!$B$1:$B$500,0),1))&gt;50,"N/A",EXP(INDEX('RE Inconsistency Results'!$G$1:$G$500,MATCH(SUBSTITUTE(D42,"OR","d"),'RE Inconsistency Results'!$B$1:$B$500,0),1))))</f>
        <v/>
      </c>
    </row>
    <row r="43" spans="4:12" x14ac:dyDescent="0.25">
      <c r="D43" s="125" t="str">
        <f>IF('Fixed Effects'!N43="","",'Fixed Effects'!N43)</f>
        <v/>
      </c>
      <c r="E43" s="126" t="str">
        <f>IF('Fixed Effects'!O43="","",'Fixed Effects'!O43)</f>
        <v/>
      </c>
      <c r="F43" s="127" t="str">
        <f>IF('Fixed Effects'!Q43="","",'Fixed Effects'!Q43)</f>
        <v/>
      </c>
      <c r="G43" s="128" t="str">
        <f>IF(D43="","",IF((INDEX('FE Inconsistency Results'!$H$1:$H$500,MATCH(SUBSTITUTE(D43,"OR","d"),'FE Inconsistency Results'!$B$1:$B$500,0),1))-(INDEX('FE Inconsistency Results'!$F$1:$F$500,MATCH(SUBSTITUTE(D43,"OR","d"),'FE Inconsistency Results'!$B$1:$B$500,0),1))&gt;50,"N/A",EXP(INDEX('FE Inconsistency Results'!$G$1:$G$500,MATCH(SUBSTITUTE(D43,"OR","d"),'FE Inconsistency Results'!$B$1:$B$500,0),1))))</f>
        <v/>
      </c>
      <c r="I43" s="138" t="str">
        <f ca="1">IF(INDIRECT(CONCATENATE("'",'Inconsistency Data'!$I$4,"'!N43"))="","",INDIRECT(CONCATENATE("'",'Inconsistency Data'!$I$4,"'!N43")))</f>
        <v>OR[6,10]</v>
      </c>
      <c r="J43" s="126" t="str">
        <f ca="1">IF(INDIRECT(CONCATENATE("'",'Inconsistency Data'!$I$4,"'!O43"))="","",INDIRECT(CONCATENATE("'",'Inconsistency Data'!$I$4,"'!O43")))</f>
        <v>PLAC_NORX versus IBUPOHIGHDOSE</v>
      </c>
      <c r="K43" s="127">
        <f ca="1">IF(INDIRECT(CONCATENATE("'",'Inconsistency Data'!$I$4,"'!Q43"))="","",INDIRECT(CONCATENATE("'",'Inconsistency Data'!$I$4,"'!Q43")))</f>
        <v>6.3109999999999999E-2</v>
      </c>
      <c r="L43" s="128" t="str">
        <f>IF(D43="","",IF((INDEX('RE Inconsistency Results'!$H$1:$H$500,MATCH(SUBSTITUTE(D43,"OR","d"),'RE Inconsistency Results'!$B$1:$B$500,0),1))-(INDEX('RE Inconsistency Results'!$F$1:$F$500,MATCH(SUBSTITUTE(D43,"OR","d"),'RE Inconsistency Results'!$B$1:$B$500,0),1))&gt;50,"N/A",EXP(INDEX('RE Inconsistency Results'!$G$1:$G$500,MATCH(SUBSTITUTE(D43,"OR","d"),'RE Inconsistency Results'!$B$1:$B$500,0),1))))</f>
        <v/>
      </c>
    </row>
    <row r="44" spans="4:12" x14ac:dyDescent="0.25">
      <c r="D44" s="125" t="str">
        <f>IF('Fixed Effects'!N44="","",'Fixed Effects'!N44)</f>
        <v/>
      </c>
      <c r="E44" s="126" t="str">
        <f>IF('Fixed Effects'!O44="","",'Fixed Effects'!O44)</f>
        <v/>
      </c>
      <c r="F44" s="127" t="str">
        <f>IF('Fixed Effects'!Q44="","",'Fixed Effects'!Q44)</f>
        <v/>
      </c>
      <c r="G44" s="128" t="str">
        <f>IF(D44="","",IF((INDEX('FE Inconsistency Results'!$H$1:$H$500,MATCH(SUBSTITUTE(D44,"OR","d"),'FE Inconsistency Results'!$B$1:$B$500,0),1))-(INDEX('FE Inconsistency Results'!$F$1:$F$500,MATCH(SUBSTITUTE(D44,"OR","d"),'FE Inconsistency Results'!$B$1:$B$500,0),1))&gt;50,"N/A",EXP(INDEX('FE Inconsistency Results'!$G$1:$G$500,MATCH(SUBSTITUTE(D44,"OR","d"),'FE Inconsistency Results'!$B$1:$B$500,0),1))))</f>
        <v/>
      </c>
      <c r="I44" s="138" t="str">
        <f ca="1">IF(INDIRECT(CONCATENATE("'",'Inconsistency Data'!$I$4,"'!N44"))="","",INDIRECT(CONCATENATE("'",'Inconsistency Data'!$I$4,"'!N44")))</f>
        <v>OR[7,8]</v>
      </c>
      <c r="J44" s="126" t="str">
        <f ca="1">IF(INDIRECT(CONCATENATE("'",'Inconsistency Data'!$I$4,"'!O44"))="","",INDIRECT(CONCATENATE("'",'Inconsistency Data'!$I$4,"'!O44")))</f>
        <v>INDOIVCONT versus IBUIVCONT</v>
      </c>
      <c r="K44" s="127">
        <f ca="1">IF(INDIRECT(CONCATENATE("'",'Inconsistency Data'!$I$4,"'!Q44"))="","",INDIRECT(CONCATENATE("'",'Inconsistency Data'!$I$4,"'!Q44")))</f>
        <v>1.859</v>
      </c>
      <c r="L44" s="128" t="str">
        <f>IF(D44="","",IF((INDEX('RE Inconsistency Results'!$H$1:$H$500,MATCH(SUBSTITUTE(D44,"OR","d"),'RE Inconsistency Results'!$B$1:$B$500,0),1))-(INDEX('RE Inconsistency Results'!$F$1:$F$500,MATCH(SUBSTITUTE(D44,"OR","d"),'RE Inconsistency Results'!$B$1:$B$500,0),1))&gt;50,"N/A",EXP(INDEX('RE Inconsistency Results'!$G$1:$G$500,MATCH(SUBSTITUTE(D44,"OR","d"),'RE Inconsistency Results'!$B$1:$B$500,0),1))))</f>
        <v/>
      </c>
    </row>
    <row r="45" spans="4:12" x14ac:dyDescent="0.25">
      <c r="D45" s="125" t="str">
        <f>IF('Fixed Effects'!N45="","",'Fixed Effects'!N45)</f>
        <v/>
      </c>
      <c r="E45" s="126" t="str">
        <f>IF('Fixed Effects'!O45="","",'Fixed Effects'!O45)</f>
        <v/>
      </c>
      <c r="F45" s="127" t="str">
        <f>IF('Fixed Effects'!Q45="","",'Fixed Effects'!Q45)</f>
        <v/>
      </c>
      <c r="G45" s="128" t="str">
        <f>IF(D45="","",IF((INDEX('FE Inconsistency Results'!$H$1:$H$500,MATCH(SUBSTITUTE(D45,"OR","d"),'FE Inconsistency Results'!$B$1:$B$500,0),1))-(INDEX('FE Inconsistency Results'!$F$1:$F$500,MATCH(SUBSTITUTE(D45,"OR","d"),'FE Inconsistency Results'!$B$1:$B$500,0),1))&gt;50,"N/A",EXP(INDEX('FE Inconsistency Results'!$G$1:$G$500,MATCH(SUBSTITUTE(D45,"OR","d"),'FE Inconsistency Results'!$B$1:$B$500,0),1))))</f>
        <v/>
      </c>
      <c r="I45" s="138" t="str">
        <f ca="1">IF(INDIRECT(CONCATENATE("'",'Inconsistency Data'!$I$4,"'!N45"))="","",INDIRECT(CONCATENATE("'",'Inconsistency Data'!$I$4,"'!N45")))</f>
        <v>OR[7,9]</v>
      </c>
      <c r="J45" s="126" t="str">
        <f ca="1">IF(INDIRECT(CONCATENATE("'",'Inconsistency Data'!$I$4,"'!O45"))="","",INDIRECT(CONCATENATE("'",'Inconsistency Data'!$I$4,"'!O45")))</f>
        <v>INDOTHERS versus IBUIVCONT</v>
      </c>
      <c r="K45" s="127">
        <f ca="1">IF(INDIRECT(CONCATENATE("'",'Inconsistency Data'!$I$4,"'!Q45"))="","",INDIRECT(CONCATENATE("'",'Inconsistency Data'!$I$4,"'!Q45")))</f>
        <v>2.7669999999999999</v>
      </c>
      <c r="L45" s="128" t="str">
        <f>IF(D45="","",IF((INDEX('RE Inconsistency Results'!$H$1:$H$500,MATCH(SUBSTITUTE(D45,"OR","d"),'RE Inconsistency Results'!$B$1:$B$500,0),1))-(INDEX('RE Inconsistency Results'!$F$1:$F$500,MATCH(SUBSTITUTE(D45,"OR","d"),'RE Inconsistency Results'!$B$1:$B$500,0),1))&gt;50,"N/A",EXP(INDEX('RE Inconsistency Results'!$G$1:$G$500,MATCH(SUBSTITUTE(D45,"OR","d"),'RE Inconsistency Results'!$B$1:$B$500,0),1))))</f>
        <v/>
      </c>
    </row>
    <row r="46" spans="4:12" x14ac:dyDescent="0.25">
      <c r="D46" s="125" t="str">
        <f>IF('Fixed Effects'!N46="","",'Fixed Effects'!N46)</f>
        <v/>
      </c>
      <c r="E46" s="126" t="str">
        <f>IF('Fixed Effects'!O46="","",'Fixed Effects'!O46)</f>
        <v/>
      </c>
      <c r="F46" s="127" t="str">
        <f>IF('Fixed Effects'!Q46="","",'Fixed Effects'!Q46)</f>
        <v/>
      </c>
      <c r="G46" s="128" t="str">
        <f>IF(D46="","",IF((INDEX('FE Inconsistency Results'!$H$1:$H$500,MATCH(SUBSTITUTE(D46,"OR","d"),'FE Inconsistency Results'!$B$1:$B$500,0),1))-(INDEX('FE Inconsistency Results'!$F$1:$F$500,MATCH(SUBSTITUTE(D46,"OR","d"),'FE Inconsistency Results'!$B$1:$B$500,0),1))&gt;50,"N/A",EXP(INDEX('FE Inconsistency Results'!$G$1:$G$500,MATCH(SUBSTITUTE(D46,"OR","d"),'FE Inconsistency Results'!$B$1:$B$500,0),1))))</f>
        <v/>
      </c>
      <c r="I46" s="138" t="str">
        <f ca="1">IF(INDIRECT(CONCATENATE("'",'Inconsistency Data'!$I$4,"'!N46"))="","",INDIRECT(CONCATENATE("'",'Inconsistency Data'!$I$4,"'!N46")))</f>
        <v>OR[7,10]</v>
      </c>
      <c r="J46" s="126" t="str">
        <f ca="1">IF(INDIRECT(CONCATENATE("'",'Inconsistency Data'!$I$4,"'!O46"))="","",INDIRECT(CONCATENATE("'",'Inconsistency Data'!$I$4,"'!O46")))</f>
        <v>PLAC_NORX versus IBUIVCONT</v>
      </c>
      <c r="K46" s="127">
        <f ca="1">IF(INDIRECT(CONCATENATE("'",'Inconsistency Data'!$I$4,"'!Q46"))="","",INDIRECT(CONCATENATE("'",'Inconsistency Data'!$I$4,"'!Q46")))</f>
        <v>0.38090000000000002</v>
      </c>
      <c r="L46" s="128" t="str">
        <f>IF(D46="","",IF((INDEX('RE Inconsistency Results'!$H$1:$H$500,MATCH(SUBSTITUTE(D46,"OR","d"),'RE Inconsistency Results'!$B$1:$B$500,0),1))-(INDEX('RE Inconsistency Results'!$F$1:$F$500,MATCH(SUBSTITUTE(D46,"OR","d"),'RE Inconsistency Results'!$B$1:$B$500,0),1))&gt;50,"N/A",EXP(INDEX('RE Inconsistency Results'!$G$1:$G$500,MATCH(SUBSTITUTE(D46,"OR","d"),'RE Inconsistency Results'!$B$1:$B$500,0),1))))</f>
        <v/>
      </c>
    </row>
    <row r="47" spans="4:12" x14ac:dyDescent="0.25">
      <c r="D47" s="125" t="str">
        <f>IF('Fixed Effects'!N47="","",'Fixed Effects'!N47)</f>
        <v/>
      </c>
      <c r="E47" s="126" t="str">
        <f>IF('Fixed Effects'!O47="","",'Fixed Effects'!O47)</f>
        <v/>
      </c>
      <c r="F47" s="127" t="str">
        <f>IF('Fixed Effects'!Q47="","",'Fixed Effects'!Q47)</f>
        <v/>
      </c>
      <c r="G47" s="128" t="str">
        <f>IF(D47="","",IF((INDEX('FE Inconsistency Results'!$H$1:$H$500,MATCH(SUBSTITUTE(D47,"OR","d"),'FE Inconsistency Results'!$B$1:$B$500,0),1))-(INDEX('FE Inconsistency Results'!$F$1:$F$500,MATCH(SUBSTITUTE(D47,"OR","d"),'FE Inconsistency Results'!$B$1:$B$500,0),1))&gt;50,"N/A",EXP(INDEX('FE Inconsistency Results'!$G$1:$G$500,MATCH(SUBSTITUTE(D47,"OR","d"),'FE Inconsistency Results'!$B$1:$B$500,0),1))))</f>
        <v/>
      </c>
      <c r="I47" s="138" t="str">
        <f ca="1">IF(INDIRECT(CONCATENATE("'",'Inconsistency Data'!$I$4,"'!N47"))="","",INDIRECT(CONCATENATE("'",'Inconsistency Data'!$I$4,"'!N47")))</f>
        <v>OR[8,9]</v>
      </c>
      <c r="J47" s="126" t="str">
        <f ca="1">IF(INDIRECT(CONCATENATE("'",'Inconsistency Data'!$I$4,"'!O47"))="","",INDIRECT(CONCATENATE("'",'Inconsistency Data'!$I$4,"'!O47")))</f>
        <v>INDOTHERS versus INDOIVCONT</v>
      </c>
      <c r="K47" s="127">
        <f ca="1">IF(INDIRECT(CONCATENATE("'",'Inconsistency Data'!$I$4,"'!Q47"))="","",INDIRECT(CONCATENATE("'",'Inconsistency Data'!$I$4,"'!Q47")))</f>
        <v>1.508</v>
      </c>
      <c r="L47" s="128" t="str">
        <f>IF(D47="","",IF((INDEX('RE Inconsistency Results'!$H$1:$H$500,MATCH(SUBSTITUTE(D47,"OR","d"),'RE Inconsistency Results'!$B$1:$B$500,0),1))-(INDEX('RE Inconsistency Results'!$F$1:$F$500,MATCH(SUBSTITUTE(D47,"OR","d"),'RE Inconsistency Results'!$B$1:$B$500,0),1))&gt;50,"N/A",EXP(INDEX('RE Inconsistency Results'!$G$1:$G$500,MATCH(SUBSTITUTE(D47,"OR","d"),'RE Inconsistency Results'!$B$1:$B$500,0),1))))</f>
        <v/>
      </c>
    </row>
    <row r="48" spans="4:12" x14ac:dyDescent="0.25">
      <c r="D48" s="125" t="str">
        <f>IF('Fixed Effects'!N48="","",'Fixed Effects'!N48)</f>
        <v/>
      </c>
      <c r="E48" s="126" t="str">
        <f>IF('Fixed Effects'!O48="","",'Fixed Effects'!O48)</f>
        <v/>
      </c>
      <c r="F48" s="127" t="str">
        <f>IF('Fixed Effects'!Q48="","",'Fixed Effects'!Q48)</f>
        <v/>
      </c>
      <c r="G48" s="128" t="str">
        <f>IF(D48="","",IF((INDEX('FE Inconsistency Results'!$H$1:$H$500,MATCH(SUBSTITUTE(D48,"OR","d"),'FE Inconsistency Results'!$B$1:$B$500,0),1))-(INDEX('FE Inconsistency Results'!$F$1:$F$500,MATCH(SUBSTITUTE(D48,"OR","d"),'FE Inconsistency Results'!$B$1:$B$500,0),1))&gt;50,"N/A",EXP(INDEX('FE Inconsistency Results'!$G$1:$G$500,MATCH(SUBSTITUTE(D48,"OR","d"),'FE Inconsistency Results'!$B$1:$B$500,0),1))))</f>
        <v/>
      </c>
      <c r="I48" s="138" t="str">
        <f ca="1">IF(INDIRECT(CONCATENATE("'",'Inconsistency Data'!$I$4,"'!N48"))="","",INDIRECT(CONCATENATE("'",'Inconsistency Data'!$I$4,"'!N48")))</f>
        <v>OR[8,10]</v>
      </c>
      <c r="J48" s="126" t="str">
        <f ca="1">IF(INDIRECT(CONCATENATE("'",'Inconsistency Data'!$I$4,"'!O48"))="","",INDIRECT(CONCATENATE("'",'Inconsistency Data'!$I$4,"'!O48")))</f>
        <v>PLAC_NORX versus INDOIVCONT</v>
      </c>
      <c r="K48" s="127">
        <f ca="1">IF(INDIRECT(CONCATENATE("'",'Inconsistency Data'!$I$4,"'!Q48"))="","",INDIRECT(CONCATENATE("'",'Inconsistency Data'!$I$4,"'!Q48")))</f>
        <v>0.2051</v>
      </c>
      <c r="L48" s="128" t="str">
        <f>IF(D48="","",IF((INDEX('RE Inconsistency Results'!$H$1:$H$500,MATCH(SUBSTITUTE(D48,"OR","d"),'RE Inconsistency Results'!$B$1:$B$500,0),1))-(INDEX('RE Inconsistency Results'!$F$1:$F$500,MATCH(SUBSTITUTE(D48,"OR","d"),'RE Inconsistency Results'!$B$1:$B$500,0),1))&gt;50,"N/A",EXP(INDEX('RE Inconsistency Results'!$G$1:$G$500,MATCH(SUBSTITUTE(D48,"OR","d"),'RE Inconsistency Results'!$B$1:$B$500,0),1))))</f>
        <v/>
      </c>
    </row>
    <row r="49" spans="4:12" x14ac:dyDescent="0.25">
      <c r="D49" s="125" t="str">
        <f>IF('Fixed Effects'!N49="","",'Fixed Effects'!N49)</f>
        <v/>
      </c>
      <c r="E49" s="126" t="str">
        <f>IF('Fixed Effects'!O49="","",'Fixed Effects'!O49)</f>
        <v/>
      </c>
      <c r="F49" s="127" t="str">
        <f>IF('Fixed Effects'!Q49="","",'Fixed Effects'!Q49)</f>
        <v/>
      </c>
      <c r="G49" s="128" t="str">
        <f>IF(D49="","",IF((INDEX('FE Inconsistency Results'!$H$1:$H$500,MATCH(SUBSTITUTE(D49,"OR","d"),'FE Inconsistency Results'!$B$1:$B$500,0),1))-(INDEX('FE Inconsistency Results'!$F$1:$F$500,MATCH(SUBSTITUTE(D49,"OR","d"),'FE Inconsistency Results'!$B$1:$B$500,0),1))&gt;50,"N/A",EXP(INDEX('FE Inconsistency Results'!$G$1:$G$500,MATCH(SUBSTITUTE(D49,"OR","d"),'FE Inconsistency Results'!$B$1:$B$500,0),1))))</f>
        <v/>
      </c>
      <c r="I49" s="138" t="str">
        <f ca="1">IF(INDIRECT(CONCATENATE("'",'Inconsistency Data'!$I$4,"'!N49"))="","",INDIRECT(CONCATENATE("'",'Inconsistency Data'!$I$4,"'!N49")))</f>
        <v>OR[9,10]</v>
      </c>
      <c r="J49" s="126" t="str">
        <f ca="1">IF(INDIRECT(CONCATENATE("'",'Inconsistency Data'!$I$4,"'!O49"))="","",INDIRECT(CONCATENATE("'",'Inconsistency Data'!$I$4,"'!O49")))</f>
        <v>PLAC_NORX versus INDOTHERS</v>
      </c>
      <c r="K49" s="127">
        <f ca="1">IF(INDIRECT(CONCATENATE("'",'Inconsistency Data'!$I$4,"'!Q49"))="","",INDIRECT(CONCATENATE("'",'Inconsistency Data'!$I$4,"'!Q49")))</f>
        <v>0.13589999999999999</v>
      </c>
      <c r="L49" s="128" t="str">
        <f>IF(D49="","",IF((INDEX('RE Inconsistency Results'!$H$1:$H$500,MATCH(SUBSTITUTE(D49,"OR","d"),'RE Inconsistency Results'!$B$1:$B$500,0),1))-(INDEX('RE Inconsistency Results'!$F$1:$F$500,MATCH(SUBSTITUTE(D49,"OR","d"),'RE Inconsistency Results'!$B$1:$B$500,0),1))&gt;50,"N/A",EXP(INDEX('RE Inconsistency Results'!$G$1:$G$500,MATCH(SUBSTITUTE(D49,"OR","d"),'RE Inconsistency Results'!$B$1:$B$500,0),1))))</f>
        <v/>
      </c>
    </row>
    <row r="50" spans="4:12" x14ac:dyDescent="0.25">
      <c r="D50" s="125" t="str">
        <f>IF('Fixed Effects'!N50="","",'Fixed Effects'!N50)</f>
        <v/>
      </c>
      <c r="E50" s="126" t="str">
        <f>IF('Fixed Effects'!O50="","",'Fixed Effects'!O50)</f>
        <v/>
      </c>
      <c r="F50" s="127" t="str">
        <f>IF('Fixed Effects'!Q50="","",'Fixed Effects'!Q50)</f>
        <v/>
      </c>
      <c r="G50" s="128" t="str">
        <f>IF(D50="","",IF((INDEX('FE Inconsistency Results'!$H$1:$H$500,MATCH(SUBSTITUTE(D50,"OR","d"),'FE Inconsistency Results'!$B$1:$B$500,0),1))-(INDEX('FE Inconsistency Results'!$F$1:$F$500,MATCH(SUBSTITUTE(D50,"OR","d"),'FE Inconsistency Results'!$B$1:$B$500,0),1))&gt;50,"N/A",EXP(INDEX('FE Inconsistency Results'!$G$1:$G$500,MATCH(SUBSTITUTE(D50,"OR","d"),'FE Inconsistency Results'!$B$1:$B$500,0),1))))</f>
        <v/>
      </c>
      <c r="I50" s="138" t="str">
        <f ca="1">IF(INDIRECT(CONCATENATE("'",'Inconsistency Data'!$I$4,"'!N50"))="","",INDIRECT(CONCATENATE("'",'Inconsistency Data'!$I$4,"'!N50")))</f>
        <v/>
      </c>
      <c r="J50" s="126" t="str">
        <f ca="1">IF(INDIRECT(CONCATENATE("'",'Inconsistency Data'!$I$4,"'!O50"))="","",INDIRECT(CONCATENATE("'",'Inconsistency Data'!$I$4,"'!O50")))</f>
        <v/>
      </c>
      <c r="K50" s="127" t="str">
        <f ca="1">IF(INDIRECT(CONCATENATE("'",'Inconsistency Data'!$I$4,"'!Q50"))="","",INDIRECT(CONCATENATE("'",'Inconsistency Data'!$I$4,"'!Q50")))</f>
        <v/>
      </c>
      <c r="L50" s="128" t="str">
        <f>IF(D50="","",IF((INDEX('RE Inconsistency Results'!$H$1:$H$500,MATCH(SUBSTITUTE(D50,"OR","d"),'RE Inconsistency Results'!$B$1:$B$500,0),1))-(INDEX('RE Inconsistency Results'!$F$1:$F$500,MATCH(SUBSTITUTE(D50,"OR","d"),'RE Inconsistency Results'!$B$1:$B$500,0),1))&gt;50,"N/A",EXP(INDEX('RE Inconsistency Results'!$G$1:$G$500,MATCH(SUBSTITUTE(D50,"OR","d"),'RE Inconsistency Results'!$B$1:$B$500,0),1))))</f>
        <v/>
      </c>
    </row>
    <row r="51" spans="4:12" x14ac:dyDescent="0.25">
      <c r="D51" s="125" t="str">
        <f>IF('Fixed Effects'!N51="","",'Fixed Effects'!N51)</f>
        <v/>
      </c>
      <c r="E51" s="126" t="str">
        <f>IF('Fixed Effects'!O51="","",'Fixed Effects'!O51)</f>
        <v/>
      </c>
      <c r="F51" s="127" t="str">
        <f>IF('Fixed Effects'!Q51="","",'Fixed Effects'!Q51)</f>
        <v/>
      </c>
      <c r="G51" s="128" t="str">
        <f>IF(D51="","",IF((INDEX('FE Inconsistency Results'!$H$1:$H$500,MATCH(SUBSTITUTE(D51,"OR","d"),'FE Inconsistency Results'!$B$1:$B$500,0),1))-(INDEX('FE Inconsistency Results'!$F$1:$F$500,MATCH(SUBSTITUTE(D51,"OR","d"),'FE Inconsistency Results'!$B$1:$B$500,0),1))&gt;50,"N/A",EXP(INDEX('FE Inconsistency Results'!$G$1:$G$500,MATCH(SUBSTITUTE(D51,"OR","d"),'FE Inconsistency Results'!$B$1:$B$500,0),1))))</f>
        <v/>
      </c>
      <c r="I51" s="138" t="str">
        <f ca="1">IF(INDIRECT(CONCATENATE("'",'Inconsistency Data'!$I$4,"'!N51"))="","",INDIRECT(CONCATENATE("'",'Inconsistency Data'!$I$4,"'!N51")))</f>
        <v/>
      </c>
      <c r="J51" s="126" t="str">
        <f ca="1">IF(INDIRECT(CONCATENATE("'",'Inconsistency Data'!$I$4,"'!O51"))="","",INDIRECT(CONCATENATE("'",'Inconsistency Data'!$I$4,"'!O51")))</f>
        <v/>
      </c>
      <c r="K51" s="127" t="str">
        <f ca="1">IF(INDIRECT(CONCATENATE("'",'Inconsistency Data'!$I$4,"'!Q51"))="","",INDIRECT(CONCATENATE("'",'Inconsistency Data'!$I$4,"'!Q51")))</f>
        <v/>
      </c>
      <c r="L51" s="128" t="str">
        <f>IF(D51="","",IF((INDEX('RE Inconsistency Results'!$H$1:$H$500,MATCH(SUBSTITUTE(D51,"OR","d"),'RE Inconsistency Results'!$B$1:$B$500,0),1))-(INDEX('RE Inconsistency Results'!$F$1:$F$500,MATCH(SUBSTITUTE(D51,"OR","d"),'RE Inconsistency Results'!$B$1:$B$500,0),1))&gt;50,"N/A",EXP(INDEX('RE Inconsistency Results'!$G$1:$G$500,MATCH(SUBSTITUTE(D51,"OR","d"),'RE Inconsistency Results'!$B$1:$B$500,0),1))))</f>
        <v/>
      </c>
    </row>
    <row r="52" spans="4:12" x14ac:dyDescent="0.25">
      <c r="D52" s="125" t="str">
        <f>IF('Fixed Effects'!N52="","",'Fixed Effects'!N52)</f>
        <v/>
      </c>
      <c r="E52" s="126" t="str">
        <f>IF('Fixed Effects'!O52="","",'Fixed Effects'!O52)</f>
        <v/>
      </c>
      <c r="F52" s="127" t="str">
        <f>IF('Fixed Effects'!Q52="","",'Fixed Effects'!Q52)</f>
        <v/>
      </c>
      <c r="G52" s="128" t="str">
        <f>IF(D52="","",IF((INDEX('FE Inconsistency Results'!$H$1:$H$500,MATCH(SUBSTITUTE(D52,"OR","d"),'FE Inconsistency Results'!$B$1:$B$500,0),1))-(INDEX('FE Inconsistency Results'!$F$1:$F$500,MATCH(SUBSTITUTE(D52,"OR","d"),'FE Inconsistency Results'!$B$1:$B$500,0),1))&gt;50,"N/A",EXP(INDEX('FE Inconsistency Results'!$G$1:$G$500,MATCH(SUBSTITUTE(D52,"OR","d"),'FE Inconsistency Results'!$B$1:$B$500,0),1))))</f>
        <v/>
      </c>
      <c r="I52" s="138" t="str">
        <f ca="1">IF(INDIRECT(CONCATENATE("'",'Inconsistency Data'!$I$4,"'!N52"))="","",INDIRECT(CONCATENATE("'",'Inconsistency Data'!$I$4,"'!N52")))</f>
        <v/>
      </c>
      <c r="J52" s="126" t="str">
        <f ca="1">IF(INDIRECT(CONCATENATE("'",'Inconsistency Data'!$I$4,"'!O52"))="","",INDIRECT(CONCATENATE("'",'Inconsistency Data'!$I$4,"'!O52")))</f>
        <v/>
      </c>
      <c r="K52" s="127" t="str">
        <f ca="1">IF(INDIRECT(CONCATENATE("'",'Inconsistency Data'!$I$4,"'!Q52"))="","",INDIRECT(CONCATENATE("'",'Inconsistency Data'!$I$4,"'!Q52")))</f>
        <v/>
      </c>
      <c r="L52" s="128" t="str">
        <f>IF(D52="","",IF((INDEX('RE Inconsistency Results'!$H$1:$H$500,MATCH(SUBSTITUTE(D52,"OR","d"),'RE Inconsistency Results'!$B$1:$B$500,0),1))-(INDEX('RE Inconsistency Results'!$F$1:$F$500,MATCH(SUBSTITUTE(D52,"OR","d"),'RE Inconsistency Results'!$B$1:$B$500,0),1))&gt;50,"N/A",EXP(INDEX('RE Inconsistency Results'!$G$1:$G$500,MATCH(SUBSTITUTE(D52,"OR","d"),'RE Inconsistency Results'!$B$1:$B$500,0),1))))</f>
        <v/>
      </c>
    </row>
    <row r="53" spans="4:12" x14ac:dyDescent="0.25">
      <c r="D53" s="125" t="str">
        <f>IF('Fixed Effects'!N53="","",'Fixed Effects'!N53)</f>
        <v/>
      </c>
      <c r="E53" s="126" t="str">
        <f>IF('Fixed Effects'!O53="","",'Fixed Effects'!O53)</f>
        <v/>
      </c>
      <c r="F53" s="127" t="str">
        <f>IF('Fixed Effects'!Q53="","",'Fixed Effects'!Q53)</f>
        <v/>
      </c>
      <c r="G53" s="128" t="str">
        <f>IF(D53="","",IF((INDEX('FE Inconsistency Results'!$H$1:$H$500,MATCH(SUBSTITUTE(D53,"OR","d"),'FE Inconsistency Results'!$B$1:$B$500,0),1))-(INDEX('FE Inconsistency Results'!$F$1:$F$500,MATCH(SUBSTITUTE(D53,"OR","d"),'FE Inconsistency Results'!$B$1:$B$500,0),1))&gt;50,"N/A",EXP(INDEX('FE Inconsistency Results'!$G$1:$G$500,MATCH(SUBSTITUTE(D53,"OR","d"),'FE Inconsistency Results'!$B$1:$B$500,0),1))))</f>
        <v/>
      </c>
      <c r="I53" s="138" t="str">
        <f ca="1">IF(INDIRECT(CONCATENATE("'",'Inconsistency Data'!$I$4,"'!N53"))="","",INDIRECT(CONCATENATE("'",'Inconsistency Data'!$I$4,"'!N53")))</f>
        <v/>
      </c>
      <c r="J53" s="126" t="str">
        <f ca="1">IF(INDIRECT(CONCATENATE("'",'Inconsistency Data'!$I$4,"'!O53"))="","",INDIRECT(CONCATENATE("'",'Inconsistency Data'!$I$4,"'!O53")))</f>
        <v/>
      </c>
      <c r="K53" s="127" t="str">
        <f ca="1">IF(INDIRECT(CONCATENATE("'",'Inconsistency Data'!$I$4,"'!Q53"))="","",INDIRECT(CONCATENATE("'",'Inconsistency Data'!$I$4,"'!Q53")))</f>
        <v/>
      </c>
      <c r="L53" s="128" t="str">
        <f>IF(D53="","",IF((INDEX('RE Inconsistency Results'!$H$1:$H$500,MATCH(SUBSTITUTE(D53,"OR","d"),'RE Inconsistency Results'!$B$1:$B$500,0),1))-(INDEX('RE Inconsistency Results'!$F$1:$F$500,MATCH(SUBSTITUTE(D53,"OR","d"),'RE Inconsistency Results'!$B$1:$B$500,0),1))&gt;50,"N/A",EXP(INDEX('RE Inconsistency Results'!$G$1:$G$500,MATCH(SUBSTITUTE(D53,"OR","d"),'RE Inconsistency Results'!$B$1:$B$500,0),1))))</f>
        <v/>
      </c>
    </row>
    <row r="54" spans="4:12" x14ac:dyDescent="0.25">
      <c r="D54" s="125" t="str">
        <f>IF('Fixed Effects'!N54="","",'Fixed Effects'!N54)</f>
        <v/>
      </c>
      <c r="E54" s="126" t="str">
        <f>IF('Fixed Effects'!O54="","",'Fixed Effects'!O54)</f>
        <v/>
      </c>
      <c r="F54" s="127" t="str">
        <f>IF('Fixed Effects'!Q54="","",'Fixed Effects'!Q54)</f>
        <v/>
      </c>
      <c r="G54" s="128" t="str">
        <f>IF(D54="","",IF((INDEX('FE Inconsistency Results'!$H$1:$H$500,MATCH(SUBSTITUTE(D54,"OR","d"),'FE Inconsistency Results'!$B$1:$B$500,0),1))-(INDEX('FE Inconsistency Results'!$F$1:$F$500,MATCH(SUBSTITUTE(D54,"OR","d"),'FE Inconsistency Results'!$B$1:$B$500,0),1))&gt;50,"N/A",EXP(INDEX('FE Inconsistency Results'!$G$1:$G$500,MATCH(SUBSTITUTE(D54,"OR","d"),'FE Inconsistency Results'!$B$1:$B$500,0),1))))</f>
        <v/>
      </c>
      <c r="I54" s="138" t="str">
        <f ca="1">IF(INDIRECT(CONCATENATE("'",'Inconsistency Data'!$I$4,"'!N54"))="","",INDIRECT(CONCATENATE("'",'Inconsistency Data'!$I$4,"'!N54")))</f>
        <v/>
      </c>
      <c r="J54" s="126" t="str">
        <f ca="1">IF(INDIRECT(CONCATENATE("'",'Inconsistency Data'!$I$4,"'!O54"))="","",INDIRECT(CONCATENATE("'",'Inconsistency Data'!$I$4,"'!O54")))</f>
        <v/>
      </c>
      <c r="K54" s="127" t="str">
        <f ca="1">IF(INDIRECT(CONCATENATE("'",'Inconsistency Data'!$I$4,"'!Q54"))="","",INDIRECT(CONCATENATE("'",'Inconsistency Data'!$I$4,"'!Q54")))</f>
        <v/>
      </c>
      <c r="L54" s="128" t="str">
        <f>IF(D54="","",IF((INDEX('RE Inconsistency Results'!$H$1:$H$500,MATCH(SUBSTITUTE(D54,"OR","d"),'RE Inconsistency Results'!$B$1:$B$500,0),1))-(INDEX('RE Inconsistency Results'!$F$1:$F$500,MATCH(SUBSTITUTE(D54,"OR","d"),'RE Inconsistency Results'!$B$1:$B$500,0),1))&gt;50,"N/A",EXP(INDEX('RE Inconsistency Results'!$G$1:$G$500,MATCH(SUBSTITUTE(D54,"OR","d"),'RE Inconsistency Results'!$B$1:$B$500,0),1))))</f>
        <v/>
      </c>
    </row>
    <row r="55" spans="4:12" x14ac:dyDescent="0.25">
      <c r="D55" s="125" t="str">
        <f>IF('Fixed Effects'!N55="","",'Fixed Effects'!N55)</f>
        <v/>
      </c>
      <c r="E55" s="126" t="str">
        <f>IF('Fixed Effects'!O55="","",'Fixed Effects'!O55)</f>
        <v/>
      </c>
      <c r="F55" s="127" t="str">
        <f>IF('Fixed Effects'!Q55="","",'Fixed Effects'!Q55)</f>
        <v/>
      </c>
      <c r="G55" s="128" t="str">
        <f>IF(D55="","",IF((INDEX('FE Inconsistency Results'!$H$1:$H$500,MATCH(SUBSTITUTE(D55,"OR","d"),'FE Inconsistency Results'!$B$1:$B$500,0),1))-(INDEX('FE Inconsistency Results'!$F$1:$F$500,MATCH(SUBSTITUTE(D55,"OR","d"),'FE Inconsistency Results'!$B$1:$B$500,0),1))&gt;50,"N/A",EXP(INDEX('FE Inconsistency Results'!$G$1:$G$500,MATCH(SUBSTITUTE(D55,"OR","d"),'FE Inconsistency Results'!$B$1:$B$500,0),1))))</f>
        <v/>
      </c>
      <c r="I55" s="138" t="str">
        <f ca="1">IF(INDIRECT(CONCATENATE("'",'Inconsistency Data'!$I$4,"'!N55"))="","",INDIRECT(CONCATENATE("'",'Inconsistency Data'!$I$4,"'!N55")))</f>
        <v/>
      </c>
      <c r="J55" s="126" t="str">
        <f ca="1">IF(INDIRECT(CONCATENATE("'",'Inconsistency Data'!$I$4,"'!O55"))="","",INDIRECT(CONCATENATE("'",'Inconsistency Data'!$I$4,"'!O55")))</f>
        <v/>
      </c>
      <c r="K55" s="127" t="str">
        <f ca="1">IF(INDIRECT(CONCATENATE("'",'Inconsistency Data'!$I$4,"'!Q55"))="","",INDIRECT(CONCATENATE("'",'Inconsistency Data'!$I$4,"'!Q55")))</f>
        <v/>
      </c>
      <c r="L55" s="128" t="str">
        <f>IF(D55="","",IF((INDEX('RE Inconsistency Results'!$H$1:$H$500,MATCH(SUBSTITUTE(D55,"OR","d"),'RE Inconsistency Results'!$B$1:$B$500,0),1))-(INDEX('RE Inconsistency Results'!$F$1:$F$500,MATCH(SUBSTITUTE(D55,"OR","d"),'RE Inconsistency Results'!$B$1:$B$500,0),1))&gt;50,"N/A",EXP(INDEX('RE Inconsistency Results'!$G$1:$G$500,MATCH(SUBSTITUTE(D55,"OR","d"),'RE Inconsistency Results'!$B$1:$B$500,0),1))))</f>
        <v/>
      </c>
    </row>
    <row r="56" spans="4:12" x14ac:dyDescent="0.25">
      <c r="D56" s="125" t="str">
        <f>IF('Fixed Effects'!N56="","",'Fixed Effects'!N56)</f>
        <v/>
      </c>
      <c r="E56" s="126" t="str">
        <f>IF('Fixed Effects'!O56="","",'Fixed Effects'!O56)</f>
        <v/>
      </c>
      <c r="F56" s="127" t="str">
        <f>IF('Fixed Effects'!Q56="","",'Fixed Effects'!Q56)</f>
        <v/>
      </c>
      <c r="G56" s="128" t="str">
        <f>IF(D56="","",IF((INDEX('FE Inconsistency Results'!$H$1:$H$500,MATCH(SUBSTITUTE(D56,"OR","d"),'FE Inconsistency Results'!$B$1:$B$500,0),1))-(INDEX('FE Inconsistency Results'!$F$1:$F$500,MATCH(SUBSTITUTE(D56,"OR","d"),'FE Inconsistency Results'!$B$1:$B$500,0),1))&gt;50,"N/A",EXP(INDEX('FE Inconsistency Results'!$G$1:$G$500,MATCH(SUBSTITUTE(D56,"OR","d"),'FE Inconsistency Results'!$B$1:$B$500,0),1))))</f>
        <v/>
      </c>
      <c r="I56" s="138" t="str">
        <f ca="1">IF(INDIRECT(CONCATENATE("'",'Inconsistency Data'!$I$4,"'!N56"))="","",INDIRECT(CONCATENATE("'",'Inconsistency Data'!$I$4,"'!N56")))</f>
        <v/>
      </c>
      <c r="J56" s="126" t="str">
        <f ca="1">IF(INDIRECT(CONCATENATE("'",'Inconsistency Data'!$I$4,"'!O56"))="","",INDIRECT(CONCATENATE("'",'Inconsistency Data'!$I$4,"'!O56")))</f>
        <v/>
      </c>
      <c r="K56" s="127" t="str">
        <f ca="1">IF(INDIRECT(CONCATENATE("'",'Inconsistency Data'!$I$4,"'!Q56"))="","",INDIRECT(CONCATENATE("'",'Inconsistency Data'!$I$4,"'!Q56")))</f>
        <v/>
      </c>
      <c r="L56" s="128" t="str">
        <f>IF(D56="","",IF((INDEX('RE Inconsistency Results'!$H$1:$H$500,MATCH(SUBSTITUTE(D56,"OR","d"),'RE Inconsistency Results'!$B$1:$B$500,0),1))-(INDEX('RE Inconsistency Results'!$F$1:$F$500,MATCH(SUBSTITUTE(D56,"OR","d"),'RE Inconsistency Results'!$B$1:$B$500,0),1))&gt;50,"N/A",EXP(INDEX('RE Inconsistency Results'!$G$1:$G$500,MATCH(SUBSTITUTE(D56,"OR","d"),'RE Inconsistency Results'!$B$1:$B$500,0),1))))</f>
        <v/>
      </c>
    </row>
    <row r="57" spans="4:12" x14ac:dyDescent="0.25">
      <c r="D57" s="125" t="str">
        <f>IF('Fixed Effects'!N57="","",'Fixed Effects'!N57)</f>
        <v/>
      </c>
      <c r="E57" s="126" t="str">
        <f>IF('Fixed Effects'!O57="","",'Fixed Effects'!O57)</f>
        <v/>
      </c>
      <c r="F57" s="127" t="str">
        <f>IF('Fixed Effects'!Q57="","",'Fixed Effects'!Q57)</f>
        <v/>
      </c>
      <c r="G57" s="128" t="str">
        <f>IF(D57="","",IF((INDEX('FE Inconsistency Results'!$H$1:$H$500,MATCH(SUBSTITUTE(D57,"OR","d"),'FE Inconsistency Results'!$B$1:$B$500,0),1))-(INDEX('FE Inconsistency Results'!$F$1:$F$500,MATCH(SUBSTITUTE(D57,"OR","d"),'FE Inconsistency Results'!$B$1:$B$500,0),1))&gt;50,"N/A",EXP(INDEX('FE Inconsistency Results'!$G$1:$G$500,MATCH(SUBSTITUTE(D57,"OR","d"),'FE Inconsistency Results'!$B$1:$B$500,0),1))))</f>
        <v/>
      </c>
      <c r="I57" s="138" t="str">
        <f ca="1">IF(INDIRECT(CONCATENATE("'",'Inconsistency Data'!$I$4,"'!N57"))="","",INDIRECT(CONCATENATE("'",'Inconsistency Data'!$I$4,"'!N57")))</f>
        <v/>
      </c>
      <c r="J57" s="126" t="str">
        <f ca="1">IF(INDIRECT(CONCATENATE("'",'Inconsistency Data'!$I$4,"'!O57"))="","",INDIRECT(CONCATENATE("'",'Inconsistency Data'!$I$4,"'!O57")))</f>
        <v/>
      </c>
      <c r="K57" s="127" t="str">
        <f ca="1">IF(INDIRECT(CONCATENATE("'",'Inconsistency Data'!$I$4,"'!Q57"))="","",INDIRECT(CONCATENATE("'",'Inconsistency Data'!$I$4,"'!Q57")))</f>
        <v/>
      </c>
      <c r="L57" s="128" t="str">
        <f>IF(D57="","",IF((INDEX('RE Inconsistency Results'!$H$1:$H$500,MATCH(SUBSTITUTE(D57,"OR","d"),'RE Inconsistency Results'!$B$1:$B$500,0),1))-(INDEX('RE Inconsistency Results'!$F$1:$F$500,MATCH(SUBSTITUTE(D57,"OR","d"),'RE Inconsistency Results'!$B$1:$B$500,0),1))&gt;50,"N/A",EXP(INDEX('RE Inconsistency Results'!$G$1:$G$500,MATCH(SUBSTITUTE(D57,"OR","d"),'RE Inconsistency Results'!$B$1:$B$500,0),1))))</f>
        <v/>
      </c>
    </row>
    <row r="58" spans="4:12" x14ac:dyDescent="0.25">
      <c r="D58" s="125" t="str">
        <f>IF('Fixed Effects'!N58="","",'Fixed Effects'!N58)</f>
        <v/>
      </c>
      <c r="E58" s="126" t="str">
        <f>IF('Fixed Effects'!O58="","",'Fixed Effects'!O58)</f>
        <v/>
      </c>
      <c r="F58" s="127" t="str">
        <f>IF('Fixed Effects'!Q58="","",'Fixed Effects'!Q58)</f>
        <v/>
      </c>
      <c r="G58" s="128" t="str">
        <f>IF(D58="","",IF((INDEX('FE Inconsistency Results'!$H$1:$H$500,MATCH(SUBSTITUTE(D58,"OR","d"),'FE Inconsistency Results'!$B$1:$B$500,0),1))-(INDEX('FE Inconsistency Results'!$F$1:$F$500,MATCH(SUBSTITUTE(D58,"OR","d"),'FE Inconsistency Results'!$B$1:$B$500,0),1))&gt;50,"N/A",EXP(INDEX('FE Inconsistency Results'!$G$1:$G$500,MATCH(SUBSTITUTE(D58,"OR","d"),'FE Inconsistency Results'!$B$1:$B$500,0),1))))</f>
        <v/>
      </c>
      <c r="I58" s="138" t="str">
        <f ca="1">IF(INDIRECT(CONCATENATE("'",'Inconsistency Data'!$I$4,"'!N58"))="","",INDIRECT(CONCATENATE("'",'Inconsistency Data'!$I$4,"'!N58")))</f>
        <v/>
      </c>
      <c r="J58" s="126" t="str">
        <f ca="1">IF(INDIRECT(CONCATENATE("'",'Inconsistency Data'!$I$4,"'!O58"))="","",INDIRECT(CONCATENATE("'",'Inconsistency Data'!$I$4,"'!O58")))</f>
        <v/>
      </c>
      <c r="K58" s="127" t="str">
        <f ca="1">IF(INDIRECT(CONCATENATE("'",'Inconsistency Data'!$I$4,"'!Q58"))="","",INDIRECT(CONCATENATE("'",'Inconsistency Data'!$I$4,"'!Q58")))</f>
        <v/>
      </c>
      <c r="L58" s="128" t="str">
        <f>IF(D58="","",IF((INDEX('RE Inconsistency Results'!$H$1:$H$500,MATCH(SUBSTITUTE(D58,"OR","d"),'RE Inconsistency Results'!$B$1:$B$500,0),1))-(INDEX('RE Inconsistency Results'!$F$1:$F$500,MATCH(SUBSTITUTE(D58,"OR","d"),'RE Inconsistency Results'!$B$1:$B$500,0),1))&gt;50,"N/A",EXP(INDEX('RE Inconsistency Results'!$G$1:$G$500,MATCH(SUBSTITUTE(D58,"OR","d"),'RE Inconsistency Results'!$B$1:$B$500,0),1))))</f>
        <v/>
      </c>
    </row>
    <row r="59" spans="4:12" x14ac:dyDescent="0.25">
      <c r="D59" s="125" t="str">
        <f>IF('Fixed Effects'!N59="","",'Fixed Effects'!N59)</f>
        <v/>
      </c>
      <c r="E59" s="126" t="str">
        <f>IF('Fixed Effects'!O59="","",'Fixed Effects'!O59)</f>
        <v/>
      </c>
      <c r="F59" s="127" t="str">
        <f>IF('Fixed Effects'!Q59="","",'Fixed Effects'!Q59)</f>
        <v/>
      </c>
      <c r="G59" s="128" t="str">
        <f>IF(D59="","",IF((INDEX('FE Inconsistency Results'!$H$1:$H$500,MATCH(SUBSTITUTE(D59,"OR","d"),'FE Inconsistency Results'!$B$1:$B$500,0),1))-(INDEX('FE Inconsistency Results'!$F$1:$F$500,MATCH(SUBSTITUTE(D59,"OR","d"),'FE Inconsistency Results'!$B$1:$B$500,0),1))&gt;50,"N/A",EXP(INDEX('FE Inconsistency Results'!$G$1:$G$500,MATCH(SUBSTITUTE(D59,"OR","d"),'FE Inconsistency Results'!$B$1:$B$500,0),1))))</f>
        <v/>
      </c>
      <c r="I59" s="138" t="str">
        <f ca="1">IF(INDIRECT(CONCATENATE("'",'Inconsistency Data'!$I$4,"'!N59"))="","",INDIRECT(CONCATENATE("'",'Inconsistency Data'!$I$4,"'!N59")))</f>
        <v/>
      </c>
      <c r="J59" s="126" t="str">
        <f ca="1">IF(INDIRECT(CONCATENATE("'",'Inconsistency Data'!$I$4,"'!O59"))="","",INDIRECT(CONCATENATE("'",'Inconsistency Data'!$I$4,"'!O59")))</f>
        <v/>
      </c>
      <c r="K59" s="127" t="str">
        <f ca="1">IF(INDIRECT(CONCATENATE("'",'Inconsistency Data'!$I$4,"'!Q59"))="","",INDIRECT(CONCATENATE("'",'Inconsistency Data'!$I$4,"'!Q59")))</f>
        <v/>
      </c>
      <c r="L59" s="128" t="str">
        <f>IF(D59="","",IF((INDEX('RE Inconsistency Results'!$H$1:$H$500,MATCH(SUBSTITUTE(D59,"OR","d"),'RE Inconsistency Results'!$B$1:$B$500,0),1))-(INDEX('RE Inconsistency Results'!$F$1:$F$500,MATCH(SUBSTITUTE(D59,"OR","d"),'RE Inconsistency Results'!$B$1:$B$500,0),1))&gt;50,"N/A",EXP(INDEX('RE Inconsistency Results'!$G$1:$G$500,MATCH(SUBSTITUTE(D59,"OR","d"),'RE Inconsistency Results'!$B$1:$B$500,0),1))))</f>
        <v/>
      </c>
    </row>
    <row r="60" spans="4:12" x14ac:dyDescent="0.25">
      <c r="D60" s="125" t="str">
        <f>IF('Fixed Effects'!N60="","",'Fixed Effects'!N60)</f>
        <v/>
      </c>
      <c r="E60" s="126" t="str">
        <f>IF('Fixed Effects'!O60="","",'Fixed Effects'!O60)</f>
        <v/>
      </c>
      <c r="F60" s="127" t="str">
        <f>IF('Fixed Effects'!Q60="","",'Fixed Effects'!Q60)</f>
        <v/>
      </c>
      <c r="G60" s="128" t="str">
        <f>IF(D60="","",IF((INDEX('FE Inconsistency Results'!$H$1:$H$500,MATCH(SUBSTITUTE(D60,"OR","d"),'FE Inconsistency Results'!$B$1:$B$500,0),1))-(INDEX('FE Inconsistency Results'!$F$1:$F$500,MATCH(SUBSTITUTE(D60,"OR","d"),'FE Inconsistency Results'!$B$1:$B$500,0),1))&gt;50,"N/A",EXP(INDEX('FE Inconsistency Results'!$G$1:$G$500,MATCH(SUBSTITUTE(D60,"OR","d"),'FE Inconsistency Results'!$B$1:$B$500,0),1))))</f>
        <v/>
      </c>
      <c r="I60" s="138" t="str">
        <f ca="1">IF(INDIRECT(CONCATENATE("'",'Inconsistency Data'!$I$4,"'!N60"))="","",INDIRECT(CONCATENATE("'",'Inconsistency Data'!$I$4,"'!N60")))</f>
        <v/>
      </c>
      <c r="J60" s="126" t="str">
        <f ca="1">IF(INDIRECT(CONCATENATE("'",'Inconsistency Data'!$I$4,"'!O60"))="","",INDIRECT(CONCATENATE("'",'Inconsistency Data'!$I$4,"'!O60")))</f>
        <v/>
      </c>
      <c r="K60" s="127" t="str">
        <f ca="1">IF(INDIRECT(CONCATENATE("'",'Inconsistency Data'!$I$4,"'!Q60"))="","",INDIRECT(CONCATENATE("'",'Inconsistency Data'!$I$4,"'!Q60")))</f>
        <v/>
      </c>
      <c r="L60" s="128" t="str">
        <f>IF(D60="","",IF((INDEX('RE Inconsistency Results'!$H$1:$H$500,MATCH(SUBSTITUTE(D60,"OR","d"),'RE Inconsistency Results'!$B$1:$B$500,0),1))-(INDEX('RE Inconsistency Results'!$F$1:$F$500,MATCH(SUBSTITUTE(D60,"OR","d"),'RE Inconsistency Results'!$B$1:$B$500,0),1))&gt;50,"N/A",EXP(INDEX('RE Inconsistency Results'!$G$1:$G$500,MATCH(SUBSTITUTE(D60,"OR","d"),'RE Inconsistency Results'!$B$1:$B$500,0),1))))</f>
        <v/>
      </c>
    </row>
    <row r="61" spans="4:12" x14ac:dyDescent="0.25">
      <c r="D61" s="125" t="str">
        <f>IF('Fixed Effects'!N61="","",'Fixed Effects'!N61)</f>
        <v/>
      </c>
      <c r="E61" s="126" t="str">
        <f>IF('Fixed Effects'!O61="","",'Fixed Effects'!O61)</f>
        <v/>
      </c>
      <c r="F61" s="127" t="str">
        <f>IF('Fixed Effects'!Q61="","",'Fixed Effects'!Q61)</f>
        <v/>
      </c>
      <c r="G61" s="128" t="str">
        <f>IF(D61="","",IF((INDEX('FE Inconsistency Results'!$H$1:$H$500,MATCH(SUBSTITUTE(D61,"OR","d"),'FE Inconsistency Results'!$B$1:$B$500,0),1))-(INDEX('FE Inconsistency Results'!$F$1:$F$500,MATCH(SUBSTITUTE(D61,"OR","d"),'FE Inconsistency Results'!$B$1:$B$500,0),1))&gt;50,"N/A",EXP(INDEX('FE Inconsistency Results'!$G$1:$G$500,MATCH(SUBSTITUTE(D61,"OR","d"),'FE Inconsistency Results'!$B$1:$B$500,0),1))))</f>
        <v/>
      </c>
      <c r="I61" s="138" t="str">
        <f ca="1">IF(INDIRECT(CONCATENATE("'",'Inconsistency Data'!$I$4,"'!N61"))="","",INDIRECT(CONCATENATE("'",'Inconsistency Data'!$I$4,"'!N61")))</f>
        <v/>
      </c>
      <c r="J61" s="126" t="str">
        <f ca="1">IF(INDIRECT(CONCATENATE("'",'Inconsistency Data'!$I$4,"'!O61"))="","",INDIRECT(CONCATENATE("'",'Inconsistency Data'!$I$4,"'!O61")))</f>
        <v/>
      </c>
      <c r="K61" s="127" t="str">
        <f ca="1">IF(INDIRECT(CONCATENATE("'",'Inconsistency Data'!$I$4,"'!Q61"))="","",INDIRECT(CONCATENATE("'",'Inconsistency Data'!$I$4,"'!Q61")))</f>
        <v/>
      </c>
      <c r="L61" s="128" t="str">
        <f>IF(D61="","",IF((INDEX('RE Inconsistency Results'!$H$1:$H$500,MATCH(SUBSTITUTE(D61,"OR","d"),'RE Inconsistency Results'!$B$1:$B$500,0),1))-(INDEX('RE Inconsistency Results'!$F$1:$F$500,MATCH(SUBSTITUTE(D61,"OR","d"),'RE Inconsistency Results'!$B$1:$B$500,0),1))&gt;50,"N/A",EXP(INDEX('RE Inconsistency Results'!$G$1:$G$500,MATCH(SUBSTITUTE(D61,"OR","d"),'RE Inconsistency Results'!$B$1:$B$500,0),1))))</f>
        <v/>
      </c>
    </row>
    <row r="62" spans="4:12" x14ac:dyDescent="0.25">
      <c r="D62" s="125" t="str">
        <f>IF('Fixed Effects'!N62="","",'Fixed Effects'!N62)</f>
        <v/>
      </c>
      <c r="E62" s="126" t="str">
        <f>IF('Fixed Effects'!O62="","",'Fixed Effects'!O62)</f>
        <v/>
      </c>
      <c r="F62" s="127" t="str">
        <f>IF('Fixed Effects'!Q62="","",'Fixed Effects'!Q62)</f>
        <v/>
      </c>
      <c r="G62" s="128" t="str">
        <f>IF(D62="","",IF((INDEX('FE Inconsistency Results'!$H$1:$H$500,MATCH(SUBSTITUTE(D62,"OR","d"),'FE Inconsistency Results'!$B$1:$B$500,0),1))-(INDEX('FE Inconsistency Results'!$F$1:$F$500,MATCH(SUBSTITUTE(D62,"OR","d"),'FE Inconsistency Results'!$B$1:$B$500,0),1))&gt;50,"N/A",EXP(INDEX('FE Inconsistency Results'!$G$1:$G$500,MATCH(SUBSTITUTE(D62,"OR","d"),'FE Inconsistency Results'!$B$1:$B$500,0),1))))</f>
        <v/>
      </c>
      <c r="I62" s="138" t="str">
        <f ca="1">IF(INDIRECT(CONCATENATE("'",'Inconsistency Data'!$I$4,"'!N62"))="","",INDIRECT(CONCATENATE("'",'Inconsistency Data'!$I$4,"'!N62")))</f>
        <v/>
      </c>
      <c r="J62" s="126" t="str">
        <f ca="1">IF(INDIRECT(CONCATENATE("'",'Inconsistency Data'!$I$4,"'!O62"))="","",INDIRECT(CONCATENATE("'",'Inconsistency Data'!$I$4,"'!O62")))</f>
        <v/>
      </c>
      <c r="K62" s="127" t="str">
        <f ca="1">IF(INDIRECT(CONCATENATE("'",'Inconsistency Data'!$I$4,"'!Q62"))="","",INDIRECT(CONCATENATE("'",'Inconsistency Data'!$I$4,"'!Q62")))</f>
        <v/>
      </c>
      <c r="L62" s="128" t="str">
        <f>IF(D62="","",IF((INDEX('RE Inconsistency Results'!$H$1:$H$500,MATCH(SUBSTITUTE(D62,"OR","d"),'RE Inconsistency Results'!$B$1:$B$500,0),1))-(INDEX('RE Inconsistency Results'!$F$1:$F$500,MATCH(SUBSTITUTE(D62,"OR","d"),'RE Inconsistency Results'!$B$1:$B$500,0),1))&gt;50,"N/A",EXP(INDEX('RE Inconsistency Results'!$G$1:$G$500,MATCH(SUBSTITUTE(D62,"OR","d"),'RE Inconsistency Results'!$B$1:$B$500,0),1))))</f>
        <v/>
      </c>
    </row>
    <row r="63" spans="4:12" x14ac:dyDescent="0.25">
      <c r="D63" s="125" t="str">
        <f>IF('Fixed Effects'!N63="","",'Fixed Effects'!N63)</f>
        <v/>
      </c>
      <c r="E63" s="126" t="str">
        <f>IF('Fixed Effects'!O63="","",'Fixed Effects'!O63)</f>
        <v/>
      </c>
      <c r="F63" s="127" t="str">
        <f>IF('Fixed Effects'!Q63="","",'Fixed Effects'!Q63)</f>
        <v/>
      </c>
      <c r="G63" s="128" t="str">
        <f>IF(D63="","",IF((INDEX('FE Inconsistency Results'!$H$1:$H$500,MATCH(SUBSTITUTE(D63,"OR","d"),'FE Inconsistency Results'!$B$1:$B$500,0),1))-(INDEX('FE Inconsistency Results'!$F$1:$F$500,MATCH(SUBSTITUTE(D63,"OR","d"),'FE Inconsistency Results'!$B$1:$B$500,0),1))&gt;50,"N/A",EXP(INDEX('FE Inconsistency Results'!$G$1:$G$500,MATCH(SUBSTITUTE(D63,"OR","d"),'FE Inconsistency Results'!$B$1:$B$500,0),1))))</f>
        <v/>
      </c>
      <c r="I63" s="138" t="str">
        <f ca="1">IF(INDIRECT(CONCATENATE("'",'Inconsistency Data'!$I$4,"'!N63"))="","",INDIRECT(CONCATENATE("'",'Inconsistency Data'!$I$4,"'!N63")))</f>
        <v/>
      </c>
      <c r="J63" s="126" t="str">
        <f ca="1">IF(INDIRECT(CONCATENATE("'",'Inconsistency Data'!$I$4,"'!O63"))="","",INDIRECT(CONCATENATE("'",'Inconsistency Data'!$I$4,"'!O63")))</f>
        <v/>
      </c>
      <c r="K63" s="127" t="str">
        <f ca="1">IF(INDIRECT(CONCATENATE("'",'Inconsistency Data'!$I$4,"'!Q63"))="","",INDIRECT(CONCATENATE("'",'Inconsistency Data'!$I$4,"'!Q63")))</f>
        <v/>
      </c>
      <c r="L63" s="128" t="str">
        <f>IF(D63="","",IF((INDEX('RE Inconsistency Results'!$H$1:$H$500,MATCH(SUBSTITUTE(D63,"OR","d"),'RE Inconsistency Results'!$B$1:$B$500,0),1))-(INDEX('RE Inconsistency Results'!$F$1:$F$500,MATCH(SUBSTITUTE(D63,"OR","d"),'RE Inconsistency Results'!$B$1:$B$500,0),1))&gt;50,"N/A",EXP(INDEX('RE Inconsistency Results'!$G$1:$G$500,MATCH(SUBSTITUTE(D63,"OR","d"),'RE Inconsistency Results'!$B$1:$B$500,0),1))))</f>
        <v/>
      </c>
    </row>
    <row r="64" spans="4:12" x14ac:dyDescent="0.25">
      <c r="D64" s="125" t="str">
        <f>IF('Fixed Effects'!N64="","",'Fixed Effects'!N64)</f>
        <v/>
      </c>
      <c r="E64" s="126" t="str">
        <f>IF('Fixed Effects'!O64="","",'Fixed Effects'!O64)</f>
        <v/>
      </c>
      <c r="F64" s="127" t="str">
        <f>IF('Fixed Effects'!Q64="","",'Fixed Effects'!Q64)</f>
        <v/>
      </c>
      <c r="G64" s="128" t="str">
        <f>IF(D64="","",IF((INDEX('FE Inconsistency Results'!$H$1:$H$500,MATCH(SUBSTITUTE(D64,"OR","d"),'FE Inconsistency Results'!$B$1:$B$500,0),1))-(INDEX('FE Inconsistency Results'!$F$1:$F$500,MATCH(SUBSTITUTE(D64,"OR","d"),'FE Inconsistency Results'!$B$1:$B$500,0),1))&gt;50,"N/A",EXP(INDEX('FE Inconsistency Results'!$G$1:$G$500,MATCH(SUBSTITUTE(D64,"OR","d"),'FE Inconsistency Results'!$B$1:$B$500,0),1))))</f>
        <v/>
      </c>
      <c r="I64" s="138" t="str">
        <f ca="1">IF(INDIRECT(CONCATENATE("'",'Inconsistency Data'!$I$4,"'!N64"))="","",INDIRECT(CONCATENATE("'",'Inconsistency Data'!$I$4,"'!N64")))</f>
        <v/>
      </c>
      <c r="J64" s="126" t="str">
        <f ca="1">IF(INDIRECT(CONCATENATE("'",'Inconsistency Data'!$I$4,"'!O64"))="","",INDIRECT(CONCATENATE("'",'Inconsistency Data'!$I$4,"'!O64")))</f>
        <v/>
      </c>
      <c r="K64" s="127" t="str">
        <f ca="1">IF(INDIRECT(CONCATENATE("'",'Inconsistency Data'!$I$4,"'!Q64"))="","",INDIRECT(CONCATENATE("'",'Inconsistency Data'!$I$4,"'!Q64")))</f>
        <v/>
      </c>
      <c r="L64" s="128" t="str">
        <f>IF(D64="","",IF((INDEX('RE Inconsistency Results'!$H$1:$H$500,MATCH(SUBSTITUTE(D64,"OR","d"),'RE Inconsistency Results'!$B$1:$B$500,0),1))-(INDEX('RE Inconsistency Results'!$F$1:$F$500,MATCH(SUBSTITUTE(D64,"OR","d"),'RE Inconsistency Results'!$B$1:$B$500,0),1))&gt;50,"N/A",EXP(INDEX('RE Inconsistency Results'!$G$1:$G$500,MATCH(SUBSTITUTE(D64,"OR","d"),'RE Inconsistency Results'!$B$1:$B$500,0),1))))</f>
        <v/>
      </c>
    </row>
    <row r="65" spans="4:12" x14ac:dyDescent="0.25">
      <c r="D65" s="125" t="str">
        <f>IF('Fixed Effects'!N65="","",'Fixed Effects'!N65)</f>
        <v/>
      </c>
      <c r="E65" s="126" t="str">
        <f>IF('Fixed Effects'!O65="","",'Fixed Effects'!O65)</f>
        <v/>
      </c>
      <c r="F65" s="127" t="str">
        <f>IF('Fixed Effects'!Q65="","",'Fixed Effects'!Q65)</f>
        <v/>
      </c>
      <c r="G65" s="128" t="str">
        <f>IF(D65="","",IF((INDEX('FE Inconsistency Results'!$H$1:$H$500,MATCH(SUBSTITUTE(D65,"OR","d"),'FE Inconsistency Results'!$B$1:$B$500,0),1))-(INDEX('FE Inconsistency Results'!$F$1:$F$500,MATCH(SUBSTITUTE(D65,"OR","d"),'FE Inconsistency Results'!$B$1:$B$500,0),1))&gt;50,"N/A",EXP(INDEX('FE Inconsistency Results'!$G$1:$G$500,MATCH(SUBSTITUTE(D65,"OR","d"),'FE Inconsistency Results'!$B$1:$B$500,0),1))))</f>
        <v/>
      </c>
      <c r="I65" s="138" t="str">
        <f ca="1">IF(INDIRECT(CONCATENATE("'",'Inconsistency Data'!$I$4,"'!N65"))="","",INDIRECT(CONCATENATE("'",'Inconsistency Data'!$I$4,"'!N65")))</f>
        <v/>
      </c>
      <c r="J65" s="126" t="str">
        <f ca="1">IF(INDIRECT(CONCATENATE("'",'Inconsistency Data'!$I$4,"'!O65"))="","",INDIRECT(CONCATENATE("'",'Inconsistency Data'!$I$4,"'!O65")))</f>
        <v/>
      </c>
      <c r="K65" s="127" t="str">
        <f ca="1">IF(INDIRECT(CONCATENATE("'",'Inconsistency Data'!$I$4,"'!Q65"))="","",INDIRECT(CONCATENATE("'",'Inconsistency Data'!$I$4,"'!Q65")))</f>
        <v/>
      </c>
      <c r="L65" s="128" t="str">
        <f>IF(D65="","",IF((INDEX('RE Inconsistency Results'!$H$1:$H$500,MATCH(SUBSTITUTE(D65,"OR","d"),'RE Inconsistency Results'!$B$1:$B$500,0),1))-(INDEX('RE Inconsistency Results'!$F$1:$F$500,MATCH(SUBSTITUTE(D65,"OR","d"),'RE Inconsistency Results'!$B$1:$B$500,0),1))&gt;50,"N/A",EXP(INDEX('RE Inconsistency Results'!$G$1:$G$500,MATCH(SUBSTITUTE(D65,"OR","d"),'RE Inconsistency Results'!$B$1:$B$500,0),1))))</f>
        <v/>
      </c>
    </row>
    <row r="66" spans="4:12" x14ac:dyDescent="0.25">
      <c r="D66" s="125" t="str">
        <f>IF('Fixed Effects'!N66="","",'Fixed Effects'!N66)</f>
        <v/>
      </c>
      <c r="E66" s="126" t="str">
        <f>IF('Fixed Effects'!O66="","",'Fixed Effects'!O66)</f>
        <v/>
      </c>
      <c r="F66" s="127" t="str">
        <f>IF('Fixed Effects'!Q66="","",'Fixed Effects'!Q66)</f>
        <v/>
      </c>
      <c r="G66" s="128" t="str">
        <f>IF(D66="","",IF((INDEX('FE Inconsistency Results'!$H$1:$H$500,MATCH(SUBSTITUTE(D66,"OR","d"),'FE Inconsistency Results'!$B$1:$B$500,0),1))-(INDEX('FE Inconsistency Results'!$F$1:$F$500,MATCH(SUBSTITUTE(D66,"OR","d"),'FE Inconsistency Results'!$B$1:$B$500,0),1))&gt;50,"N/A",EXP(INDEX('FE Inconsistency Results'!$G$1:$G$500,MATCH(SUBSTITUTE(D66,"OR","d"),'FE Inconsistency Results'!$B$1:$B$500,0),1))))</f>
        <v/>
      </c>
      <c r="I66" s="138" t="str">
        <f ca="1">IF(INDIRECT(CONCATENATE("'",'Inconsistency Data'!$I$4,"'!N66"))="","",INDIRECT(CONCATENATE("'",'Inconsistency Data'!$I$4,"'!N66")))</f>
        <v/>
      </c>
      <c r="J66" s="126" t="str">
        <f ca="1">IF(INDIRECT(CONCATENATE("'",'Inconsistency Data'!$I$4,"'!O66"))="","",INDIRECT(CONCATENATE("'",'Inconsistency Data'!$I$4,"'!O66")))</f>
        <v/>
      </c>
      <c r="K66" s="127" t="str">
        <f ca="1">IF(INDIRECT(CONCATENATE("'",'Inconsistency Data'!$I$4,"'!Q66"))="","",INDIRECT(CONCATENATE("'",'Inconsistency Data'!$I$4,"'!Q66")))</f>
        <v/>
      </c>
      <c r="L66" s="128" t="str">
        <f>IF(D66="","",IF((INDEX('RE Inconsistency Results'!$H$1:$H$500,MATCH(SUBSTITUTE(D66,"OR","d"),'RE Inconsistency Results'!$B$1:$B$500,0),1))-(INDEX('RE Inconsistency Results'!$F$1:$F$500,MATCH(SUBSTITUTE(D66,"OR","d"),'RE Inconsistency Results'!$B$1:$B$500,0),1))&gt;50,"N/A",EXP(INDEX('RE Inconsistency Results'!$G$1:$G$500,MATCH(SUBSTITUTE(D66,"OR","d"),'RE Inconsistency Results'!$B$1:$B$500,0),1))))</f>
        <v/>
      </c>
    </row>
    <row r="67" spans="4:12" x14ac:dyDescent="0.25">
      <c r="D67" s="125" t="str">
        <f>IF('Fixed Effects'!N67="","",'Fixed Effects'!N67)</f>
        <v/>
      </c>
      <c r="E67" s="126" t="str">
        <f>IF('Fixed Effects'!O67="","",'Fixed Effects'!O67)</f>
        <v/>
      </c>
      <c r="F67" s="127" t="str">
        <f>IF('Fixed Effects'!Q67="","",'Fixed Effects'!Q67)</f>
        <v/>
      </c>
      <c r="G67" s="128" t="str">
        <f>IF(D67="","",IF((INDEX('FE Inconsistency Results'!$H$1:$H$500,MATCH(SUBSTITUTE(D67,"OR","d"),'FE Inconsistency Results'!$B$1:$B$500,0),1))-(INDEX('FE Inconsistency Results'!$F$1:$F$500,MATCH(SUBSTITUTE(D67,"OR","d"),'FE Inconsistency Results'!$B$1:$B$500,0),1))&gt;50,"N/A",EXP(INDEX('FE Inconsistency Results'!$G$1:$G$500,MATCH(SUBSTITUTE(D67,"OR","d"),'FE Inconsistency Results'!$B$1:$B$500,0),1))))</f>
        <v/>
      </c>
      <c r="I67" s="138" t="str">
        <f ca="1">IF(INDIRECT(CONCATENATE("'",'Inconsistency Data'!$I$4,"'!N67"))="","",INDIRECT(CONCATENATE("'",'Inconsistency Data'!$I$4,"'!N67")))</f>
        <v/>
      </c>
      <c r="J67" s="126" t="str">
        <f ca="1">IF(INDIRECT(CONCATENATE("'",'Inconsistency Data'!$I$4,"'!O67"))="","",INDIRECT(CONCATENATE("'",'Inconsistency Data'!$I$4,"'!O67")))</f>
        <v/>
      </c>
      <c r="K67" s="127" t="str">
        <f ca="1">IF(INDIRECT(CONCATENATE("'",'Inconsistency Data'!$I$4,"'!Q67"))="","",INDIRECT(CONCATENATE("'",'Inconsistency Data'!$I$4,"'!Q67")))</f>
        <v/>
      </c>
      <c r="L67" s="128" t="str">
        <f>IF(D67="","",IF((INDEX('RE Inconsistency Results'!$H$1:$H$500,MATCH(SUBSTITUTE(D67,"OR","d"),'RE Inconsistency Results'!$B$1:$B$500,0),1))-(INDEX('RE Inconsistency Results'!$F$1:$F$500,MATCH(SUBSTITUTE(D67,"OR","d"),'RE Inconsistency Results'!$B$1:$B$500,0),1))&gt;50,"N/A",EXP(INDEX('RE Inconsistency Results'!$G$1:$G$500,MATCH(SUBSTITUTE(D67,"OR","d"),'RE Inconsistency Results'!$B$1:$B$500,0),1))))</f>
        <v/>
      </c>
    </row>
    <row r="68" spans="4:12" x14ac:dyDescent="0.25">
      <c r="D68" s="125" t="str">
        <f>IF('Fixed Effects'!N68="","",'Fixed Effects'!N68)</f>
        <v/>
      </c>
      <c r="E68" s="126" t="str">
        <f>IF('Fixed Effects'!O68="","",'Fixed Effects'!O68)</f>
        <v/>
      </c>
      <c r="F68" s="127" t="str">
        <f>IF('Fixed Effects'!Q68="","",'Fixed Effects'!Q68)</f>
        <v/>
      </c>
      <c r="G68" s="128" t="str">
        <f>IF(D68="","",IF((INDEX('FE Inconsistency Results'!$H$1:$H$500,MATCH(SUBSTITUTE(D68,"OR","d"),'FE Inconsistency Results'!$B$1:$B$500,0),1))-(INDEX('FE Inconsistency Results'!$F$1:$F$500,MATCH(SUBSTITUTE(D68,"OR","d"),'FE Inconsistency Results'!$B$1:$B$500,0),1))&gt;50,"N/A",EXP(INDEX('FE Inconsistency Results'!$G$1:$G$500,MATCH(SUBSTITUTE(D68,"OR","d"),'FE Inconsistency Results'!$B$1:$B$500,0),1))))</f>
        <v/>
      </c>
      <c r="I68" s="138" t="str">
        <f ca="1">IF(INDIRECT(CONCATENATE("'",'Inconsistency Data'!$I$4,"'!N68"))="","",INDIRECT(CONCATENATE("'",'Inconsistency Data'!$I$4,"'!N68")))</f>
        <v/>
      </c>
      <c r="J68" s="126" t="str">
        <f ca="1">IF(INDIRECT(CONCATENATE("'",'Inconsistency Data'!$I$4,"'!O68"))="","",INDIRECT(CONCATENATE("'",'Inconsistency Data'!$I$4,"'!O68")))</f>
        <v/>
      </c>
      <c r="K68" s="127" t="str">
        <f ca="1">IF(INDIRECT(CONCATENATE("'",'Inconsistency Data'!$I$4,"'!Q68"))="","",INDIRECT(CONCATENATE("'",'Inconsistency Data'!$I$4,"'!Q68")))</f>
        <v/>
      </c>
      <c r="L68" s="128" t="str">
        <f>IF(D68="","",IF((INDEX('RE Inconsistency Results'!$H$1:$H$500,MATCH(SUBSTITUTE(D68,"OR","d"),'RE Inconsistency Results'!$B$1:$B$500,0),1))-(INDEX('RE Inconsistency Results'!$F$1:$F$500,MATCH(SUBSTITUTE(D68,"OR","d"),'RE Inconsistency Results'!$B$1:$B$500,0),1))&gt;50,"N/A",EXP(INDEX('RE Inconsistency Results'!$G$1:$G$500,MATCH(SUBSTITUTE(D68,"OR","d"),'RE Inconsistency Results'!$B$1:$B$500,0),1))))</f>
        <v/>
      </c>
    </row>
    <row r="69" spans="4:12" x14ac:dyDescent="0.25">
      <c r="D69" s="125" t="str">
        <f>IF('Fixed Effects'!N69="","",'Fixed Effects'!N69)</f>
        <v/>
      </c>
      <c r="E69" s="126" t="str">
        <f>IF('Fixed Effects'!O69="","",'Fixed Effects'!O69)</f>
        <v/>
      </c>
      <c r="F69" s="127" t="str">
        <f>IF('Fixed Effects'!Q69="","",'Fixed Effects'!Q69)</f>
        <v/>
      </c>
      <c r="G69" s="128" t="str">
        <f>IF(D69="","",IF((INDEX('FE Inconsistency Results'!$H$1:$H$500,MATCH(SUBSTITUTE(D69,"OR","d"),'FE Inconsistency Results'!$B$1:$B$500,0),1))-(INDEX('FE Inconsistency Results'!$F$1:$F$500,MATCH(SUBSTITUTE(D69,"OR","d"),'FE Inconsistency Results'!$B$1:$B$500,0),1))&gt;50,"N/A",EXP(INDEX('FE Inconsistency Results'!$G$1:$G$500,MATCH(SUBSTITUTE(D69,"OR","d"),'FE Inconsistency Results'!$B$1:$B$500,0),1))))</f>
        <v/>
      </c>
      <c r="I69" s="138" t="str">
        <f ca="1">IF(INDIRECT(CONCATENATE("'",'Inconsistency Data'!$I$4,"'!N69"))="","",INDIRECT(CONCATENATE("'",'Inconsistency Data'!$I$4,"'!N69")))</f>
        <v/>
      </c>
      <c r="J69" s="126" t="str">
        <f ca="1">IF(INDIRECT(CONCATENATE("'",'Inconsistency Data'!$I$4,"'!O69"))="","",INDIRECT(CONCATENATE("'",'Inconsistency Data'!$I$4,"'!O69")))</f>
        <v/>
      </c>
      <c r="K69" s="127" t="str">
        <f ca="1">IF(INDIRECT(CONCATENATE("'",'Inconsistency Data'!$I$4,"'!Q69"))="","",INDIRECT(CONCATENATE("'",'Inconsistency Data'!$I$4,"'!Q69")))</f>
        <v/>
      </c>
      <c r="L69" s="128" t="str">
        <f>IF(D69="","",IF((INDEX('RE Inconsistency Results'!$H$1:$H$500,MATCH(SUBSTITUTE(D69,"OR","d"),'RE Inconsistency Results'!$B$1:$B$500,0),1))-(INDEX('RE Inconsistency Results'!$F$1:$F$500,MATCH(SUBSTITUTE(D69,"OR","d"),'RE Inconsistency Results'!$B$1:$B$500,0),1))&gt;50,"N/A",EXP(INDEX('RE Inconsistency Results'!$G$1:$G$500,MATCH(SUBSTITUTE(D69,"OR","d"),'RE Inconsistency Results'!$B$1:$B$500,0),1))))</f>
        <v/>
      </c>
    </row>
    <row r="70" spans="4:12" x14ac:dyDescent="0.25">
      <c r="D70" s="125" t="str">
        <f>IF('Fixed Effects'!N70="","",'Fixed Effects'!N70)</f>
        <v/>
      </c>
      <c r="E70" s="126" t="str">
        <f>IF('Fixed Effects'!O70="","",'Fixed Effects'!O70)</f>
        <v/>
      </c>
      <c r="F70" s="127" t="str">
        <f>IF('Fixed Effects'!Q70="","",'Fixed Effects'!Q70)</f>
        <v/>
      </c>
      <c r="G70" s="128" t="str">
        <f>IF(D70="","",IF((INDEX('FE Inconsistency Results'!$H$1:$H$500,MATCH(SUBSTITUTE(D70,"OR","d"),'FE Inconsistency Results'!$B$1:$B$500,0),1))-(INDEX('FE Inconsistency Results'!$F$1:$F$500,MATCH(SUBSTITUTE(D70,"OR","d"),'FE Inconsistency Results'!$B$1:$B$500,0),1))&gt;50,"N/A",EXP(INDEX('FE Inconsistency Results'!$G$1:$G$500,MATCH(SUBSTITUTE(D70,"OR","d"),'FE Inconsistency Results'!$B$1:$B$500,0),1))))</f>
        <v/>
      </c>
      <c r="I70" s="138" t="str">
        <f ca="1">IF(INDIRECT(CONCATENATE("'",'Inconsistency Data'!$I$4,"'!N70"))="","",INDIRECT(CONCATENATE("'",'Inconsistency Data'!$I$4,"'!N70")))</f>
        <v/>
      </c>
      <c r="J70" s="126" t="str">
        <f ca="1">IF(INDIRECT(CONCATENATE("'",'Inconsistency Data'!$I$4,"'!O70"))="","",INDIRECT(CONCATENATE("'",'Inconsistency Data'!$I$4,"'!O70")))</f>
        <v/>
      </c>
      <c r="K70" s="127" t="str">
        <f ca="1">IF(INDIRECT(CONCATENATE("'",'Inconsistency Data'!$I$4,"'!Q70"))="","",INDIRECT(CONCATENATE("'",'Inconsistency Data'!$I$4,"'!Q70")))</f>
        <v/>
      </c>
      <c r="L70" s="128" t="str">
        <f>IF(D70="","",IF((INDEX('RE Inconsistency Results'!$H$1:$H$500,MATCH(SUBSTITUTE(D70,"OR","d"),'RE Inconsistency Results'!$B$1:$B$500,0),1))-(INDEX('RE Inconsistency Results'!$F$1:$F$500,MATCH(SUBSTITUTE(D70,"OR","d"),'RE Inconsistency Results'!$B$1:$B$500,0),1))&gt;50,"N/A",EXP(INDEX('RE Inconsistency Results'!$G$1:$G$500,MATCH(SUBSTITUTE(D70,"OR","d"),'RE Inconsistency Results'!$B$1:$B$500,0),1))))</f>
        <v/>
      </c>
    </row>
    <row r="71" spans="4:12" x14ac:dyDescent="0.25">
      <c r="D71" s="125" t="str">
        <f>IF('Fixed Effects'!N71="","",'Fixed Effects'!N71)</f>
        <v/>
      </c>
      <c r="E71" s="126" t="str">
        <f>IF('Fixed Effects'!O71="","",'Fixed Effects'!O71)</f>
        <v/>
      </c>
      <c r="F71" s="127" t="str">
        <f>IF('Fixed Effects'!Q71="","",'Fixed Effects'!Q71)</f>
        <v/>
      </c>
      <c r="G71" s="128" t="str">
        <f>IF(D71="","",IF((INDEX('FE Inconsistency Results'!$H$1:$H$500,MATCH(SUBSTITUTE(D71,"OR","d"),'FE Inconsistency Results'!$B$1:$B$500,0),1))-(INDEX('FE Inconsistency Results'!$F$1:$F$500,MATCH(SUBSTITUTE(D71,"OR","d"),'FE Inconsistency Results'!$B$1:$B$500,0),1))&gt;50,"N/A",EXP(INDEX('FE Inconsistency Results'!$G$1:$G$500,MATCH(SUBSTITUTE(D71,"OR","d"),'FE Inconsistency Results'!$B$1:$B$500,0),1))))</f>
        <v/>
      </c>
      <c r="I71" s="138" t="str">
        <f ca="1">IF(INDIRECT(CONCATENATE("'",'Inconsistency Data'!$I$4,"'!N71"))="","",INDIRECT(CONCATENATE("'",'Inconsistency Data'!$I$4,"'!N71")))</f>
        <v/>
      </c>
      <c r="J71" s="126" t="str">
        <f ca="1">IF(INDIRECT(CONCATENATE("'",'Inconsistency Data'!$I$4,"'!O71"))="","",INDIRECT(CONCATENATE("'",'Inconsistency Data'!$I$4,"'!O71")))</f>
        <v/>
      </c>
      <c r="K71" s="127" t="str">
        <f ca="1">IF(INDIRECT(CONCATENATE("'",'Inconsistency Data'!$I$4,"'!Q71"))="","",INDIRECT(CONCATENATE("'",'Inconsistency Data'!$I$4,"'!Q71")))</f>
        <v/>
      </c>
      <c r="L71" s="128" t="str">
        <f>IF(D71="","",IF((INDEX('RE Inconsistency Results'!$H$1:$H$500,MATCH(SUBSTITUTE(D71,"OR","d"),'RE Inconsistency Results'!$B$1:$B$500,0),1))-(INDEX('RE Inconsistency Results'!$F$1:$F$500,MATCH(SUBSTITUTE(D71,"OR","d"),'RE Inconsistency Results'!$B$1:$B$500,0),1))&gt;50,"N/A",EXP(INDEX('RE Inconsistency Results'!$G$1:$G$500,MATCH(SUBSTITUTE(D71,"OR","d"),'RE Inconsistency Results'!$B$1:$B$500,0),1))))</f>
        <v/>
      </c>
    </row>
    <row r="72" spans="4:12" x14ac:dyDescent="0.25">
      <c r="D72" s="125" t="str">
        <f>IF('Fixed Effects'!N72="","",'Fixed Effects'!N72)</f>
        <v/>
      </c>
      <c r="E72" s="126" t="str">
        <f>IF('Fixed Effects'!O72="","",'Fixed Effects'!O72)</f>
        <v/>
      </c>
      <c r="F72" s="127" t="str">
        <f>IF('Fixed Effects'!Q72="","",'Fixed Effects'!Q72)</f>
        <v/>
      </c>
      <c r="G72" s="128" t="str">
        <f>IF(D72="","",IF((INDEX('FE Inconsistency Results'!$H$1:$H$500,MATCH(SUBSTITUTE(D72,"OR","d"),'FE Inconsistency Results'!$B$1:$B$500,0),1))-(INDEX('FE Inconsistency Results'!$F$1:$F$500,MATCH(SUBSTITUTE(D72,"OR","d"),'FE Inconsistency Results'!$B$1:$B$500,0),1))&gt;50,"N/A",EXP(INDEX('FE Inconsistency Results'!$G$1:$G$500,MATCH(SUBSTITUTE(D72,"OR","d"),'FE Inconsistency Results'!$B$1:$B$500,0),1))))</f>
        <v/>
      </c>
      <c r="I72" s="138" t="str">
        <f ca="1">IF(INDIRECT(CONCATENATE("'",'Inconsistency Data'!$I$4,"'!N72"))="","",INDIRECT(CONCATENATE("'",'Inconsistency Data'!$I$4,"'!N72")))</f>
        <v/>
      </c>
      <c r="J72" s="126" t="str">
        <f ca="1">IF(INDIRECT(CONCATENATE("'",'Inconsistency Data'!$I$4,"'!O72"))="","",INDIRECT(CONCATENATE("'",'Inconsistency Data'!$I$4,"'!O72")))</f>
        <v/>
      </c>
      <c r="K72" s="127" t="str">
        <f ca="1">IF(INDIRECT(CONCATENATE("'",'Inconsistency Data'!$I$4,"'!Q72"))="","",INDIRECT(CONCATENATE("'",'Inconsistency Data'!$I$4,"'!Q72")))</f>
        <v/>
      </c>
      <c r="L72" s="128" t="str">
        <f>IF(D72="","",IF((INDEX('RE Inconsistency Results'!$H$1:$H$500,MATCH(SUBSTITUTE(D72,"OR","d"),'RE Inconsistency Results'!$B$1:$B$500,0),1))-(INDEX('RE Inconsistency Results'!$F$1:$F$500,MATCH(SUBSTITUTE(D72,"OR","d"),'RE Inconsistency Results'!$B$1:$B$500,0),1))&gt;50,"N/A",EXP(INDEX('RE Inconsistency Results'!$G$1:$G$500,MATCH(SUBSTITUTE(D72,"OR","d"),'RE Inconsistency Results'!$B$1:$B$500,0),1))))</f>
        <v/>
      </c>
    </row>
    <row r="73" spans="4:12" x14ac:dyDescent="0.25">
      <c r="D73" s="125" t="str">
        <f>IF('Fixed Effects'!N73="","",'Fixed Effects'!N73)</f>
        <v/>
      </c>
      <c r="E73" s="126" t="str">
        <f>IF('Fixed Effects'!O73="","",'Fixed Effects'!O73)</f>
        <v/>
      </c>
      <c r="F73" s="127" t="str">
        <f>IF('Fixed Effects'!Q73="","",'Fixed Effects'!Q73)</f>
        <v/>
      </c>
      <c r="G73" s="128" t="str">
        <f>IF(D73="","",IF((INDEX('FE Inconsistency Results'!$H$1:$H$500,MATCH(SUBSTITUTE(D73,"OR","d"),'FE Inconsistency Results'!$B$1:$B$500,0),1))-(INDEX('FE Inconsistency Results'!$F$1:$F$500,MATCH(SUBSTITUTE(D73,"OR","d"),'FE Inconsistency Results'!$B$1:$B$500,0),1))&gt;50,"N/A",EXP(INDEX('FE Inconsistency Results'!$G$1:$G$500,MATCH(SUBSTITUTE(D73,"OR","d"),'FE Inconsistency Results'!$B$1:$B$500,0),1))))</f>
        <v/>
      </c>
      <c r="I73" s="138" t="str">
        <f ca="1">IF(INDIRECT(CONCATENATE("'",'Inconsistency Data'!$I$4,"'!N73"))="","",INDIRECT(CONCATENATE("'",'Inconsistency Data'!$I$4,"'!N73")))</f>
        <v/>
      </c>
      <c r="J73" s="126" t="str">
        <f ca="1">IF(INDIRECT(CONCATENATE("'",'Inconsistency Data'!$I$4,"'!O73"))="","",INDIRECT(CONCATENATE("'",'Inconsistency Data'!$I$4,"'!O73")))</f>
        <v/>
      </c>
      <c r="K73" s="127" t="str">
        <f ca="1">IF(INDIRECT(CONCATENATE("'",'Inconsistency Data'!$I$4,"'!Q73"))="","",INDIRECT(CONCATENATE("'",'Inconsistency Data'!$I$4,"'!Q73")))</f>
        <v/>
      </c>
      <c r="L73" s="128" t="str">
        <f>IF(D73="","",IF((INDEX('RE Inconsistency Results'!$H$1:$H$500,MATCH(SUBSTITUTE(D73,"OR","d"),'RE Inconsistency Results'!$B$1:$B$500,0),1))-(INDEX('RE Inconsistency Results'!$F$1:$F$500,MATCH(SUBSTITUTE(D73,"OR","d"),'RE Inconsistency Results'!$B$1:$B$500,0),1))&gt;50,"N/A",EXP(INDEX('RE Inconsistency Results'!$G$1:$G$500,MATCH(SUBSTITUTE(D73,"OR","d"),'RE Inconsistency Results'!$B$1:$B$500,0),1))))</f>
        <v/>
      </c>
    </row>
    <row r="74" spans="4:12" x14ac:dyDescent="0.25">
      <c r="D74" s="125" t="str">
        <f>IF('Fixed Effects'!N74="","",'Fixed Effects'!N74)</f>
        <v/>
      </c>
      <c r="E74" s="126" t="str">
        <f>IF('Fixed Effects'!O74="","",'Fixed Effects'!O74)</f>
        <v/>
      </c>
      <c r="F74" s="127" t="str">
        <f>IF('Fixed Effects'!Q74="","",'Fixed Effects'!Q74)</f>
        <v/>
      </c>
      <c r="G74" s="128" t="str">
        <f>IF(D74="","",IF((INDEX('FE Inconsistency Results'!$H$1:$H$500,MATCH(SUBSTITUTE(D74,"OR","d"),'FE Inconsistency Results'!$B$1:$B$500,0),1))-(INDEX('FE Inconsistency Results'!$F$1:$F$500,MATCH(SUBSTITUTE(D74,"OR","d"),'FE Inconsistency Results'!$B$1:$B$500,0),1))&gt;50,"N/A",EXP(INDEX('FE Inconsistency Results'!$G$1:$G$500,MATCH(SUBSTITUTE(D74,"OR","d"),'FE Inconsistency Results'!$B$1:$B$500,0),1))))</f>
        <v/>
      </c>
      <c r="I74" s="138" t="str">
        <f ca="1">IF(INDIRECT(CONCATENATE("'",'Inconsistency Data'!$I$4,"'!N74"))="","",INDIRECT(CONCATENATE("'",'Inconsistency Data'!$I$4,"'!N74")))</f>
        <v/>
      </c>
      <c r="J74" s="126" t="str">
        <f ca="1">IF(INDIRECT(CONCATENATE("'",'Inconsistency Data'!$I$4,"'!O74"))="","",INDIRECT(CONCATENATE("'",'Inconsistency Data'!$I$4,"'!O74")))</f>
        <v/>
      </c>
      <c r="K74" s="127" t="str">
        <f ca="1">IF(INDIRECT(CONCATENATE("'",'Inconsistency Data'!$I$4,"'!Q74"))="","",INDIRECT(CONCATENATE("'",'Inconsistency Data'!$I$4,"'!Q74")))</f>
        <v/>
      </c>
      <c r="L74" s="128" t="str">
        <f>IF(D74="","",IF((INDEX('RE Inconsistency Results'!$H$1:$H$500,MATCH(SUBSTITUTE(D74,"OR","d"),'RE Inconsistency Results'!$B$1:$B$500,0),1))-(INDEX('RE Inconsistency Results'!$F$1:$F$500,MATCH(SUBSTITUTE(D74,"OR","d"),'RE Inconsistency Results'!$B$1:$B$500,0),1))&gt;50,"N/A",EXP(INDEX('RE Inconsistency Results'!$G$1:$G$500,MATCH(SUBSTITUTE(D74,"OR","d"),'RE Inconsistency Results'!$B$1:$B$500,0),1))))</f>
        <v/>
      </c>
    </row>
    <row r="75" spans="4:12" x14ac:dyDescent="0.25">
      <c r="D75" s="125" t="str">
        <f>IF('Fixed Effects'!N75="","",'Fixed Effects'!N75)</f>
        <v/>
      </c>
      <c r="E75" s="126" t="str">
        <f>IF('Fixed Effects'!O75="","",'Fixed Effects'!O75)</f>
        <v/>
      </c>
      <c r="F75" s="127" t="str">
        <f>IF('Fixed Effects'!Q75="","",'Fixed Effects'!Q75)</f>
        <v/>
      </c>
      <c r="G75" s="128" t="str">
        <f>IF(D75="","",IF((INDEX('FE Inconsistency Results'!$H$1:$H$500,MATCH(SUBSTITUTE(D75,"OR","d"),'FE Inconsistency Results'!$B$1:$B$500,0),1))-(INDEX('FE Inconsistency Results'!$F$1:$F$500,MATCH(SUBSTITUTE(D75,"OR","d"),'FE Inconsistency Results'!$B$1:$B$500,0),1))&gt;50,"N/A",EXP(INDEX('FE Inconsistency Results'!$G$1:$G$500,MATCH(SUBSTITUTE(D75,"OR","d"),'FE Inconsistency Results'!$B$1:$B$500,0),1))))</f>
        <v/>
      </c>
      <c r="I75" s="138" t="str">
        <f ca="1">IF(INDIRECT(CONCATENATE("'",'Inconsistency Data'!$I$4,"'!N75"))="","",INDIRECT(CONCATENATE("'",'Inconsistency Data'!$I$4,"'!N75")))</f>
        <v/>
      </c>
      <c r="J75" s="126" t="str">
        <f ca="1">IF(INDIRECT(CONCATENATE("'",'Inconsistency Data'!$I$4,"'!O75"))="","",INDIRECT(CONCATENATE("'",'Inconsistency Data'!$I$4,"'!O75")))</f>
        <v/>
      </c>
      <c r="K75" s="127" t="str">
        <f ca="1">IF(INDIRECT(CONCATENATE("'",'Inconsistency Data'!$I$4,"'!Q75"))="","",INDIRECT(CONCATENATE("'",'Inconsistency Data'!$I$4,"'!Q75")))</f>
        <v/>
      </c>
      <c r="L75" s="128" t="str">
        <f>IF(D75="","",IF((INDEX('RE Inconsistency Results'!$H$1:$H$500,MATCH(SUBSTITUTE(D75,"OR","d"),'RE Inconsistency Results'!$B$1:$B$500,0),1))-(INDEX('RE Inconsistency Results'!$F$1:$F$500,MATCH(SUBSTITUTE(D75,"OR","d"),'RE Inconsistency Results'!$B$1:$B$500,0),1))&gt;50,"N/A",EXP(INDEX('RE Inconsistency Results'!$G$1:$G$500,MATCH(SUBSTITUTE(D75,"OR","d"),'RE Inconsistency Results'!$B$1:$B$500,0),1))))</f>
        <v/>
      </c>
    </row>
    <row r="76" spans="4:12" x14ac:dyDescent="0.25">
      <c r="D76" s="125" t="str">
        <f>IF('Fixed Effects'!N76="","",'Fixed Effects'!N76)</f>
        <v/>
      </c>
      <c r="E76" s="126" t="str">
        <f>IF('Fixed Effects'!O76="","",'Fixed Effects'!O76)</f>
        <v/>
      </c>
      <c r="F76" s="127" t="str">
        <f>IF('Fixed Effects'!Q76="","",'Fixed Effects'!Q76)</f>
        <v/>
      </c>
      <c r="G76" s="128" t="str">
        <f>IF(D76="","",IF((INDEX('FE Inconsistency Results'!$H$1:$H$500,MATCH(SUBSTITUTE(D76,"OR","d"),'FE Inconsistency Results'!$B$1:$B$500,0),1))-(INDEX('FE Inconsistency Results'!$F$1:$F$500,MATCH(SUBSTITUTE(D76,"OR","d"),'FE Inconsistency Results'!$B$1:$B$500,0),1))&gt;50,"N/A",EXP(INDEX('FE Inconsistency Results'!$G$1:$G$500,MATCH(SUBSTITUTE(D76,"OR","d"),'FE Inconsistency Results'!$B$1:$B$500,0),1))))</f>
        <v/>
      </c>
      <c r="I76" s="138" t="str">
        <f ca="1">IF(INDIRECT(CONCATENATE("'",'Inconsistency Data'!$I$4,"'!N76"))="","",INDIRECT(CONCATENATE("'",'Inconsistency Data'!$I$4,"'!N76")))</f>
        <v/>
      </c>
      <c r="J76" s="126" t="str">
        <f ca="1">IF(INDIRECT(CONCATENATE("'",'Inconsistency Data'!$I$4,"'!O76"))="","",INDIRECT(CONCATENATE("'",'Inconsistency Data'!$I$4,"'!O76")))</f>
        <v/>
      </c>
      <c r="K76" s="127" t="str">
        <f ca="1">IF(INDIRECT(CONCATENATE("'",'Inconsistency Data'!$I$4,"'!Q76"))="","",INDIRECT(CONCATENATE("'",'Inconsistency Data'!$I$4,"'!Q76")))</f>
        <v/>
      </c>
      <c r="L76" s="128" t="str">
        <f>IF(D76="","",IF((INDEX('RE Inconsistency Results'!$H$1:$H$500,MATCH(SUBSTITUTE(D76,"OR","d"),'RE Inconsistency Results'!$B$1:$B$500,0),1))-(INDEX('RE Inconsistency Results'!$F$1:$F$500,MATCH(SUBSTITUTE(D76,"OR","d"),'RE Inconsistency Results'!$B$1:$B$500,0),1))&gt;50,"N/A",EXP(INDEX('RE Inconsistency Results'!$G$1:$G$500,MATCH(SUBSTITUTE(D76,"OR","d"),'RE Inconsistency Results'!$B$1:$B$500,0),1))))</f>
        <v/>
      </c>
    </row>
    <row r="77" spans="4:12" x14ac:dyDescent="0.25">
      <c r="D77" s="125" t="str">
        <f>IF('Fixed Effects'!N77="","",'Fixed Effects'!N77)</f>
        <v/>
      </c>
      <c r="E77" s="126" t="str">
        <f>IF('Fixed Effects'!O77="","",'Fixed Effects'!O77)</f>
        <v/>
      </c>
      <c r="F77" s="127" t="str">
        <f>IF('Fixed Effects'!Q77="","",'Fixed Effects'!Q77)</f>
        <v/>
      </c>
      <c r="G77" s="128" t="str">
        <f>IF(D77="","",IF((INDEX('FE Inconsistency Results'!$H$1:$H$500,MATCH(SUBSTITUTE(D77,"OR","d"),'FE Inconsistency Results'!$B$1:$B$500,0),1))-(INDEX('FE Inconsistency Results'!$F$1:$F$500,MATCH(SUBSTITUTE(D77,"OR","d"),'FE Inconsistency Results'!$B$1:$B$500,0),1))&gt;50,"N/A",EXP(INDEX('FE Inconsistency Results'!$G$1:$G$500,MATCH(SUBSTITUTE(D77,"OR","d"),'FE Inconsistency Results'!$B$1:$B$500,0),1))))</f>
        <v/>
      </c>
      <c r="I77" s="138" t="str">
        <f ca="1">IF(INDIRECT(CONCATENATE("'",'Inconsistency Data'!$I$4,"'!N77"))="","",INDIRECT(CONCATENATE("'",'Inconsistency Data'!$I$4,"'!N77")))</f>
        <v/>
      </c>
      <c r="J77" s="126" t="str">
        <f ca="1">IF(INDIRECT(CONCATENATE("'",'Inconsistency Data'!$I$4,"'!O77"))="","",INDIRECT(CONCATENATE("'",'Inconsistency Data'!$I$4,"'!O77")))</f>
        <v/>
      </c>
      <c r="K77" s="127" t="str">
        <f ca="1">IF(INDIRECT(CONCATENATE("'",'Inconsistency Data'!$I$4,"'!Q77"))="","",INDIRECT(CONCATENATE("'",'Inconsistency Data'!$I$4,"'!Q77")))</f>
        <v/>
      </c>
      <c r="L77" s="128" t="str">
        <f>IF(D77="","",IF((INDEX('RE Inconsistency Results'!$H$1:$H$500,MATCH(SUBSTITUTE(D77,"OR","d"),'RE Inconsistency Results'!$B$1:$B$500,0),1))-(INDEX('RE Inconsistency Results'!$F$1:$F$500,MATCH(SUBSTITUTE(D77,"OR","d"),'RE Inconsistency Results'!$B$1:$B$500,0),1))&gt;50,"N/A",EXP(INDEX('RE Inconsistency Results'!$G$1:$G$500,MATCH(SUBSTITUTE(D77,"OR","d"),'RE Inconsistency Results'!$B$1:$B$500,0),1))))</f>
        <v/>
      </c>
    </row>
    <row r="78" spans="4:12" x14ac:dyDescent="0.25">
      <c r="D78" s="125" t="str">
        <f>IF('Fixed Effects'!N78="","",'Fixed Effects'!N78)</f>
        <v/>
      </c>
      <c r="E78" s="126" t="str">
        <f>IF('Fixed Effects'!O78="","",'Fixed Effects'!O78)</f>
        <v/>
      </c>
      <c r="F78" s="127" t="str">
        <f>IF('Fixed Effects'!Q78="","",'Fixed Effects'!Q78)</f>
        <v/>
      </c>
      <c r="G78" s="128" t="str">
        <f>IF(D78="","",IF((INDEX('FE Inconsistency Results'!$H$1:$H$500,MATCH(SUBSTITUTE(D78,"OR","d"),'FE Inconsistency Results'!$B$1:$B$500,0),1))-(INDEX('FE Inconsistency Results'!$F$1:$F$500,MATCH(SUBSTITUTE(D78,"OR","d"),'FE Inconsistency Results'!$B$1:$B$500,0),1))&gt;50,"N/A",EXP(INDEX('FE Inconsistency Results'!$G$1:$G$500,MATCH(SUBSTITUTE(D78,"OR","d"),'FE Inconsistency Results'!$B$1:$B$500,0),1))))</f>
        <v/>
      </c>
      <c r="I78" s="138" t="str">
        <f ca="1">IF(INDIRECT(CONCATENATE("'",'Inconsistency Data'!$I$4,"'!N78"))="","",INDIRECT(CONCATENATE("'",'Inconsistency Data'!$I$4,"'!N78")))</f>
        <v/>
      </c>
      <c r="J78" s="126" t="str">
        <f ca="1">IF(INDIRECT(CONCATENATE("'",'Inconsistency Data'!$I$4,"'!O78"))="","",INDIRECT(CONCATENATE("'",'Inconsistency Data'!$I$4,"'!O78")))</f>
        <v/>
      </c>
      <c r="K78" s="127" t="str">
        <f ca="1">IF(INDIRECT(CONCATENATE("'",'Inconsistency Data'!$I$4,"'!Q78"))="","",INDIRECT(CONCATENATE("'",'Inconsistency Data'!$I$4,"'!Q78")))</f>
        <v/>
      </c>
      <c r="L78" s="128" t="str">
        <f>IF(D78="","",IF((INDEX('RE Inconsistency Results'!$H$1:$H$500,MATCH(SUBSTITUTE(D78,"OR","d"),'RE Inconsistency Results'!$B$1:$B$500,0),1))-(INDEX('RE Inconsistency Results'!$F$1:$F$500,MATCH(SUBSTITUTE(D78,"OR","d"),'RE Inconsistency Results'!$B$1:$B$500,0),1))&gt;50,"N/A",EXP(INDEX('RE Inconsistency Results'!$G$1:$G$500,MATCH(SUBSTITUTE(D78,"OR","d"),'RE Inconsistency Results'!$B$1:$B$500,0),1))))</f>
        <v/>
      </c>
    </row>
    <row r="79" spans="4:12" x14ac:dyDescent="0.25">
      <c r="D79" s="125" t="str">
        <f>IF('Fixed Effects'!N79="","",'Fixed Effects'!N79)</f>
        <v/>
      </c>
      <c r="E79" s="126" t="str">
        <f>IF('Fixed Effects'!O79="","",'Fixed Effects'!O79)</f>
        <v/>
      </c>
      <c r="F79" s="127" t="str">
        <f>IF('Fixed Effects'!Q79="","",'Fixed Effects'!Q79)</f>
        <v/>
      </c>
      <c r="G79" s="128" t="str">
        <f>IF(D79="","",IF((INDEX('FE Inconsistency Results'!$H$1:$H$500,MATCH(SUBSTITUTE(D79,"OR","d"),'FE Inconsistency Results'!$B$1:$B$500,0),1))-(INDEX('FE Inconsistency Results'!$F$1:$F$500,MATCH(SUBSTITUTE(D79,"OR","d"),'FE Inconsistency Results'!$B$1:$B$500,0),1))&gt;50,"N/A",EXP(INDEX('FE Inconsistency Results'!$G$1:$G$500,MATCH(SUBSTITUTE(D79,"OR","d"),'FE Inconsistency Results'!$B$1:$B$500,0),1))))</f>
        <v/>
      </c>
      <c r="I79" s="138" t="str">
        <f ca="1">IF(INDIRECT(CONCATENATE("'",'Inconsistency Data'!$I$4,"'!N79"))="","",INDIRECT(CONCATENATE("'",'Inconsistency Data'!$I$4,"'!N79")))</f>
        <v/>
      </c>
      <c r="J79" s="126" t="str">
        <f ca="1">IF(INDIRECT(CONCATENATE("'",'Inconsistency Data'!$I$4,"'!O79"))="","",INDIRECT(CONCATENATE("'",'Inconsistency Data'!$I$4,"'!O79")))</f>
        <v/>
      </c>
      <c r="K79" s="127" t="str">
        <f ca="1">IF(INDIRECT(CONCATENATE("'",'Inconsistency Data'!$I$4,"'!Q79"))="","",INDIRECT(CONCATENATE("'",'Inconsistency Data'!$I$4,"'!Q79")))</f>
        <v/>
      </c>
      <c r="L79" s="128" t="str">
        <f>IF(D79="","",IF((INDEX('RE Inconsistency Results'!$H$1:$H$500,MATCH(SUBSTITUTE(D79,"OR","d"),'RE Inconsistency Results'!$B$1:$B$500,0),1))-(INDEX('RE Inconsistency Results'!$F$1:$F$500,MATCH(SUBSTITUTE(D79,"OR","d"),'RE Inconsistency Results'!$B$1:$B$500,0),1))&gt;50,"N/A",EXP(INDEX('RE Inconsistency Results'!$G$1:$G$500,MATCH(SUBSTITUTE(D79,"OR","d"),'RE Inconsistency Results'!$B$1:$B$500,0),1))))</f>
        <v/>
      </c>
    </row>
    <row r="80" spans="4:12" x14ac:dyDescent="0.25">
      <c r="D80" s="125" t="str">
        <f>IF('Fixed Effects'!N80="","",'Fixed Effects'!N80)</f>
        <v/>
      </c>
      <c r="E80" s="126" t="str">
        <f>IF('Fixed Effects'!O80="","",'Fixed Effects'!O80)</f>
        <v/>
      </c>
      <c r="F80" s="127" t="str">
        <f>IF('Fixed Effects'!Q80="","",'Fixed Effects'!Q80)</f>
        <v/>
      </c>
      <c r="G80" s="128" t="str">
        <f>IF(D80="","",IF((INDEX('FE Inconsistency Results'!$H$1:$H$500,MATCH(SUBSTITUTE(D80,"OR","d"),'FE Inconsistency Results'!$B$1:$B$500,0),1))-(INDEX('FE Inconsistency Results'!$F$1:$F$500,MATCH(SUBSTITUTE(D80,"OR","d"),'FE Inconsistency Results'!$B$1:$B$500,0),1))&gt;50,"N/A",EXP(INDEX('FE Inconsistency Results'!$G$1:$G$500,MATCH(SUBSTITUTE(D80,"OR","d"),'FE Inconsistency Results'!$B$1:$B$500,0),1))))</f>
        <v/>
      </c>
      <c r="I80" s="138" t="str">
        <f ca="1">IF(INDIRECT(CONCATENATE("'",'Inconsistency Data'!$I$4,"'!N80"))="","",INDIRECT(CONCATENATE("'",'Inconsistency Data'!$I$4,"'!N80")))</f>
        <v/>
      </c>
      <c r="J80" s="126" t="str">
        <f ca="1">IF(INDIRECT(CONCATENATE("'",'Inconsistency Data'!$I$4,"'!O80"))="","",INDIRECT(CONCATENATE("'",'Inconsistency Data'!$I$4,"'!O80")))</f>
        <v/>
      </c>
      <c r="K80" s="127" t="str">
        <f ca="1">IF(INDIRECT(CONCATENATE("'",'Inconsistency Data'!$I$4,"'!Q80"))="","",INDIRECT(CONCATENATE("'",'Inconsistency Data'!$I$4,"'!Q80")))</f>
        <v/>
      </c>
      <c r="L80" s="128" t="str">
        <f>IF(D80="","",IF((INDEX('RE Inconsistency Results'!$H$1:$H$500,MATCH(SUBSTITUTE(D80,"OR","d"),'RE Inconsistency Results'!$B$1:$B$500,0),1))-(INDEX('RE Inconsistency Results'!$F$1:$F$500,MATCH(SUBSTITUTE(D80,"OR","d"),'RE Inconsistency Results'!$B$1:$B$500,0),1))&gt;50,"N/A",EXP(INDEX('RE Inconsistency Results'!$G$1:$G$500,MATCH(SUBSTITUTE(D80,"OR","d"),'RE Inconsistency Results'!$B$1:$B$500,0),1))))</f>
        <v/>
      </c>
    </row>
    <row r="81" spans="4:12" x14ac:dyDescent="0.25">
      <c r="D81" s="125" t="str">
        <f>IF('Fixed Effects'!N81="","",'Fixed Effects'!N81)</f>
        <v/>
      </c>
      <c r="E81" s="126" t="str">
        <f>IF('Fixed Effects'!O81="","",'Fixed Effects'!O81)</f>
        <v/>
      </c>
      <c r="F81" s="127" t="str">
        <f>IF('Fixed Effects'!Q81="","",'Fixed Effects'!Q81)</f>
        <v/>
      </c>
      <c r="G81" s="128" t="str">
        <f>IF(D81="","",IF((INDEX('FE Inconsistency Results'!$H$1:$H$500,MATCH(SUBSTITUTE(D81,"OR","d"),'FE Inconsistency Results'!$B$1:$B$500,0),1))-(INDEX('FE Inconsistency Results'!$F$1:$F$500,MATCH(SUBSTITUTE(D81,"OR","d"),'FE Inconsistency Results'!$B$1:$B$500,0),1))&gt;50,"N/A",EXP(INDEX('FE Inconsistency Results'!$G$1:$G$500,MATCH(SUBSTITUTE(D81,"OR","d"),'FE Inconsistency Results'!$B$1:$B$500,0),1))))</f>
        <v/>
      </c>
      <c r="I81" s="138" t="str">
        <f ca="1">IF(INDIRECT(CONCATENATE("'",'Inconsistency Data'!$I$4,"'!N81"))="","",INDIRECT(CONCATENATE("'",'Inconsistency Data'!$I$4,"'!N81")))</f>
        <v/>
      </c>
      <c r="J81" s="126" t="str">
        <f ca="1">IF(INDIRECT(CONCATENATE("'",'Inconsistency Data'!$I$4,"'!O81"))="","",INDIRECT(CONCATENATE("'",'Inconsistency Data'!$I$4,"'!O81")))</f>
        <v/>
      </c>
      <c r="K81" s="127" t="str">
        <f ca="1">IF(INDIRECT(CONCATENATE("'",'Inconsistency Data'!$I$4,"'!Q81"))="","",INDIRECT(CONCATENATE("'",'Inconsistency Data'!$I$4,"'!Q81")))</f>
        <v/>
      </c>
      <c r="L81" s="128" t="str">
        <f>IF(D81="","",IF((INDEX('RE Inconsistency Results'!$H$1:$H$500,MATCH(SUBSTITUTE(D81,"OR","d"),'RE Inconsistency Results'!$B$1:$B$500,0),1))-(INDEX('RE Inconsistency Results'!$F$1:$F$500,MATCH(SUBSTITUTE(D81,"OR","d"),'RE Inconsistency Results'!$B$1:$B$500,0),1))&gt;50,"N/A",EXP(INDEX('RE Inconsistency Results'!$G$1:$G$500,MATCH(SUBSTITUTE(D81,"OR","d"),'RE Inconsistency Results'!$B$1:$B$500,0),1))))</f>
        <v/>
      </c>
    </row>
    <row r="82" spans="4:12" x14ac:dyDescent="0.25">
      <c r="D82" s="125" t="str">
        <f>IF('Fixed Effects'!N82="","",'Fixed Effects'!N82)</f>
        <v/>
      </c>
      <c r="E82" s="126" t="str">
        <f>IF('Fixed Effects'!O82="","",'Fixed Effects'!O82)</f>
        <v/>
      </c>
      <c r="F82" s="127" t="str">
        <f>IF('Fixed Effects'!Q82="","",'Fixed Effects'!Q82)</f>
        <v/>
      </c>
      <c r="G82" s="128" t="str">
        <f>IF(D82="","",IF((INDEX('FE Inconsistency Results'!$H$1:$H$500,MATCH(SUBSTITUTE(D82,"OR","d"),'FE Inconsistency Results'!$B$1:$B$500,0),1))-(INDEX('FE Inconsistency Results'!$F$1:$F$500,MATCH(SUBSTITUTE(D82,"OR","d"),'FE Inconsistency Results'!$B$1:$B$500,0),1))&gt;50,"N/A",EXP(INDEX('FE Inconsistency Results'!$G$1:$G$500,MATCH(SUBSTITUTE(D82,"OR","d"),'FE Inconsistency Results'!$B$1:$B$500,0),1))))</f>
        <v/>
      </c>
      <c r="I82" s="138" t="str">
        <f ca="1">IF(INDIRECT(CONCATENATE("'",'Inconsistency Data'!$I$4,"'!N82"))="","",INDIRECT(CONCATENATE("'",'Inconsistency Data'!$I$4,"'!N82")))</f>
        <v/>
      </c>
      <c r="J82" s="126" t="str">
        <f ca="1">IF(INDIRECT(CONCATENATE("'",'Inconsistency Data'!$I$4,"'!O82"))="","",INDIRECT(CONCATENATE("'",'Inconsistency Data'!$I$4,"'!O82")))</f>
        <v/>
      </c>
      <c r="K82" s="127" t="str">
        <f ca="1">IF(INDIRECT(CONCATENATE("'",'Inconsistency Data'!$I$4,"'!Q82"))="","",INDIRECT(CONCATENATE("'",'Inconsistency Data'!$I$4,"'!Q82")))</f>
        <v/>
      </c>
      <c r="L82" s="128" t="str">
        <f>IF(D82="","",IF((INDEX('RE Inconsistency Results'!$H$1:$H$500,MATCH(SUBSTITUTE(D82,"OR","d"),'RE Inconsistency Results'!$B$1:$B$500,0),1))-(INDEX('RE Inconsistency Results'!$F$1:$F$500,MATCH(SUBSTITUTE(D82,"OR","d"),'RE Inconsistency Results'!$B$1:$B$500,0),1))&gt;50,"N/A",EXP(INDEX('RE Inconsistency Results'!$G$1:$G$500,MATCH(SUBSTITUTE(D82,"OR","d"),'RE Inconsistency Results'!$B$1:$B$500,0),1))))</f>
        <v/>
      </c>
    </row>
    <row r="83" spans="4:12" x14ac:dyDescent="0.25">
      <c r="D83" s="125" t="str">
        <f>IF('Fixed Effects'!N83="","",'Fixed Effects'!N83)</f>
        <v/>
      </c>
      <c r="E83" s="126" t="str">
        <f>IF('Fixed Effects'!O83="","",'Fixed Effects'!O83)</f>
        <v/>
      </c>
      <c r="F83" s="127" t="str">
        <f>IF('Fixed Effects'!Q83="","",'Fixed Effects'!Q83)</f>
        <v/>
      </c>
      <c r="G83" s="128" t="str">
        <f>IF(D83="","",IF((INDEX('FE Inconsistency Results'!$H$1:$H$500,MATCH(SUBSTITUTE(D83,"OR","d"),'FE Inconsistency Results'!$B$1:$B$500,0),1))-(INDEX('FE Inconsistency Results'!$F$1:$F$500,MATCH(SUBSTITUTE(D83,"OR","d"),'FE Inconsistency Results'!$B$1:$B$500,0),1))&gt;50,"N/A",EXP(INDEX('FE Inconsistency Results'!$G$1:$G$500,MATCH(SUBSTITUTE(D83,"OR","d"),'FE Inconsistency Results'!$B$1:$B$500,0),1))))</f>
        <v/>
      </c>
      <c r="I83" s="138" t="str">
        <f ca="1">IF(INDIRECT(CONCATENATE("'",'Inconsistency Data'!$I$4,"'!N83"))="","",INDIRECT(CONCATENATE("'",'Inconsistency Data'!$I$4,"'!N83")))</f>
        <v/>
      </c>
      <c r="J83" s="126" t="str">
        <f ca="1">IF(INDIRECT(CONCATENATE("'",'Inconsistency Data'!$I$4,"'!O83"))="","",INDIRECT(CONCATENATE("'",'Inconsistency Data'!$I$4,"'!O83")))</f>
        <v/>
      </c>
      <c r="K83" s="127" t="str">
        <f ca="1">IF(INDIRECT(CONCATENATE("'",'Inconsistency Data'!$I$4,"'!Q83"))="","",INDIRECT(CONCATENATE("'",'Inconsistency Data'!$I$4,"'!Q83")))</f>
        <v/>
      </c>
      <c r="L83" s="128" t="str">
        <f>IF(D83="","",IF((INDEX('RE Inconsistency Results'!$H$1:$H$500,MATCH(SUBSTITUTE(D83,"OR","d"),'RE Inconsistency Results'!$B$1:$B$500,0),1))-(INDEX('RE Inconsistency Results'!$F$1:$F$500,MATCH(SUBSTITUTE(D83,"OR","d"),'RE Inconsistency Results'!$B$1:$B$500,0),1))&gt;50,"N/A",EXP(INDEX('RE Inconsistency Results'!$G$1:$G$500,MATCH(SUBSTITUTE(D83,"OR","d"),'RE Inconsistency Results'!$B$1:$B$500,0),1))))</f>
        <v/>
      </c>
    </row>
    <row r="84" spans="4:12" x14ac:dyDescent="0.25">
      <c r="D84" s="125" t="str">
        <f>IF('Fixed Effects'!N84="","",'Fixed Effects'!N84)</f>
        <v/>
      </c>
      <c r="E84" s="126" t="str">
        <f>IF('Fixed Effects'!O84="","",'Fixed Effects'!O84)</f>
        <v/>
      </c>
      <c r="F84" s="127" t="str">
        <f>IF('Fixed Effects'!Q84="","",'Fixed Effects'!Q84)</f>
        <v/>
      </c>
      <c r="G84" s="128" t="str">
        <f>IF(D84="","",IF((INDEX('FE Inconsistency Results'!$H$1:$H$500,MATCH(SUBSTITUTE(D84,"OR","d"),'FE Inconsistency Results'!$B$1:$B$500,0),1))-(INDEX('FE Inconsistency Results'!$F$1:$F$500,MATCH(SUBSTITUTE(D84,"OR","d"),'FE Inconsistency Results'!$B$1:$B$500,0),1))&gt;50,"N/A",EXP(INDEX('FE Inconsistency Results'!$G$1:$G$500,MATCH(SUBSTITUTE(D84,"OR","d"),'FE Inconsistency Results'!$B$1:$B$500,0),1))))</f>
        <v/>
      </c>
      <c r="I84" s="138" t="str">
        <f ca="1">IF(INDIRECT(CONCATENATE("'",'Inconsistency Data'!$I$4,"'!N84"))="","",INDIRECT(CONCATENATE("'",'Inconsistency Data'!$I$4,"'!N84")))</f>
        <v/>
      </c>
      <c r="J84" s="126" t="str">
        <f ca="1">IF(INDIRECT(CONCATENATE("'",'Inconsistency Data'!$I$4,"'!O84"))="","",INDIRECT(CONCATENATE("'",'Inconsistency Data'!$I$4,"'!O84")))</f>
        <v/>
      </c>
      <c r="K84" s="127" t="str">
        <f ca="1">IF(INDIRECT(CONCATENATE("'",'Inconsistency Data'!$I$4,"'!Q84"))="","",INDIRECT(CONCATENATE("'",'Inconsistency Data'!$I$4,"'!Q84")))</f>
        <v/>
      </c>
      <c r="L84" s="128" t="str">
        <f>IF(D84="","",IF((INDEX('RE Inconsistency Results'!$H$1:$H$500,MATCH(SUBSTITUTE(D84,"OR","d"),'RE Inconsistency Results'!$B$1:$B$500,0),1))-(INDEX('RE Inconsistency Results'!$F$1:$F$500,MATCH(SUBSTITUTE(D84,"OR","d"),'RE Inconsistency Results'!$B$1:$B$500,0),1))&gt;50,"N/A",EXP(INDEX('RE Inconsistency Results'!$G$1:$G$500,MATCH(SUBSTITUTE(D84,"OR","d"),'RE Inconsistency Results'!$B$1:$B$500,0),1))))</f>
        <v/>
      </c>
    </row>
    <row r="85" spans="4:12" x14ac:dyDescent="0.25">
      <c r="D85" s="125" t="str">
        <f>IF('Fixed Effects'!N85="","",'Fixed Effects'!N85)</f>
        <v/>
      </c>
      <c r="E85" s="126" t="str">
        <f>IF('Fixed Effects'!O85="","",'Fixed Effects'!O85)</f>
        <v/>
      </c>
      <c r="F85" s="127" t="str">
        <f>IF('Fixed Effects'!Q85="","",'Fixed Effects'!Q85)</f>
        <v/>
      </c>
      <c r="G85" s="128" t="str">
        <f>IF(D85="","",IF((INDEX('FE Inconsistency Results'!$H$1:$H$500,MATCH(SUBSTITUTE(D85,"OR","d"),'FE Inconsistency Results'!$B$1:$B$500,0),1))-(INDEX('FE Inconsistency Results'!$F$1:$F$500,MATCH(SUBSTITUTE(D85,"OR","d"),'FE Inconsistency Results'!$B$1:$B$500,0),1))&gt;50,"N/A",EXP(INDEX('FE Inconsistency Results'!$G$1:$G$500,MATCH(SUBSTITUTE(D85,"OR","d"),'FE Inconsistency Results'!$B$1:$B$500,0),1))))</f>
        <v/>
      </c>
      <c r="I85" s="138" t="str">
        <f ca="1">IF(INDIRECT(CONCATENATE("'",'Inconsistency Data'!$I$4,"'!N85"))="","",INDIRECT(CONCATENATE("'",'Inconsistency Data'!$I$4,"'!N85")))</f>
        <v/>
      </c>
      <c r="J85" s="126" t="str">
        <f ca="1">IF(INDIRECT(CONCATENATE("'",'Inconsistency Data'!$I$4,"'!O85"))="","",INDIRECT(CONCATENATE("'",'Inconsistency Data'!$I$4,"'!O85")))</f>
        <v/>
      </c>
      <c r="K85" s="127" t="str">
        <f ca="1">IF(INDIRECT(CONCATENATE("'",'Inconsistency Data'!$I$4,"'!Q85"))="","",INDIRECT(CONCATENATE("'",'Inconsistency Data'!$I$4,"'!Q85")))</f>
        <v/>
      </c>
      <c r="L85" s="128" t="str">
        <f>IF(D85="","",IF((INDEX('RE Inconsistency Results'!$H$1:$H$500,MATCH(SUBSTITUTE(D85,"OR","d"),'RE Inconsistency Results'!$B$1:$B$500,0),1))-(INDEX('RE Inconsistency Results'!$F$1:$F$500,MATCH(SUBSTITUTE(D85,"OR","d"),'RE Inconsistency Results'!$B$1:$B$500,0),1))&gt;50,"N/A",EXP(INDEX('RE Inconsistency Results'!$G$1:$G$500,MATCH(SUBSTITUTE(D85,"OR","d"),'RE Inconsistency Results'!$B$1:$B$500,0),1))))</f>
        <v/>
      </c>
    </row>
    <row r="86" spans="4:12" x14ac:dyDescent="0.25">
      <c r="D86" s="125" t="str">
        <f>IF('Fixed Effects'!N86="","",'Fixed Effects'!N86)</f>
        <v/>
      </c>
      <c r="E86" s="126" t="str">
        <f>IF('Fixed Effects'!O86="","",'Fixed Effects'!O86)</f>
        <v/>
      </c>
      <c r="F86" s="127" t="str">
        <f>IF('Fixed Effects'!Q86="","",'Fixed Effects'!Q86)</f>
        <v/>
      </c>
      <c r="G86" s="128" t="str">
        <f>IF(D86="","",IF((INDEX('FE Inconsistency Results'!$H$1:$H$500,MATCH(SUBSTITUTE(D86,"OR","d"),'FE Inconsistency Results'!$B$1:$B$500,0),1))-(INDEX('FE Inconsistency Results'!$F$1:$F$500,MATCH(SUBSTITUTE(D86,"OR","d"),'FE Inconsistency Results'!$B$1:$B$500,0),1))&gt;50,"N/A",EXP(INDEX('FE Inconsistency Results'!$G$1:$G$500,MATCH(SUBSTITUTE(D86,"OR","d"),'FE Inconsistency Results'!$B$1:$B$500,0),1))))</f>
        <v/>
      </c>
      <c r="I86" s="138" t="str">
        <f ca="1">IF(INDIRECT(CONCATENATE("'",'Inconsistency Data'!$I$4,"'!N86"))="","",INDIRECT(CONCATENATE("'",'Inconsistency Data'!$I$4,"'!N86")))</f>
        <v/>
      </c>
      <c r="J86" s="126" t="str">
        <f ca="1">IF(INDIRECT(CONCATENATE("'",'Inconsistency Data'!$I$4,"'!O86"))="","",INDIRECT(CONCATENATE("'",'Inconsistency Data'!$I$4,"'!O86")))</f>
        <v/>
      </c>
      <c r="K86" s="127" t="str">
        <f ca="1">IF(INDIRECT(CONCATENATE("'",'Inconsistency Data'!$I$4,"'!Q86"))="","",INDIRECT(CONCATENATE("'",'Inconsistency Data'!$I$4,"'!Q86")))</f>
        <v/>
      </c>
      <c r="L86" s="128" t="str">
        <f>IF(D86="","",IF((INDEX('RE Inconsistency Results'!$H$1:$H$500,MATCH(SUBSTITUTE(D86,"OR","d"),'RE Inconsistency Results'!$B$1:$B$500,0),1))-(INDEX('RE Inconsistency Results'!$F$1:$F$500,MATCH(SUBSTITUTE(D86,"OR","d"),'RE Inconsistency Results'!$B$1:$B$500,0),1))&gt;50,"N/A",EXP(INDEX('RE Inconsistency Results'!$G$1:$G$500,MATCH(SUBSTITUTE(D86,"OR","d"),'RE Inconsistency Results'!$B$1:$B$500,0),1))))</f>
        <v/>
      </c>
    </row>
    <row r="87" spans="4:12" x14ac:dyDescent="0.25">
      <c r="D87" s="125" t="str">
        <f>IF('Fixed Effects'!N87="","",'Fixed Effects'!N87)</f>
        <v/>
      </c>
      <c r="E87" s="126" t="str">
        <f>IF('Fixed Effects'!O87="","",'Fixed Effects'!O87)</f>
        <v/>
      </c>
      <c r="F87" s="127" t="str">
        <f>IF('Fixed Effects'!Q87="","",'Fixed Effects'!Q87)</f>
        <v/>
      </c>
      <c r="G87" s="128" t="str">
        <f>IF(D87="","",IF((INDEX('FE Inconsistency Results'!$H$1:$H$500,MATCH(SUBSTITUTE(D87,"OR","d"),'FE Inconsistency Results'!$B$1:$B$500,0),1))-(INDEX('FE Inconsistency Results'!$F$1:$F$500,MATCH(SUBSTITUTE(D87,"OR","d"),'FE Inconsistency Results'!$B$1:$B$500,0),1))&gt;50,"N/A",EXP(INDEX('FE Inconsistency Results'!$G$1:$G$500,MATCH(SUBSTITUTE(D87,"OR","d"),'FE Inconsistency Results'!$B$1:$B$500,0),1))))</f>
        <v/>
      </c>
      <c r="I87" s="138" t="str">
        <f ca="1">IF(INDIRECT(CONCATENATE("'",'Inconsistency Data'!$I$4,"'!N87"))="","",INDIRECT(CONCATENATE("'",'Inconsistency Data'!$I$4,"'!N87")))</f>
        <v/>
      </c>
      <c r="J87" s="126" t="str">
        <f ca="1">IF(INDIRECT(CONCATENATE("'",'Inconsistency Data'!$I$4,"'!O87"))="","",INDIRECT(CONCATENATE("'",'Inconsistency Data'!$I$4,"'!O87")))</f>
        <v/>
      </c>
      <c r="K87" s="127" t="str">
        <f ca="1">IF(INDIRECT(CONCATENATE("'",'Inconsistency Data'!$I$4,"'!Q87"))="","",INDIRECT(CONCATENATE("'",'Inconsistency Data'!$I$4,"'!Q87")))</f>
        <v/>
      </c>
      <c r="L87" s="128" t="str">
        <f>IF(D87="","",IF((INDEX('RE Inconsistency Results'!$H$1:$H$500,MATCH(SUBSTITUTE(D87,"OR","d"),'RE Inconsistency Results'!$B$1:$B$500,0),1))-(INDEX('RE Inconsistency Results'!$F$1:$F$500,MATCH(SUBSTITUTE(D87,"OR","d"),'RE Inconsistency Results'!$B$1:$B$500,0),1))&gt;50,"N/A",EXP(INDEX('RE Inconsistency Results'!$G$1:$G$500,MATCH(SUBSTITUTE(D87,"OR","d"),'RE Inconsistency Results'!$B$1:$B$500,0),1))))</f>
        <v/>
      </c>
    </row>
    <row r="88" spans="4:12" x14ac:dyDescent="0.25">
      <c r="D88" s="125" t="str">
        <f>IF('Fixed Effects'!N88="","",'Fixed Effects'!N88)</f>
        <v/>
      </c>
      <c r="E88" s="126" t="str">
        <f>IF('Fixed Effects'!O88="","",'Fixed Effects'!O88)</f>
        <v/>
      </c>
      <c r="F88" s="127" t="str">
        <f>IF('Fixed Effects'!Q88="","",'Fixed Effects'!Q88)</f>
        <v/>
      </c>
      <c r="G88" s="128" t="str">
        <f>IF(D88="","",IF((INDEX('FE Inconsistency Results'!$H$1:$H$500,MATCH(SUBSTITUTE(D88,"OR","d"),'FE Inconsistency Results'!$B$1:$B$500,0),1))-(INDEX('FE Inconsistency Results'!$F$1:$F$500,MATCH(SUBSTITUTE(D88,"OR","d"),'FE Inconsistency Results'!$B$1:$B$500,0),1))&gt;50,"N/A",EXP(INDEX('FE Inconsistency Results'!$G$1:$G$500,MATCH(SUBSTITUTE(D88,"OR","d"),'FE Inconsistency Results'!$B$1:$B$500,0),1))))</f>
        <v/>
      </c>
      <c r="I88" s="138" t="str">
        <f ca="1">IF(INDIRECT(CONCATENATE("'",'Inconsistency Data'!$I$4,"'!N88"))="","",INDIRECT(CONCATENATE("'",'Inconsistency Data'!$I$4,"'!N88")))</f>
        <v/>
      </c>
      <c r="J88" s="126" t="str">
        <f ca="1">IF(INDIRECT(CONCATENATE("'",'Inconsistency Data'!$I$4,"'!O88"))="","",INDIRECT(CONCATENATE("'",'Inconsistency Data'!$I$4,"'!O88")))</f>
        <v/>
      </c>
      <c r="K88" s="127" t="str">
        <f ca="1">IF(INDIRECT(CONCATENATE("'",'Inconsistency Data'!$I$4,"'!Q88"))="","",INDIRECT(CONCATENATE("'",'Inconsistency Data'!$I$4,"'!Q88")))</f>
        <v/>
      </c>
      <c r="L88" s="128" t="str">
        <f>IF(D88="","",IF((INDEX('RE Inconsistency Results'!$H$1:$H$500,MATCH(SUBSTITUTE(D88,"OR","d"),'RE Inconsistency Results'!$B$1:$B$500,0),1))-(INDEX('RE Inconsistency Results'!$F$1:$F$500,MATCH(SUBSTITUTE(D88,"OR","d"),'RE Inconsistency Results'!$B$1:$B$500,0),1))&gt;50,"N/A",EXP(INDEX('RE Inconsistency Results'!$G$1:$G$500,MATCH(SUBSTITUTE(D88,"OR","d"),'RE Inconsistency Results'!$B$1:$B$500,0),1))))</f>
        <v/>
      </c>
    </row>
    <row r="89" spans="4:12" x14ac:dyDescent="0.25">
      <c r="D89" s="125" t="str">
        <f>IF('Fixed Effects'!N89="","",'Fixed Effects'!N89)</f>
        <v/>
      </c>
      <c r="E89" s="126" t="str">
        <f>IF('Fixed Effects'!O89="","",'Fixed Effects'!O89)</f>
        <v/>
      </c>
      <c r="F89" s="127" t="str">
        <f>IF('Fixed Effects'!Q89="","",'Fixed Effects'!Q89)</f>
        <v/>
      </c>
      <c r="G89" s="128" t="str">
        <f>IF(D89="","",IF((INDEX('FE Inconsistency Results'!$H$1:$H$500,MATCH(SUBSTITUTE(D89,"OR","d"),'FE Inconsistency Results'!$B$1:$B$500,0),1))-(INDEX('FE Inconsistency Results'!$F$1:$F$500,MATCH(SUBSTITUTE(D89,"OR","d"),'FE Inconsistency Results'!$B$1:$B$500,0),1))&gt;50,"N/A",EXP(INDEX('FE Inconsistency Results'!$G$1:$G$500,MATCH(SUBSTITUTE(D89,"OR","d"),'FE Inconsistency Results'!$B$1:$B$500,0),1))))</f>
        <v/>
      </c>
      <c r="I89" s="138" t="str">
        <f ca="1">IF(INDIRECT(CONCATENATE("'",'Inconsistency Data'!$I$4,"'!N89"))="","",INDIRECT(CONCATENATE("'",'Inconsistency Data'!$I$4,"'!N89")))</f>
        <v/>
      </c>
      <c r="J89" s="126" t="str">
        <f ca="1">IF(INDIRECT(CONCATENATE("'",'Inconsistency Data'!$I$4,"'!O89"))="","",INDIRECT(CONCATENATE("'",'Inconsistency Data'!$I$4,"'!O89")))</f>
        <v/>
      </c>
      <c r="K89" s="127" t="str">
        <f ca="1">IF(INDIRECT(CONCATENATE("'",'Inconsistency Data'!$I$4,"'!Q89"))="","",INDIRECT(CONCATENATE("'",'Inconsistency Data'!$I$4,"'!Q89")))</f>
        <v/>
      </c>
      <c r="L89" s="128" t="str">
        <f>IF(D89="","",IF((INDEX('RE Inconsistency Results'!$H$1:$H$500,MATCH(SUBSTITUTE(D89,"OR","d"),'RE Inconsistency Results'!$B$1:$B$500,0),1))-(INDEX('RE Inconsistency Results'!$F$1:$F$500,MATCH(SUBSTITUTE(D89,"OR","d"),'RE Inconsistency Results'!$B$1:$B$500,0),1))&gt;50,"N/A",EXP(INDEX('RE Inconsistency Results'!$G$1:$G$500,MATCH(SUBSTITUTE(D89,"OR","d"),'RE Inconsistency Results'!$B$1:$B$500,0),1))))</f>
        <v/>
      </c>
    </row>
    <row r="90" spans="4:12" x14ac:dyDescent="0.25">
      <c r="D90" s="125" t="str">
        <f>IF('Fixed Effects'!N90="","",'Fixed Effects'!N90)</f>
        <v/>
      </c>
      <c r="E90" s="126" t="str">
        <f>IF('Fixed Effects'!O90="","",'Fixed Effects'!O90)</f>
        <v/>
      </c>
      <c r="F90" s="127" t="str">
        <f>IF('Fixed Effects'!Q90="","",'Fixed Effects'!Q90)</f>
        <v/>
      </c>
      <c r="G90" s="128" t="str">
        <f>IF(D90="","",IF((INDEX('FE Inconsistency Results'!$H$1:$H$500,MATCH(SUBSTITUTE(D90,"OR","d"),'FE Inconsistency Results'!$B$1:$B$500,0),1))-(INDEX('FE Inconsistency Results'!$F$1:$F$500,MATCH(SUBSTITUTE(D90,"OR","d"),'FE Inconsistency Results'!$B$1:$B$500,0),1))&gt;50,"N/A",EXP(INDEX('FE Inconsistency Results'!$G$1:$G$500,MATCH(SUBSTITUTE(D90,"OR","d"),'FE Inconsistency Results'!$B$1:$B$500,0),1))))</f>
        <v/>
      </c>
      <c r="I90" s="138" t="str">
        <f ca="1">IF(INDIRECT(CONCATENATE("'",'Inconsistency Data'!$I$4,"'!N90"))="","",INDIRECT(CONCATENATE("'",'Inconsistency Data'!$I$4,"'!N90")))</f>
        <v/>
      </c>
      <c r="J90" s="126" t="str">
        <f ca="1">IF(INDIRECT(CONCATENATE("'",'Inconsistency Data'!$I$4,"'!O90"))="","",INDIRECT(CONCATENATE("'",'Inconsistency Data'!$I$4,"'!O90")))</f>
        <v/>
      </c>
      <c r="K90" s="127" t="str">
        <f ca="1">IF(INDIRECT(CONCATENATE("'",'Inconsistency Data'!$I$4,"'!Q90"))="","",INDIRECT(CONCATENATE("'",'Inconsistency Data'!$I$4,"'!Q90")))</f>
        <v/>
      </c>
      <c r="L90" s="128" t="str">
        <f>IF(D90="","",IF((INDEX('RE Inconsistency Results'!$H$1:$H$500,MATCH(SUBSTITUTE(D90,"OR","d"),'RE Inconsistency Results'!$B$1:$B$500,0),1))-(INDEX('RE Inconsistency Results'!$F$1:$F$500,MATCH(SUBSTITUTE(D90,"OR","d"),'RE Inconsistency Results'!$B$1:$B$500,0),1))&gt;50,"N/A",EXP(INDEX('RE Inconsistency Results'!$G$1:$G$500,MATCH(SUBSTITUTE(D90,"OR","d"),'RE Inconsistency Results'!$B$1:$B$500,0),1))))</f>
        <v/>
      </c>
    </row>
    <row r="91" spans="4:12" x14ac:dyDescent="0.25">
      <c r="D91" s="125" t="str">
        <f>IF('Fixed Effects'!N91="","",'Fixed Effects'!N91)</f>
        <v/>
      </c>
      <c r="E91" s="126" t="str">
        <f>IF('Fixed Effects'!O91="","",'Fixed Effects'!O91)</f>
        <v/>
      </c>
      <c r="F91" s="127" t="str">
        <f>IF('Fixed Effects'!Q91="","",'Fixed Effects'!Q91)</f>
        <v/>
      </c>
      <c r="G91" s="128" t="str">
        <f>IF(D91="","",IF((INDEX('FE Inconsistency Results'!$H$1:$H$500,MATCH(SUBSTITUTE(D91,"OR","d"),'FE Inconsistency Results'!$B$1:$B$500,0),1))-(INDEX('FE Inconsistency Results'!$F$1:$F$500,MATCH(SUBSTITUTE(D91,"OR","d"),'FE Inconsistency Results'!$B$1:$B$500,0),1))&gt;50,"N/A",EXP(INDEX('FE Inconsistency Results'!$G$1:$G$500,MATCH(SUBSTITUTE(D91,"OR","d"),'FE Inconsistency Results'!$B$1:$B$500,0),1))))</f>
        <v/>
      </c>
      <c r="I91" s="138" t="str">
        <f ca="1">IF(INDIRECT(CONCATENATE("'",'Inconsistency Data'!$I$4,"'!N91"))="","",INDIRECT(CONCATENATE("'",'Inconsistency Data'!$I$4,"'!N91")))</f>
        <v/>
      </c>
      <c r="J91" s="126" t="str">
        <f ca="1">IF(INDIRECT(CONCATENATE("'",'Inconsistency Data'!$I$4,"'!O91"))="","",INDIRECT(CONCATENATE("'",'Inconsistency Data'!$I$4,"'!O91")))</f>
        <v/>
      </c>
      <c r="K91" s="127" t="str">
        <f ca="1">IF(INDIRECT(CONCATENATE("'",'Inconsistency Data'!$I$4,"'!Q91"))="","",INDIRECT(CONCATENATE("'",'Inconsistency Data'!$I$4,"'!Q91")))</f>
        <v/>
      </c>
      <c r="L91" s="128" t="str">
        <f>IF(D91="","",IF((INDEX('RE Inconsistency Results'!$H$1:$H$500,MATCH(SUBSTITUTE(D91,"OR","d"),'RE Inconsistency Results'!$B$1:$B$500,0),1))-(INDEX('RE Inconsistency Results'!$F$1:$F$500,MATCH(SUBSTITUTE(D91,"OR","d"),'RE Inconsistency Results'!$B$1:$B$500,0),1))&gt;50,"N/A",EXP(INDEX('RE Inconsistency Results'!$G$1:$G$500,MATCH(SUBSTITUTE(D91,"OR","d"),'RE Inconsistency Results'!$B$1:$B$500,0),1))))</f>
        <v/>
      </c>
    </row>
    <row r="92" spans="4:12" x14ac:dyDescent="0.25">
      <c r="D92" s="125" t="str">
        <f>IF('Fixed Effects'!N92="","",'Fixed Effects'!N92)</f>
        <v/>
      </c>
      <c r="E92" s="126" t="str">
        <f>IF('Fixed Effects'!O92="","",'Fixed Effects'!O92)</f>
        <v/>
      </c>
      <c r="F92" s="127" t="str">
        <f>IF('Fixed Effects'!Q92="","",'Fixed Effects'!Q92)</f>
        <v/>
      </c>
      <c r="G92" s="128" t="str">
        <f>IF(D92="","",IF((INDEX('FE Inconsistency Results'!$H$1:$H$500,MATCH(SUBSTITUTE(D92,"OR","d"),'FE Inconsistency Results'!$B$1:$B$500,0),1))-(INDEX('FE Inconsistency Results'!$F$1:$F$500,MATCH(SUBSTITUTE(D92,"OR","d"),'FE Inconsistency Results'!$B$1:$B$500,0),1))&gt;50,"N/A",EXP(INDEX('FE Inconsistency Results'!$G$1:$G$500,MATCH(SUBSTITUTE(D92,"OR","d"),'FE Inconsistency Results'!$B$1:$B$500,0),1))))</f>
        <v/>
      </c>
      <c r="I92" s="138" t="str">
        <f ca="1">IF(INDIRECT(CONCATENATE("'",'Inconsistency Data'!$I$4,"'!N92"))="","",INDIRECT(CONCATENATE("'",'Inconsistency Data'!$I$4,"'!N92")))</f>
        <v/>
      </c>
      <c r="J92" s="126" t="str">
        <f ca="1">IF(INDIRECT(CONCATENATE("'",'Inconsistency Data'!$I$4,"'!O92"))="","",INDIRECT(CONCATENATE("'",'Inconsistency Data'!$I$4,"'!O92")))</f>
        <v/>
      </c>
      <c r="K92" s="127" t="str">
        <f ca="1">IF(INDIRECT(CONCATENATE("'",'Inconsistency Data'!$I$4,"'!Q92"))="","",INDIRECT(CONCATENATE("'",'Inconsistency Data'!$I$4,"'!Q92")))</f>
        <v/>
      </c>
      <c r="L92" s="128" t="str">
        <f>IF(D92="","",IF((INDEX('RE Inconsistency Results'!$H$1:$H$500,MATCH(SUBSTITUTE(D92,"OR","d"),'RE Inconsistency Results'!$B$1:$B$500,0),1))-(INDEX('RE Inconsistency Results'!$F$1:$F$500,MATCH(SUBSTITUTE(D92,"OR","d"),'RE Inconsistency Results'!$B$1:$B$500,0),1))&gt;50,"N/A",EXP(INDEX('RE Inconsistency Results'!$G$1:$G$500,MATCH(SUBSTITUTE(D92,"OR","d"),'RE Inconsistency Results'!$B$1:$B$500,0),1))))</f>
        <v/>
      </c>
    </row>
    <row r="93" spans="4:12" x14ac:dyDescent="0.25">
      <c r="D93" s="125" t="str">
        <f>IF('Fixed Effects'!N93="","",'Fixed Effects'!N93)</f>
        <v/>
      </c>
      <c r="E93" s="126" t="str">
        <f>IF('Fixed Effects'!O93="","",'Fixed Effects'!O93)</f>
        <v/>
      </c>
      <c r="F93" s="127" t="str">
        <f>IF('Fixed Effects'!Q93="","",'Fixed Effects'!Q93)</f>
        <v/>
      </c>
      <c r="G93" s="128" t="str">
        <f>IF(D93="","",IF((INDEX('FE Inconsistency Results'!$H$1:$H$500,MATCH(SUBSTITUTE(D93,"OR","d"),'FE Inconsistency Results'!$B$1:$B$500,0),1))-(INDEX('FE Inconsistency Results'!$F$1:$F$500,MATCH(SUBSTITUTE(D93,"OR","d"),'FE Inconsistency Results'!$B$1:$B$500,0),1))&gt;50,"N/A",EXP(INDEX('FE Inconsistency Results'!$G$1:$G$500,MATCH(SUBSTITUTE(D93,"OR","d"),'FE Inconsistency Results'!$B$1:$B$500,0),1))))</f>
        <v/>
      </c>
      <c r="I93" s="138" t="str">
        <f ca="1">IF(INDIRECT(CONCATENATE("'",'Inconsistency Data'!$I$4,"'!N93"))="","",INDIRECT(CONCATENATE("'",'Inconsistency Data'!$I$4,"'!N93")))</f>
        <v/>
      </c>
      <c r="J93" s="126" t="str">
        <f ca="1">IF(INDIRECT(CONCATENATE("'",'Inconsistency Data'!$I$4,"'!O93"))="","",INDIRECT(CONCATENATE("'",'Inconsistency Data'!$I$4,"'!O93")))</f>
        <v/>
      </c>
      <c r="K93" s="127" t="str">
        <f ca="1">IF(INDIRECT(CONCATENATE("'",'Inconsistency Data'!$I$4,"'!Q93"))="","",INDIRECT(CONCATENATE("'",'Inconsistency Data'!$I$4,"'!Q93")))</f>
        <v/>
      </c>
      <c r="L93" s="128" t="str">
        <f>IF(D93="","",IF((INDEX('RE Inconsistency Results'!$H$1:$H$500,MATCH(SUBSTITUTE(D93,"OR","d"),'RE Inconsistency Results'!$B$1:$B$500,0),1))-(INDEX('RE Inconsistency Results'!$F$1:$F$500,MATCH(SUBSTITUTE(D93,"OR","d"),'RE Inconsistency Results'!$B$1:$B$500,0),1))&gt;50,"N/A",EXP(INDEX('RE Inconsistency Results'!$G$1:$G$500,MATCH(SUBSTITUTE(D93,"OR","d"),'RE Inconsistency Results'!$B$1:$B$500,0),1))))</f>
        <v/>
      </c>
    </row>
    <row r="94" spans="4:12" x14ac:dyDescent="0.25">
      <c r="D94" s="125" t="str">
        <f>IF('Fixed Effects'!N94="","",'Fixed Effects'!N94)</f>
        <v/>
      </c>
      <c r="E94" s="126" t="str">
        <f>IF('Fixed Effects'!O94="","",'Fixed Effects'!O94)</f>
        <v/>
      </c>
      <c r="F94" s="127" t="str">
        <f>IF('Fixed Effects'!Q94="","",'Fixed Effects'!Q94)</f>
        <v/>
      </c>
      <c r="G94" s="128" t="str">
        <f>IF(D94="","",IF((INDEX('FE Inconsistency Results'!$H$1:$H$500,MATCH(SUBSTITUTE(D94,"OR","d"),'FE Inconsistency Results'!$B$1:$B$500,0),1))-(INDEX('FE Inconsistency Results'!$F$1:$F$500,MATCH(SUBSTITUTE(D94,"OR","d"),'FE Inconsistency Results'!$B$1:$B$500,0),1))&gt;50,"N/A",EXP(INDEX('FE Inconsistency Results'!$G$1:$G$500,MATCH(SUBSTITUTE(D94,"OR","d"),'FE Inconsistency Results'!$B$1:$B$500,0),1))))</f>
        <v/>
      </c>
      <c r="I94" s="138" t="str">
        <f ca="1">IF(INDIRECT(CONCATENATE("'",'Inconsistency Data'!$I$4,"'!N94"))="","",INDIRECT(CONCATENATE("'",'Inconsistency Data'!$I$4,"'!N94")))</f>
        <v/>
      </c>
      <c r="J94" s="126" t="str">
        <f ca="1">IF(INDIRECT(CONCATENATE("'",'Inconsistency Data'!$I$4,"'!O94"))="","",INDIRECT(CONCATENATE("'",'Inconsistency Data'!$I$4,"'!O94")))</f>
        <v/>
      </c>
      <c r="K94" s="127" t="str">
        <f ca="1">IF(INDIRECT(CONCATENATE("'",'Inconsistency Data'!$I$4,"'!Q94"))="","",INDIRECT(CONCATENATE("'",'Inconsistency Data'!$I$4,"'!Q94")))</f>
        <v/>
      </c>
      <c r="L94" s="128" t="str">
        <f>IF(D94="","",IF((INDEX('RE Inconsistency Results'!$H$1:$H$500,MATCH(SUBSTITUTE(D94,"OR","d"),'RE Inconsistency Results'!$B$1:$B$500,0),1))-(INDEX('RE Inconsistency Results'!$F$1:$F$500,MATCH(SUBSTITUTE(D94,"OR","d"),'RE Inconsistency Results'!$B$1:$B$500,0),1))&gt;50,"N/A",EXP(INDEX('RE Inconsistency Results'!$G$1:$G$500,MATCH(SUBSTITUTE(D94,"OR","d"),'RE Inconsistency Results'!$B$1:$B$500,0),1))))</f>
        <v/>
      </c>
    </row>
    <row r="95" spans="4:12" x14ac:dyDescent="0.25">
      <c r="D95" s="125" t="str">
        <f>IF('Fixed Effects'!N95="","",'Fixed Effects'!N95)</f>
        <v/>
      </c>
      <c r="E95" s="126" t="str">
        <f>IF('Fixed Effects'!O95="","",'Fixed Effects'!O95)</f>
        <v/>
      </c>
      <c r="F95" s="127" t="str">
        <f>IF('Fixed Effects'!Q95="","",'Fixed Effects'!Q95)</f>
        <v/>
      </c>
      <c r="G95" s="128" t="str">
        <f>IF(D95="","",IF((INDEX('FE Inconsistency Results'!$H$1:$H$500,MATCH(SUBSTITUTE(D95,"OR","d"),'FE Inconsistency Results'!$B$1:$B$500,0),1))-(INDEX('FE Inconsistency Results'!$F$1:$F$500,MATCH(SUBSTITUTE(D95,"OR","d"),'FE Inconsistency Results'!$B$1:$B$500,0),1))&gt;50,"N/A",EXP(INDEX('FE Inconsistency Results'!$G$1:$G$500,MATCH(SUBSTITUTE(D95,"OR","d"),'FE Inconsistency Results'!$B$1:$B$500,0),1))))</f>
        <v/>
      </c>
      <c r="I95" s="138" t="str">
        <f ca="1">IF(INDIRECT(CONCATENATE("'",'Inconsistency Data'!$I$4,"'!N95"))="","",INDIRECT(CONCATENATE("'",'Inconsistency Data'!$I$4,"'!N95")))</f>
        <v/>
      </c>
      <c r="J95" s="126" t="str">
        <f ca="1">IF(INDIRECT(CONCATENATE("'",'Inconsistency Data'!$I$4,"'!O95"))="","",INDIRECT(CONCATENATE("'",'Inconsistency Data'!$I$4,"'!O95")))</f>
        <v/>
      </c>
      <c r="K95" s="127" t="str">
        <f ca="1">IF(INDIRECT(CONCATENATE("'",'Inconsistency Data'!$I$4,"'!Q95"))="","",INDIRECT(CONCATENATE("'",'Inconsistency Data'!$I$4,"'!Q95")))</f>
        <v/>
      </c>
      <c r="L95" s="128" t="str">
        <f>IF(D95="","",IF((INDEX('RE Inconsistency Results'!$H$1:$H$500,MATCH(SUBSTITUTE(D95,"OR","d"),'RE Inconsistency Results'!$B$1:$B$500,0),1))-(INDEX('RE Inconsistency Results'!$F$1:$F$500,MATCH(SUBSTITUTE(D95,"OR","d"),'RE Inconsistency Results'!$B$1:$B$500,0),1))&gt;50,"N/A",EXP(INDEX('RE Inconsistency Results'!$G$1:$G$500,MATCH(SUBSTITUTE(D95,"OR","d"),'RE Inconsistency Results'!$B$1:$B$500,0),1))))</f>
        <v/>
      </c>
    </row>
    <row r="96" spans="4:12" x14ac:dyDescent="0.25">
      <c r="D96" s="125" t="str">
        <f>IF('Fixed Effects'!N96="","",'Fixed Effects'!N96)</f>
        <v/>
      </c>
      <c r="E96" s="126" t="str">
        <f>IF('Fixed Effects'!O96="","",'Fixed Effects'!O96)</f>
        <v/>
      </c>
      <c r="F96" s="127" t="str">
        <f>IF('Fixed Effects'!Q96="","",'Fixed Effects'!Q96)</f>
        <v/>
      </c>
      <c r="G96" s="128" t="str">
        <f>IF(D96="","",IF((INDEX('FE Inconsistency Results'!$H$1:$H$500,MATCH(SUBSTITUTE(D96,"OR","d"),'FE Inconsistency Results'!$B$1:$B$500,0),1))-(INDEX('FE Inconsistency Results'!$F$1:$F$500,MATCH(SUBSTITUTE(D96,"OR","d"),'FE Inconsistency Results'!$B$1:$B$500,0),1))&gt;50,"N/A",EXP(INDEX('FE Inconsistency Results'!$G$1:$G$500,MATCH(SUBSTITUTE(D96,"OR","d"),'FE Inconsistency Results'!$B$1:$B$500,0),1))))</f>
        <v/>
      </c>
      <c r="I96" s="138" t="str">
        <f ca="1">IF(INDIRECT(CONCATENATE("'",'Inconsistency Data'!$I$4,"'!N96"))="","",INDIRECT(CONCATENATE("'",'Inconsistency Data'!$I$4,"'!N96")))</f>
        <v/>
      </c>
      <c r="J96" s="126" t="str">
        <f ca="1">IF(INDIRECT(CONCATENATE("'",'Inconsistency Data'!$I$4,"'!O96"))="","",INDIRECT(CONCATENATE("'",'Inconsistency Data'!$I$4,"'!O96")))</f>
        <v/>
      </c>
      <c r="K96" s="127" t="str">
        <f ca="1">IF(INDIRECT(CONCATENATE("'",'Inconsistency Data'!$I$4,"'!Q96"))="","",INDIRECT(CONCATENATE("'",'Inconsistency Data'!$I$4,"'!Q96")))</f>
        <v/>
      </c>
      <c r="L96" s="128" t="str">
        <f>IF(D96="","",IF((INDEX('RE Inconsistency Results'!$H$1:$H$500,MATCH(SUBSTITUTE(D96,"OR","d"),'RE Inconsistency Results'!$B$1:$B$500,0),1))-(INDEX('RE Inconsistency Results'!$F$1:$F$500,MATCH(SUBSTITUTE(D96,"OR","d"),'RE Inconsistency Results'!$B$1:$B$500,0),1))&gt;50,"N/A",EXP(INDEX('RE Inconsistency Results'!$G$1:$G$500,MATCH(SUBSTITUTE(D96,"OR","d"),'RE Inconsistency Results'!$B$1:$B$500,0),1))))</f>
        <v/>
      </c>
    </row>
    <row r="97" spans="4:12" x14ac:dyDescent="0.25">
      <c r="D97" s="125" t="str">
        <f>IF('Fixed Effects'!N97="","",'Fixed Effects'!N97)</f>
        <v/>
      </c>
      <c r="E97" s="126" t="str">
        <f>IF('Fixed Effects'!O97="","",'Fixed Effects'!O97)</f>
        <v/>
      </c>
      <c r="F97" s="127" t="str">
        <f>IF('Fixed Effects'!Q97="","",'Fixed Effects'!Q97)</f>
        <v/>
      </c>
      <c r="G97" s="128" t="str">
        <f>IF(D97="","",IF((INDEX('FE Inconsistency Results'!$H$1:$H$500,MATCH(SUBSTITUTE(D97,"OR","d"),'FE Inconsistency Results'!$B$1:$B$500,0),1))-(INDEX('FE Inconsistency Results'!$F$1:$F$500,MATCH(SUBSTITUTE(D97,"OR","d"),'FE Inconsistency Results'!$B$1:$B$500,0),1))&gt;50,"N/A",EXP(INDEX('FE Inconsistency Results'!$G$1:$G$500,MATCH(SUBSTITUTE(D97,"OR","d"),'FE Inconsistency Results'!$B$1:$B$500,0),1))))</f>
        <v/>
      </c>
      <c r="I97" s="138" t="str">
        <f ca="1">IF(INDIRECT(CONCATENATE("'",'Inconsistency Data'!$I$4,"'!N97"))="","",INDIRECT(CONCATENATE("'",'Inconsistency Data'!$I$4,"'!N97")))</f>
        <v/>
      </c>
      <c r="J97" s="126" t="str">
        <f ca="1">IF(INDIRECT(CONCATENATE("'",'Inconsistency Data'!$I$4,"'!O97"))="","",INDIRECT(CONCATENATE("'",'Inconsistency Data'!$I$4,"'!O97")))</f>
        <v/>
      </c>
      <c r="K97" s="127" t="str">
        <f ca="1">IF(INDIRECT(CONCATENATE("'",'Inconsistency Data'!$I$4,"'!Q97"))="","",INDIRECT(CONCATENATE("'",'Inconsistency Data'!$I$4,"'!Q97")))</f>
        <v/>
      </c>
      <c r="L97" s="128" t="str">
        <f>IF(D97="","",IF((INDEX('RE Inconsistency Results'!$H$1:$H$500,MATCH(SUBSTITUTE(D97,"OR","d"),'RE Inconsistency Results'!$B$1:$B$500,0),1))-(INDEX('RE Inconsistency Results'!$F$1:$F$500,MATCH(SUBSTITUTE(D97,"OR","d"),'RE Inconsistency Results'!$B$1:$B$500,0),1))&gt;50,"N/A",EXP(INDEX('RE Inconsistency Results'!$G$1:$G$500,MATCH(SUBSTITUTE(D97,"OR","d"),'RE Inconsistency Results'!$B$1:$B$500,0),1))))</f>
        <v/>
      </c>
    </row>
    <row r="98" spans="4:12" x14ac:dyDescent="0.25">
      <c r="D98" s="125" t="str">
        <f>IF('Fixed Effects'!N98="","",'Fixed Effects'!N98)</f>
        <v/>
      </c>
      <c r="E98" s="126" t="str">
        <f>IF('Fixed Effects'!O98="","",'Fixed Effects'!O98)</f>
        <v/>
      </c>
      <c r="F98" s="127" t="str">
        <f>IF('Fixed Effects'!Q98="","",'Fixed Effects'!Q98)</f>
        <v/>
      </c>
      <c r="G98" s="128" t="str">
        <f>IF(D98="","",IF((INDEX('FE Inconsistency Results'!$H$1:$H$500,MATCH(SUBSTITUTE(D98,"OR","d"),'FE Inconsistency Results'!$B$1:$B$500,0),1))-(INDEX('FE Inconsistency Results'!$F$1:$F$500,MATCH(SUBSTITUTE(D98,"OR","d"),'FE Inconsistency Results'!$B$1:$B$500,0),1))&gt;50,"N/A",EXP(INDEX('FE Inconsistency Results'!$G$1:$G$500,MATCH(SUBSTITUTE(D98,"OR","d"),'FE Inconsistency Results'!$B$1:$B$500,0),1))))</f>
        <v/>
      </c>
      <c r="I98" s="138" t="str">
        <f ca="1">IF(INDIRECT(CONCATENATE("'",'Inconsistency Data'!$I$4,"'!N98"))="","",INDIRECT(CONCATENATE("'",'Inconsistency Data'!$I$4,"'!N98")))</f>
        <v/>
      </c>
      <c r="J98" s="126" t="str">
        <f ca="1">IF(INDIRECT(CONCATENATE("'",'Inconsistency Data'!$I$4,"'!O98"))="","",INDIRECT(CONCATENATE("'",'Inconsistency Data'!$I$4,"'!O98")))</f>
        <v/>
      </c>
      <c r="K98" s="127" t="str">
        <f ca="1">IF(INDIRECT(CONCATENATE("'",'Inconsistency Data'!$I$4,"'!Q98"))="","",INDIRECT(CONCATENATE("'",'Inconsistency Data'!$I$4,"'!Q98")))</f>
        <v/>
      </c>
      <c r="L98" s="128" t="str">
        <f>IF(D98="","",IF((INDEX('RE Inconsistency Results'!$H$1:$H$500,MATCH(SUBSTITUTE(D98,"OR","d"),'RE Inconsistency Results'!$B$1:$B$500,0),1))-(INDEX('RE Inconsistency Results'!$F$1:$F$500,MATCH(SUBSTITUTE(D98,"OR","d"),'RE Inconsistency Results'!$B$1:$B$500,0),1))&gt;50,"N/A",EXP(INDEX('RE Inconsistency Results'!$G$1:$G$500,MATCH(SUBSTITUTE(D98,"OR","d"),'RE Inconsistency Results'!$B$1:$B$500,0),1))))</f>
        <v/>
      </c>
    </row>
    <row r="99" spans="4:12" x14ac:dyDescent="0.25">
      <c r="D99" s="125" t="str">
        <f>IF('Fixed Effects'!N99="","",'Fixed Effects'!N99)</f>
        <v/>
      </c>
      <c r="E99" s="126" t="str">
        <f>IF('Fixed Effects'!O99="","",'Fixed Effects'!O99)</f>
        <v/>
      </c>
      <c r="F99" s="127" t="str">
        <f>IF('Fixed Effects'!Q99="","",'Fixed Effects'!Q99)</f>
        <v/>
      </c>
      <c r="G99" s="128" t="str">
        <f>IF(D99="","",IF((INDEX('FE Inconsistency Results'!$H$1:$H$500,MATCH(SUBSTITUTE(D99,"OR","d"),'FE Inconsistency Results'!$B$1:$B$500,0),1))-(INDEX('FE Inconsistency Results'!$F$1:$F$500,MATCH(SUBSTITUTE(D99,"OR","d"),'FE Inconsistency Results'!$B$1:$B$500,0),1))&gt;50,"N/A",EXP(INDEX('FE Inconsistency Results'!$G$1:$G$500,MATCH(SUBSTITUTE(D99,"OR","d"),'FE Inconsistency Results'!$B$1:$B$500,0),1))))</f>
        <v/>
      </c>
      <c r="I99" s="138" t="str">
        <f ca="1">IF(INDIRECT(CONCATENATE("'",'Inconsistency Data'!$I$4,"'!N99"))="","",INDIRECT(CONCATENATE("'",'Inconsistency Data'!$I$4,"'!N99")))</f>
        <v/>
      </c>
      <c r="J99" s="126" t="str">
        <f ca="1">IF(INDIRECT(CONCATENATE("'",'Inconsistency Data'!$I$4,"'!O99"))="","",INDIRECT(CONCATENATE("'",'Inconsistency Data'!$I$4,"'!O99")))</f>
        <v/>
      </c>
      <c r="K99" s="127" t="str">
        <f ca="1">IF(INDIRECT(CONCATENATE("'",'Inconsistency Data'!$I$4,"'!Q99"))="","",INDIRECT(CONCATENATE("'",'Inconsistency Data'!$I$4,"'!Q99")))</f>
        <v/>
      </c>
      <c r="L99" s="128" t="str">
        <f>IF(D99="","",IF((INDEX('RE Inconsistency Results'!$H$1:$H$500,MATCH(SUBSTITUTE(D99,"OR","d"),'RE Inconsistency Results'!$B$1:$B$500,0),1))-(INDEX('RE Inconsistency Results'!$F$1:$F$500,MATCH(SUBSTITUTE(D99,"OR","d"),'RE Inconsistency Results'!$B$1:$B$500,0),1))&gt;50,"N/A",EXP(INDEX('RE Inconsistency Results'!$G$1:$G$500,MATCH(SUBSTITUTE(D99,"OR","d"),'RE Inconsistency Results'!$B$1:$B$500,0),1))))</f>
        <v/>
      </c>
    </row>
    <row r="100" spans="4:12" x14ac:dyDescent="0.25">
      <c r="D100" s="125" t="str">
        <f>IF('Fixed Effects'!N100="","",'Fixed Effects'!N100)</f>
        <v/>
      </c>
      <c r="E100" s="126" t="str">
        <f>IF('Fixed Effects'!O100="","",'Fixed Effects'!O100)</f>
        <v/>
      </c>
      <c r="F100" s="127" t="str">
        <f>IF('Fixed Effects'!Q100="","",'Fixed Effects'!Q100)</f>
        <v/>
      </c>
      <c r="G100" s="128" t="str">
        <f>IF(D100="","",IF((INDEX('FE Inconsistency Results'!$H$1:$H$500,MATCH(SUBSTITUTE(D100,"OR","d"),'FE Inconsistency Results'!$B$1:$B$500,0),1))-(INDEX('FE Inconsistency Results'!$F$1:$F$500,MATCH(SUBSTITUTE(D100,"OR","d"),'FE Inconsistency Results'!$B$1:$B$500,0),1))&gt;50,"N/A",EXP(INDEX('FE Inconsistency Results'!$G$1:$G$500,MATCH(SUBSTITUTE(D100,"OR","d"),'FE Inconsistency Results'!$B$1:$B$500,0),1))))</f>
        <v/>
      </c>
      <c r="I100" s="138" t="str">
        <f ca="1">IF(INDIRECT(CONCATENATE("'",'Inconsistency Data'!$I$4,"'!N100"))="","",INDIRECT(CONCATENATE("'",'Inconsistency Data'!$I$4,"'!N100")))</f>
        <v/>
      </c>
      <c r="J100" s="126" t="str">
        <f ca="1">IF(INDIRECT(CONCATENATE("'",'Inconsistency Data'!$I$4,"'!O100"))="","",INDIRECT(CONCATENATE("'",'Inconsistency Data'!$I$4,"'!O100")))</f>
        <v/>
      </c>
      <c r="K100" s="127" t="str">
        <f ca="1">IF(INDIRECT(CONCATENATE("'",'Inconsistency Data'!$I$4,"'!Q100"))="","",INDIRECT(CONCATENATE("'",'Inconsistency Data'!$I$4,"'!Q100")))</f>
        <v/>
      </c>
      <c r="L100" s="128" t="str">
        <f>IF(D100="","",IF((INDEX('RE Inconsistency Results'!$H$1:$H$500,MATCH(SUBSTITUTE(D100,"OR","d"),'RE Inconsistency Results'!$B$1:$B$500,0),1))-(INDEX('RE Inconsistency Results'!$F$1:$F$500,MATCH(SUBSTITUTE(D100,"OR","d"),'RE Inconsistency Results'!$B$1:$B$500,0),1))&gt;50,"N/A",EXP(INDEX('RE Inconsistency Results'!$G$1:$G$500,MATCH(SUBSTITUTE(D100,"OR","d"),'RE Inconsistency Results'!$B$1:$B$500,0),1))))</f>
        <v/>
      </c>
    </row>
    <row r="101" spans="4:12" x14ac:dyDescent="0.25">
      <c r="D101" s="125" t="str">
        <f>IF('Fixed Effects'!N101="","",'Fixed Effects'!N101)</f>
        <v/>
      </c>
      <c r="E101" s="126" t="str">
        <f>IF('Fixed Effects'!O101="","",'Fixed Effects'!O101)</f>
        <v/>
      </c>
      <c r="F101" s="127" t="str">
        <f>IF('Fixed Effects'!Q101="","",'Fixed Effects'!Q101)</f>
        <v/>
      </c>
      <c r="G101" s="128" t="str">
        <f>IF(D101="","",IF((INDEX('FE Inconsistency Results'!$H$1:$H$500,MATCH(SUBSTITUTE(D101,"OR","d"),'FE Inconsistency Results'!$B$1:$B$500,0),1))-(INDEX('FE Inconsistency Results'!$F$1:$F$500,MATCH(SUBSTITUTE(D101,"OR","d"),'FE Inconsistency Results'!$B$1:$B$500,0),1))&gt;50,"N/A",EXP(INDEX('FE Inconsistency Results'!$G$1:$G$500,MATCH(SUBSTITUTE(D101,"OR","d"),'FE Inconsistency Results'!$B$1:$B$500,0),1))))</f>
        <v/>
      </c>
      <c r="I101" s="138" t="str">
        <f ca="1">IF(INDIRECT(CONCATENATE("'",'Inconsistency Data'!$I$4,"'!N101"))="","",INDIRECT(CONCATENATE("'",'Inconsistency Data'!$I$4,"'!N101")))</f>
        <v/>
      </c>
      <c r="J101" s="126" t="str">
        <f ca="1">IF(INDIRECT(CONCATENATE("'",'Inconsistency Data'!$I$4,"'!O101"))="","",INDIRECT(CONCATENATE("'",'Inconsistency Data'!$I$4,"'!O101")))</f>
        <v/>
      </c>
      <c r="K101" s="127" t="str">
        <f ca="1">IF(INDIRECT(CONCATENATE("'",'Inconsistency Data'!$I$4,"'!Q101"))="","",INDIRECT(CONCATENATE("'",'Inconsistency Data'!$I$4,"'!Q101")))</f>
        <v/>
      </c>
      <c r="L101" s="128" t="str">
        <f>IF(D101="","",IF((INDEX('RE Inconsistency Results'!$H$1:$H$500,MATCH(SUBSTITUTE(D101,"OR","d"),'RE Inconsistency Results'!$B$1:$B$500,0),1))-(INDEX('RE Inconsistency Results'!$F$1:$F$500,MATCH(SUBSTITUTE(D101,"OR","d"),'RE Inconsistency Results'!$B$1:$B$500,0),1))&gt;50,"N/A",EXP(INDEX('RE Inconsistency Results'!$G$1:$G$500,MATCH(SUBSTITUTE(D101,"OR","d"),'RE Inconsistency Results'!$B$1:$B$500,0),1))))</f>
        <v/>
      </c>
    </row>
    <row r="102" spans="4:12" x14ac:dyDescent="0.25">
      <c r="D102" s="125" t="str">
        <f>IF('Fixed Effects'!N102="","",'Fixed Effects'!N102)</f>
        <v/>
      </c>
      <c r="E102" s="126" t="str">
        <f>IF('Fixed Effects'!O102="","",'Fixed Effects'!O102)</f>
        <v/>
      </c>
      <c r="F102" s="127" t="str">
        <f>IF('Fixed Effects'!Q102="","",'Fixed Effects'!Q102)</f>
        <v/>
      </c>
      <c r="G102" s="128" t="str">
        <f>IF(D102="","",IF((INDEX('FE Inconsistency Results'!$H$1:$H$500,MATCH(SUBSTITUTE(D102,"OR","d"),'FE Inconsistency Results'!$B$1:$B$500,0),1))-(INDEX('FE Inconsistency Results'!$F$1:$F$500,MATCH(SUBSTITUTE(D102,"OR","d"),'FE Inconsistency Results'!$B$1:$B$500,0),1))&gt;50,"N/A",EXP(INDEX('FE Inconsistency Results'!$G$1:$G$500,MATCH(SUBSTITUTE(D102,"OR","d"),'FE Inconsistency Results'!$B$1:$B$500,0),1))))</f>
        <v/>
      </c>
      <c r="I102" s="138" t="str">
        <f ca="1">IF(INDIRECT(CONCATENATE("'",'Inconsistency Data'!$I$4,"'!N102"))="","",INDIRECT(CONCATENATE("'",'Inconsistency Data'!$I$4,"'!N102")))</f>
        <v/>
      </c>
      <c r="J102" s="126" t="str">
        <f ca="1">IF(INDIRECT(CONCATENATE("'",'Inconsistency Data'!$I$4,"'!O102"))="","",INDIRECT(CONCATENATE("'",'Inconsistency Data'!$I$4,"'!O102")))</f>
        <v/>
      </c>
      <c r="K102" s="127" t="str">
        <f ca="1">IF(INDIRECT(CONCATENATE("'",'Inconsistency Data'!$I$4,"'!Q102"))="","",INDIRECT(CONCATENATE("'",'Inconsistency Data'!$I$4,"'!Q102")))</f>
        <v/>
      </c>
      <c r="L102" s="128" t="str">
        <f>IF(D102="","",IF((INDEX('RE Inconsistency Results'!$H$1:$H$500,MATCH(SUBSTITUTE(D102,"OR","d"),'RE Inconsistency Results'!$B$1:$B$500,0),1))-(INDEX('RE Inconsistency Results'!$F$1:$F$500,MATCH(SUBSTITUTE(D102,"OR","d"),'RE Inconsistency Results'!$B$1:$B$500,0),1))&gt;50,"N/A",EXP(INDEX('RE Inconsistency Results'!$G$1:$G$500,MATCH(SUBSTITUTE(D102,"OR","d"),'RE Inconsistency Results'!$B$1:$B$500,0),1))))</f>
        <v/>
      </c>
    </row>
    <row r="103" spans="4:12" x14ac:dyDescent="0.25">
      <c r="D103" s="125" t="str">
        <f>IF('Fixed Effects'!N103="","",'Fixed Effects'!N103)</f>
        <v/>
      </c>
      <c r="E103" s="126" t="str">
        <f>IF('Fixed Effects'!O103="","",'Fixed Effects'!O103)</f>
        <v/>
      </c>
      <c r="F103" s="127" t="str">
        <f>IF('Fixed Effects'!Q103="","",'Fixed Effects'!Q103)</f>
        <v/>
      </c>
      <c r="G103" s="128" t="str">
        <f>IF(D103="","",IF((INDEX('FE Inconsistency Results'!$H$1:$H$500,MATCH(SUBSTITUTE(D103,"OR","d"),'FE Inconsistency Results'!$B$1:$B$500,0),1))-(INDEX('FE Inconsistency Results'!$F$1:$F$500,MATCH(SUBSTITUTE(D103,"OR","d"),'FE Inconsistency Results'!$B$1:$B$500,0),1))&gt;50,"N/A",EXP(INDEX('FE Inconsistency Results'!$G$1:$G$500,MATCH(SUBSTITUTE(D103,"OR","d"),'FE Inconsistency Results'!$B$1:$B$500,0),1))))</f>
        <v/>
      </c>
      <c r="I103" s="138" t="str">
        <f ca="1">IF(INDIRECT(CONCATENATE("'",'Inconsistency Data'!$I$4,"'!N103"))="","",INDIRECT(CONCATENATE("'",'Inconsistency Data'!$I$4,"'!N103")))</f>
        <v/>
      </c>
      <c r="J103" s="126" t="str">
        <f ca="1">IF(INDIRECT(CONCATENATE("'",'Inconsistency Data'!$I$4,"'!O103"))="","",INDIRECT(CONCATENATE("'",'Inconsistency Data'!$I$4,"'!O103")))</f>
        <v/>
      </c>
      <c r="K103" s="127" t="str">
        <f ca="1">IF(INDIRECT(CONCATENATE("'",'Inconsistency Data'!$I$4,"'!Q103"))="","",INDIRECT(CONCATENATE("'",'Inconsistency Data'!$I$4,"'!Q103")))</f>
        <v/>
      </c>
      <c r="L103" s="128" t="str">
        <f>IF(D103="","",IF((INDEX('RE Inconsistency Results'!$H$1:$H$500,MATCH(SUBSTITUTE(D103,"OR","d"),'RE Inconsistency Results'!$B$1:$B$500,0),1))-(INDEX('RE Inconsistency Results'!$F$1:$F$500,MATCH(SUBSTITUTE(D103,"OR","d"),'RE Inconsistency Results'!$B$1:$B$500,0),1))&gt;50,"N/A",EXP(INDEX('RE Inconsistency Results'!$G$1:$G$500,MATCH(SUBSTITUTE(D103,"OR","d"),'RE Inconsistency Results'!$B$1:$B$500,0),1))))</f>
        <v/>
      </c>
    </row>
    <row r="104" spans="4:12" x14ac:dyDescent="0.25">
      <c r="D104" s="125" t="str">
        <f>IF('Fixed Effects'!N104="","",'Fixed Effects'!N104)</f>
        <v/>
      </c>
      <c r="E104" s="126" t="str">
        <f>IF('Fixed Effects'!O104="","",'Fixed Effects'!O104)</f>
        <v/>
      </c>
      <c r="F104" s="127" t="str">
        <f>IF('Fixed Effects'!Q104="","",'Fixed Effects'!Q104)</f>
        <v/>
      </c>
      <c r="G104" s="128" t="str">
        <f>IF(D104="","",IF((INDEX('FE Inconsistency Results'!$H$1:$H$500,MATCH(SUBSTITUTE(D104,"OR","d"),'FE Inconsistency Results'!$B$1:$B$500,0),1))-(INDEX('FE Inconsistency Results'!$F$1:$F$500,MATCH(SUBSTITUTE(D104,"OR","d"),'FE Inconsistency Results'!$B$1:$B$500,0),1))&gt;50,"N/A",EXP(INDEX('FE Inconsistency Results'!$G$1:$G$500,MATCH(SUBSTITUTE(D104,"OR","d"),'FE Inconsistency Results'!$B$1:$B$500,0),1))))</f>
        <v/>
      </c>
      <c r="I104" s="138" t="str">
        <f ca="1">IF(INDIRECT(CONCATENATE("'",'Inconsistency Data'!$I$4,"'!N104"))="","",INDIRECT(CONCATENATE("'",'Inconsistency Data'!$I$4,"'!N104")))</f>
        <v/>
      </c>
      <c r="J104" s="126" t="str">
        <f ca="1">IF(INDIRECT(CONCATENATE("'",'Inconsistency Data'!$I$4,"'!O104"))="","",INDIRECT(CONCATENATE("'",'Inconsistency Data'!$I$4,"'!O104")))</f>
        <v/>
      </c>
      <c r="K104" s="127" t="str">
        <f ca="1">IF(INDIRECT(CONCATENATE("'",'Inconsistency Data'!$I$4,"'!Q104"))="","",INDIRECT(CONCATENATE("'",'Inconsistency Data'!$I$4,"'!Q104")))</f>
        <v/>
      </c>
      <c r="L104" s="128" t="str">
        <f>IF(D104="","",IF((INDEX('RE Inconsistency Results'!$H$1:$H$500,MATCH(SUBSTITUTE(D104,"OR","d"),'RE Inconsistency Results'!$B$1:$B$500,0),1))-(INDEX('RE Inconsistency Results'!$F$1:$F$500,MATCH(SUBSTITUTE(D104,"OR","d"),'RE Inconsistency Results'!$B$1:$B$500,0),1))&gt;50,"N/A",EXP(INDEX('RE Inconsistency Results'!$G$1:$G$500,MATCH(SUBSTITUTE(D104,"OR","d"),'RE Inconsistency Results'!$B$1:$B$500,0),1))))</f>
        <v/>
      </c>
    </row>
    <row r="105" spans="4:12" x14ac:dyDescent="0.25">
      <c r="D105" s="125" t="str">
        <f>IF('Fixed Effects'!N105="","",'Fixed Effects'!N105)</f>
        <v/>
      </c>
      <c r="E105" s="126" t="str">
        <f>IF('Fixed Effects'!O105="","",'Fixed Effects'!O105)</f>
        <v/>
      </c>
      <c r="F105" s="127" t="str">
        <f>IF('Fixed Effects'!Q105="","",'Fixed Effects'!Q105)</f>
        <v/>
      </c>
      <c r="G105" s="128" t="str">
        <f>IF(D105="","",IF((INDEX('FE Inconsistency Results'!$H$1:$H$500,MATCH(SUBSTITUTE(D105,"OR","d"),'FE Inconsistency Results'!$B$1:$B$500,0),1))-(INDEX('FE Inconsistency Results'!$F$1:$F$500,MATCH(SUBSTITUTE(D105,"OR","d"),'FE Inconsistency Results'!$B$1:$B$500,0),1))&gt;50,"N/A",EXP(INDEX('FE Inconsistency Results'!$G$1:$G$500,MATCH(SUBSTITUTE(D105,"OR","d"),'FE Inconsistency Results'!$B$1:$B$500,0),1))))</f>
        <v/>
      </c>
      <c r="I105" s="138" t="str">
        <f ca="1">IF(INDIRECT(CONCATENATE("'",'Inconsistency Data'!$I$4,"'!N105"))="","",INDIRECT(CONCATENATE("'",'Inconsistency Data'!$I$4,"'!N105")))</f>
        <v/>
      </c>
      <c r="J105" s="126" t="str">
        <f ca="1">IF(INDIRECT(CONCATENATE("'",'Inconsistency Data'!$I$4,"'!O105"))="","",INDIRECT(CONCATENATE("'",'Inconsistency Data'!$I$4,"'!O105")))</f>
        <v/>
      </c>
      <c r="K105" s="127" t="str">
        <f ca="1">IF(INDIRECT(CONCATENATE("'",'Inconsistency Data'!$I$4,"'!Q105"))="","",INDIRECT(CONCATENATE("'",'Inconsistency Data'!$I$4,"'!Q105")))</f>
        <v/>
      </c>
      <c r="L105" s="128" t="str">
        <f>IF(D105="","",IF((INDEX('RE Inconsistency Results'!$H$1:$H$500,MATCH(SUBSTITUTE(D105,"OR","d"),'RE Inconsistency Results'!$B$1:$B$500,0),1))-(INDEX('RE Inconsistency Results'!$F$1:$F$500,MATCH(SUBSTITUTE(D105,"OR","d"),'RE Inconsistency Results'!$B$1:$B$500,0),1))&gt;50,"N/A",EXP(INDEX('RE Inconsistency Results'!$G$1:$G$500,MATCH(SUBSTITUTE(D105,"OR","d"),'RE Inconsistency Results'!$B$1:$B$500,0),1))))</f>
        <v/>
      </c>
    </row>
    <row r="106" spans="4:12" x14ac:dyDescent="0.25">
      <c r="D106" s="125" t="str">
        <f>IF('Fixed Effects'!N106="","",'Fixed Effects'!N106)</f>
        <v/>
      </c>
      <c r="E106" s="126" t="str">
        <f>IF('Fixed Effects'!O106="","",'Fixed Effects'!O106)</f>
        <v/>
      </c>
      <c r="F106" s="127" t="str">
        <f>IF('Fixed Effects'!Q106="","",'Fixed Effects'!Q106)</f>
        <v/>
      </c>
      <c r="G106" s="128" t="str">
        <f>IF(D106="","",IF((INDEX('FE Inconsistency Results'!$H$1:$H$500,MATCH(SUBSTITUTE(D106,"OR","d"),'FE Inconsistency Results'!$B$1:$B$500,0),1))-(INDEX('FE Inconsistency Results'!$F$1:$F$500,MATCH(SUBSTITUTE(D106,"OR","d"),'FE Inconsistency Results'!$B$1:$B$500,0),1))&gt;50,"N/A",EXP(INDEX('FE Inconsistency Results'!$G$1:$G$500,MATCH(SUBSTITUTE(D106,"OR","d"),'FE Inconsistency Results'!$B$1:$B$500,0),1))))</f>
        <v/>
      </c>
      <c r="I106" s="138" t="str">
        <f ca="1">IF(INDIRECT(CONCATENATE("'",'Inconsistency Data'!$I$4,"'!N106"))="","",INDIRECT(CONCATENATE("'",'Inconsistency Data'!$I$4,"'!N106")))</f>
        <v/>
      </c>
      <c r="J106" s="126" t="str">
        <f ca="1">IF(INDIRECT(CONCATENATE("'",'Inconsistency Data'!$I$4,"'!O106"))="","",INDIRECT(CONCATENATE("'",'Inconsistency Data'!$I$4,"'!O106")))</f>
        <v/>
      </c>
      <c r="K106" s="127" t="str">
        <f ca="1">IF(INDIRECT(CONCATENATE("'",'Inconsistency Data'!$I$4,"'!Q106"))="","",INDIRECT(CONCATENATE("'",'Inconsistency Data'!$I$4,"'!Q106")))</f>
        <v/>
      </c>
      <c r="L106" s="128" t="str">
        <f>IF(D106="","",IF((INDEX('RE Inconsistency Results'!$H$1:$H$500,MATCH(SUBSTITUTE(D106,"OR","d"),'RE Inconsistency Results'!$B$1:$B$500,0),1))-(INDEX('RE Inconsistency Results'!$F$1:$F$500,MATCH(SUBSTITUTE(D106,"OR","d"),'RE Inconsistency Results'!$B$1:$B$500,0),1))&gt;50,"N/A",EXP(INDEX('RE Inconsistency Results'!$G$1:$G$500,MATCH(SUBSTITUTE(D106,"OR","d"),'RE Inconsistency Results'!$B$1:$B$500,0),1))))</f>
        <v/>
      </c>
    </row>
    <row r="107" spans="4:12" x14ac:dyDescent="0.25">
      <c r="D107" s="125" t="str">
        <f>IF('Fixed Effects'!N107="","",'Fixed Effects'!N107)</f>
        <v/>
      </c>
      <c r="E107" s="126" t="str">
        <f>IF('Fixed Effects'!O107="","",'Fixed Effects'!O107)</f>
        <v/>
      </c>
      <c r="F107" s="127" t="str">
        <f>IF('Fixed Effects'!Q107="","",'Fixed Effects'!Q107)</f>
        <v/>
      </c>
      <c r="G107" s="128" t="str">
        <f>IF(D107="","",IF((INDEX('FE Inconsistency Results'!$H$1:$H$500,MATCH(SUBSTITUTE(D107,"OR","d"),'FE Inconsistency Results'!$B$1:$B$500,0),1))-(INDEX('FE Inconsistency Results'!$F$1:$F$500,MATCH(SUBSTITUTE(D107,"OR","d"),'FE Inconsistency Results'!$B$1:$B$500,0),1))&gt;50,"N/A",EXP(INDEX('FE Inconsistency Results'!$G$1:$G$500,MATCH(SUBSTITUTE(D107,"OR","d"),'FE Inconsistency Results'!$B$1:$B$500,0),1))))</f>
        <v/>
      </c>
      <c r="I107" s="138" t="str">
        <f ca="1">IF(INDIRECT(CONCATENATE("'",'Inconsistency Data'!$I$4,"'!N107"))="","",INDIRECT(CONCATENATE("'",'Inconsistency Data'!$I$4,"'!N107")))</f>
        <v/>
      </c>
      <c r="J107" s="126" t="str">
        <f ca="1">IF(INDIRECT(CONCATENATE("'",'Inconsistency Data'!$I$4,"'!O107"))="","",INDIRECT(CONCATENATE("'",'Inconsistency Data'!$I$4,"'!O107")))</f>
        <v/>
      </c>
      <c r="K107" s="127" t="str">
        <f ca="1">IF(INDIRECT(CONCATENATE("'",'Inconsistency Data'!$I$4,"'!Q107"))="","",INDIRECT(CONCATENATE("'",'Inconsistency Data'!$I$4,"'!Q107")))</f>
        <v/>
      </c>
      <c r="L107" s="128" t="str">
        <f>IF(D107="","",IF((INDEX('RE Inconsistency Results'!$H$1:$H$500,MATCH(SUBSTITUTE(D107,"OR","d"),'RE Inconsistency Results'!$B$1:$B$500,0),1))-(INDEX('RE Inconsistency Results'!$F$1:$F$500,MATCH(SUBSTITUTE(D107,"OR","d"),'RE Inconsistency Results'!$B$1:$B$500,0),1))&gt;50,"N/A",EXP(INDEX('RE Inconsistency Results'!$G$1:$G$500,MATCH(SUBSTITUTE(D107,"OR","d"),'RE Inconsistency Results'!$B$1:$B$500,0),1))))</f>
        <v/>
      </c>
    </row>
    <row r="108" spans="4:12" x14ac:dyDescent="0.25">
      <c r="D108" s="125" t="str">
        <f>IF('Fixed Effects'!N108="","",'Fixed Effects'!N108)</f>
        <v/>
      </c>
      <c r="E108" s="126" t="str">
        <f>IF('Fixed Effects'!O108="","",'Fixed Effects'!O108)</f>
        <v/>
      </c>
      <c r="F108" s="127" t="str">
        <f>IF('Fixed Effects'!Q108="","",'Fixed Effects'!Q108)</f>
        <v/>
      </c>
      <c r="G108" s="128" t="str">
        <f>IF(D108="","",IF((INDEX('FE Inconsistency Results'!$H$1:$H$500,MATCH(SUBSTITUTE(D108,"OR","d"),'FE Inconsistency Results'!$B$1:$B$500,0),1))-(INDEX('FE Inconsistency Results'!$F$1:$F$500,MATCH(SUBSTITUTE(D108,"OR","d"),'FE Inconsistency Results'!$B$1:$B$500,0),1))&gt;50,"N/A",EXP(INDEX('FE Inconsistency Results'!$G$1:$G$500,MATCH(SUBSTITUTE(D108,"OR","d"),'FE Inconsistency Results'!$B$1:$B$500,0),1))))</f>
        <v/>
      </c>
      <c r="I108" s="138" t="str">
        <f ca="1">IF(INDIRECT(CONCATENATE("'",'Inconsistency Data'!$I$4,"'!N108"))="","",INDIRECT(CONCATENATE("'",'Inconsistency Data'!$I$4,"'!N108")))</f>
        <v/>
      </c>
      <c r="J108" s="126" t="str">
        <f ca="1">IF(INDIRECT(CONCATENATE("'",'Inconsistency Data'!$I$4,"'!O108"))="","",INDIRECT(CONCATENATE("'",'Inconsistency Data'!$I$4,"'!O108")))</f>
        <v/>
      </c>
      <c r="K108" s="127" t="str">
        <f ca="1">IF(INDIRECT(CONCATENATE("'",'Inconsistency Data'!$I$4,"'!Q108"))="","",INDIRECT(CONCATENATE("'",'Inconsistency Data'!$I$4,"'!Q108")))</f>
        <v/>
      </c>
      <c r="L108" s="128" t="str">
        <f>IF(D108="","",IF((INDEX('RE Inconsistency Results'!$H$1:$H$500,MATCH(SUBSTITUTE(D108,"OR","d"),'RE Inconsistency Results'!$B$1:$B$500,0),1))-(INDEX('RE Inconsistency Results'!$F$1:$F$500,MATCH(SUBSTITUTE(D108,"OR","d"),'RE Inconsistency Results'!$B$1:$B$500,0),1))&gt;50,"N/A",EXP(INDEX('RE Inconsistency Results'!$G$1:$G$500,MATCH(SUBSTITUTE(D108,"OR","d"),'RE Inconsistency Results'!$B$1:$B$500,0),1))))</f>
        <v/>
      </c>
    </row>
    <row r="109" spans="4:12" x14ac:dyDescent="0.25">
      <c r="D109" s="125" t="str">
        <f>IF('Fixed Effects'!N109="","",'Fixed Effects'!N109)</f>
        <v/>
      </c>
      <c r="E109" s="126" t="str">
        <f>IF('Fixed Effects'!O109="","",'Fixed Effects'!O109)</f>
        <v/>
      </c>
      <c r="F109" s="127" t="str">
        <f>IF('Fixed Effects'!Q109="","",'Fixed Effects'!Q109)</f>
        <v/>
      </c>
      <c r="G109" s="128" t="str">
        <f>IF(D109="","",IF((INDEX('FE Inconsistency Results'!$H$1:$H$500,MATCH(SUBSTITUTE(D109,"OR","d"),'FE Inconsistency Results'!$B$1:$B$500,0),1))-(INDEX('FE Inconsistency Results'!$F$1:$F$500,MATCH(SUBSTITUTE(D109,"OR","d"),'FE Inconsistency Results'!$B$1:$B$500,0),1))&gt;50,"N/A",EXP(INDEX('FE Inconsistency Results'!$G$1:$G$500,MATCH(SUBSTITUTE(D109,"OR","d"),'FE Inconsistency Results'!$B$1:$B$500,0),1))))</f>
        <v/>
      </c>
      <c r="I109" s="138" t="str">
        <f ca="1">IF(INDIRECT(CONCATENATE("'",'Inconsistency Data'!$I$4,"'!N109"))="","",INDIRECT(CONCATENATE("'",'Inconsistency Data'!$I$4,"'!N109")))</f>
        <v/>
      </c>
      <c r="J109" s="126" t="str">
        <f ca="1">IF(INDIRECT(CONCATENATE("'",'Inconsistency Data'!$I$4,"'!O109"))="","",INDIRECT(CONCATENATE("'",'Inconsistency Data'!$I$4,"'!O109")))</f>
        <v/>
      </c>
      <c r="K109" s="127" t="str">
        <f ca="1">IF(INDIRECT(CONCATENATE("'",'Inconsistency Data'!$I$4,"'!Q109"))="","",INDIRECT(CONCATENATE("'",'Inconsistency Data'!$I$4,"'!Q109")))</f>
        <v/>
      </c>
      <c r="L109" s="128" t="str">
        <f>IF(D109="","",IF((INDEX('RE Inconsistency Results'!$H$1:$H$500,MATCH(SUBSTITUTE(D109,"OR","d"),'RE Inconsistency Results'!$B$1:$B$500,0),1))-(INDEX('RE Inconsistency Results'!$F$1:$F$500,MATCH(SUBSTITUTE(D109,"OR","d"),'RE Inconsistency Results'!$B$1:$B$500,0),1))&gt;50,"N/A",EXP(INDEX('RE Inconsistency Results'!$G$1:$G$500,MATCH(SUBSTITUTE(D109,"OR","d"),'RE Inconsistency Results'!$B$1:$B$500,0),1))))</f>
        <v/>
      </c>
    </row>
    <row r="110" spans="4:12" x14ac:dyDescent="0.25">
      <c r="D110" s="125" t="str">
        <f>IF('Fixed Effects'!N110="","",'Fixed Effects'!N110)</f>
        <v/>
      </c>
      <c r="E110" s="126" t="str">
        <f>IF('Fixed Effects'!O110="","",'Fixed Effects'!O110)</f>
        <v/>
      </c>
      <c r="F110" s="127" t="str">
        <f>IF('Fixed Effects'!Q110="","",'Fixed Effects'!Q110)</f>
        <v/>
      </c>
      <c r="G110" s="128" t="str">
        <f>IF(D110="","",IF((INDEX('FE Inconsistency Results'!$H$1:$H$500,MATCH(SUBSTITUTE(D110,"OR","d"),'FE Inconsistency Results'!$B$1:$B$500,0),1))-(INDEX('FE Inconsistency Results'!$F$1:$F$500,MATCH(SUBSTITUTE(D110,"OR","d"),'FE Inconsistency Results'!$B$1:$B$500,0),1))&gt;50,"N/A",EXP(INDEX('FE Inconsistency Results'!$G$1:$G$500,MATCH(SUBSTITUTE(D110,"OR","d"),'FE Inconsistency Results'!$B$1:$B$500,0),1))))</f>
        <v/>
      </c>
      <c r="I110" s="138" t="str">
        <f ca="1">IF(INDIRECT(CONCATENATE("'",'Inconsistency Data'!$I$4,"'!N110"))="","",INDIRECT(CONCATENATE("'",'Inconsistency Data'!$I$4,"'!N110")))</f>
        <v/>
      </c>
      <c r="J110" s="126" t="str">
        <f ca="1">IF(INDIRECT(CONCATENATE("'",'Inconsistency Data'!$I$4,"'!O110"))="","",INDIRECT(CONCATENATE("'",'Inconsistency Data'!$I$4,"'!O110")))</f>
        <v/>
      </c>
      <c r="K110" s="127" t="str">
        <f ca="1">IF(INDIRECT(CONCATENATE("'",'Inconsistency Data'!$I$4,"'!Q110"))="","",INDIRECT(CONCATENATE("'",'Inconsistency Data'!$I$4,"'!Q110")))</f>
        <v/>
      </c>
      <c r="L110" s="128" t="str">
        <f>IF(D110="","",IF((INDEX('RE Inconsistency Results'!$H$1:$H$500,MATCH(SUBSTITUTE(D110,"OR","d"),'RE Inconsistency Results'!$B$1:$B$500,0),1))-(INDEX('RE Inconsistency Results'!$F$1:$F$500,MATCH(SUBSTITUTE(D110,"OR","d"),'RE Inconsistency Results'!$B$1:$B$500,0),1))&gt;50,"N/A",EXP(INDEX('RE Inconsistency Results'!$G$1:$G$500,MATCH(SUBSTITUTE(D110,"OR","d"),'RE Inconsistency Results'!$B$1:$B$500,0),1))))</f>
        <v/>
      </c>
    </row>
    <row r="111" spans="4:12" x14ac:dyDescent="0.25">
      <c r="D111" s="125" t="str">
        <f>IF('Fixed Effects'!N111="","",'Fixed Effects'!N111)</f>
        <v/>
      </c>
      <c r="E111" s="126" t="str">
        <f>IF('Fixed Effects'!O111="","",'Fixed Effects'!O111)</f>
        <v/>
      </c>
      <c r="F111" s="127" t="str">
        <f>IF('Fixed Effects'!Q111="","",'Fixed Effects'!Q111)</f>
        <v/>
      </c>
      <c r="G111" s="128" t="str">
        <f>IF(D111="","",IF((INDEX('FE Inconsistency Results'!$H$1:$H$500,MATCH(SUBSTITUTE(D111,"OR","d"),'FE Inconsistency Results'!$B$1:$B$500,0),1))-(INDEX('FE Inconsistency Results'!$F$1:$F$500,MATCH(SUBSTITUTE(D111,"OR","d"),'FE Inconsistency Results'!$B$1:$B$500,0),1))&gt;50,"N/A",EXP(INDEX('FE Inconsistency Results'!$G$1:$G$500,MATCH(SUBSTITUTE(D111,"OR","d"),'FE Inconsistency Results'!$B$1:$B$500,0),1))))</f>
        <v/>
      </c>
      <c r="I111" s="138" t="str">
        <f ca="1">IF(INDIRECT(CONCATENATE("'",'Inconsistency Data'!$I$4,"'!N111"))="","",INDIRECT(CONCATENATE("'",'Inconsistency Data'!$I$4,"'!N111")))</f>
        <v/>
      </c>
      <c r="J111" s="126" t="str">
        <f ca="1">IF(INDIRECT(CONCATENATE("'",'Inconsistency Data'!$I$4,"'!O111"))="","",INDIRECT(CONCATENATE("'",'Inconsistency Data'!$I$4,"'!O111")))</f>
        <v/>
      </c>
      <c r="K111" s="127" t="str">
        <f ca="1">IF(INDIRECT(CONCATENATE("'",'Inconsistency Data'!$I$4,"'!Q111"))="","",INDIRECT(CONCATENATE("'",'Inconsistency Data'!$I$4,"'!Q111")))</f>
        <v/>
      </c>
      <c r="L111" s="128" t="str">
        <f>IF(D111="","",IF((INDEX('RE Inconsistency Results'!$H$1:$H$500,MATCH(SUBSTITUTE(D111,"OR","d"),'RE Inconsistency Results'!$B$1:$B$500,0),1))-(INDEX('RE Inconsistency Results'!$F$1:$F$500,MATCH(SUBSTITUTE(D111,"OR","d"),'RE Inconsistency Results'!$B$1:$B$500,0),1))&gt;50,"N/A",EXP(INDEX('RE Inconsistency Results'!$G$1:$G$500,MATCH(SUBSTITUTE(D111,"OR","d"),'RE Inconsistency Results'!$B$1:$B$500,0),1))))</f>
        <v/>
      </c>
    </row>
    <row r="112" spans="4:12" x14ac:dyDescent="0.25">
      <c r="D112" s="125" t="str">
        <f>IF('Fixed Effects'!N112="","",'Fixed Effects'!N112)</f>
        <v/>
      </c>
      <c r="E112" s="126" t="str">
        <f>IF('Fixed Effects'!O112="","",'Fixed Effects'!O112)</f>
        <v/>
      </c>
      <c r="F112" s="127" t="str">
        <f>IF('Fixed Effects'!Q112="","",'Fixed Effects'!Q112)</f>
        <v/>
      </c>
      <c r="G112" s="128" t="str">
        <f>IF(D112="","",IF((INDEX('FE Inconsistency Results'!$H$1:$H$500,MATCH(SUBSTITUTE(D112,"OR","d"),'FE Inconsistency Results'!$B$1:$B$500,0),1))-(INDEX('FE Inconsistency Results'!$F$1:$F$500,MATCH(SUBSTITUTE(D112,"OR","d"),'FE Inconsistency Results'!$B$1:$B$500,0),1))&gt;50,"N/A",EXP(INDEX('FE Inconsistency Results'!$G$1:$G$500,MATCH(SUBSTITUTE(D112,"OR","d"),'FE Inconsistency Results'!$B$1:$B$500,0),1))))</f>
        <v/>
      </c>
      <c r="I112" s="138" t="str">
        <f ca="1">IF(INDIRECT(CONCATENATE("'",'Inconsistency Data'!$I$4,"'!N112"))="","",INDIRECT(CONCATENATE("'",'Inconsistency Data'!$I$4,"'!N112")))</f>
        <v/>
      </c>
      <c r="J112" s="126" t="str">
        <f ca="1">IF(INDIRECT(CONCATENATE("'",'Inconsistency Data'!$I$4,"'!O112"))="","",INDIRECT(CONCATENATE("'",'Inconsistency Data'!$I$4,"'!O112")))</f>
        <v/>
      </c>
      <c r="K112" s="127" t="str">
        <f ca="1">IF(INDIRECT(CONCATENATE("'",'Inconsistency Data'!$I$4,"'!Q112"))="","",INDIRECT(CONCATENATE("'",'Inconsistency Data'!$I$4,"'!Q112")))</f>
        <v/>
      </c>
      <c r="L112" s="128" t="str">
        <f>IF(D112="","",IF((INDEX('RE Inconsistency Results'!$H$1:$H$500,MATCH(SUBSTITUTE(D112,"OR","d"),'RE Inconsistency Results'!$B$1:$B$500,0),1))-(INDEX('RE Inconsistency Results'!$F$1:$F$500,MATCH(SUBSTITUTE(D112,"OR","d"),'RE Inconsistency Results'!$B$1:$B$500,0),1))&gt;50,"N/A",EXP(INDEX('RE Inconsistency Results'!$G$1:$G$500,MATCH(SUBSTITUTE(D112,"OR","d"),'RE Inconsistency Results'!$B$1:$B$500,0),1))))</f>
        <v/>
      </c>
    </row>
    <row r="113" spans="4:12" x14ac:dyDescent="0.25">
      <c r="D113" s="125" t="str">
        <f>IF('Fixed Effects'!N113="","",'Fixed Effects'!N113)</f>
        <v/>
      </c>
      <c r="E113" s="126" t="str">
        <f>IF('Fixed Effects'!O113="","",'Fixed Effects'!O113)</f>
        <v/>
      </c>
      <c r="F113" s="127" t="str">
        <f>IF('Fixed Effects'!Q113="","",'Fixed Effects'!Q113)</f>
        <v/>
      </c>
      <c r="G113" s="128" t="str">
        <f>IF(D113="","",IF((INDEX('FE Inconsistency Results'!$H$1:$H$500,MATCH(SUBSTITUTE(D113,"OR","d"),'FE Inconsistency Results'!$B$1:$B$500,0),1))-(INDEX('FE Inconsistency Results'!$F$1:$F$500,MATCH(SUBSTITUTE(D113,"OR","d"),'FE Inconsistency Results'!$B$1:$B$500,0),1))&gt;50,"N/A",EXP(INDEX('FE Inconsistency Results'!$G$1:$G$500,MATCH(SUBSTITUTE(D113,"OR","d"),'FE Inconsistency Results'!$B$1:$B$500,0),1))))</f>
        <v/>
      </c>
      <c r="I113" s="138" t="str">
        <f ca="1">IF(INDIRECT(CONCATENATE("'",'Inconsistency Data'!$I$4,"'!N113"))="","",INDIRECT(CONCATENATE("'",'Inconsistency Data'!$I$4,"'!N113")))</f>
        <v/>
      </c>
      <c r="J113" s="126" t="str">
        <f ca="1">IF(INDIRECT(CONCATENATE("'",'Inconsistency Data'!$I$4,"'!O113"))="","",INDIRECT(CONCATENATE("'",'Inconsistency Data'!$I$4,"'!O113")))</f>
        <v/>
      </c>
      <c r="K113" s="127" t="str">
        <f ca="1">IF(INDIRECT(CONCATENATE("'",'Inconsistency Data'!$I$4,"'!Q113"))="","",INDIRECT(CONCATENATE("'",'Inconsistency Data'!$I$4,"'!Q113")))</f>
        <v/>
      </c>
      <c r="L113" s="128" t="str">
        <f>IF(D113="","",IF((INDEX('RE Inconsistency Results'!$H$1:$H$500,MATCH(SUBSTITUTE(D113,"OR","d"),'RE Inconsistency Results'!$B$1:$B$500,0),1))-(INDEX('RE Inconsistency Results'!$F$1:$F$500,MATCH(SUBSTITUTE(D113,"OR","d"),'RE Inconsistency Results'!$B$1:$B$500,0),1))&gt;50,"N/A",EXP(INDEX('RE Inconsistency Results'!$G$1:$G$500,MATCH(SUBSTITUTE(D113,"OR","d"),'RE Inconsistency Results'!$B$1:$B$500,0),1))))</f>
        <v/>
      </c>
    </row>
    <row r="114" spans="4:12" x14ac:dyDescent="0.25">
      <c r="D114" s="125" t="str">
        <f>IF('Fixed Effects'!N114="","",'Fixed Effects'!N114)</f>
        <v/>
      </c>
      <c r="E114" s="126" t="str">
        <f>IF('Fixed Effects'!O114="","",'Fixed Effects'!O114)</f>
        <v/>
      </c>
      <c r="F114" s="127" t="str">
        <f>IF('Fixed Effects'!Q114="","",'Fixed Effects'!Q114)</f>
        <v/>
      </c>
      <c r="G114" s="128" t="str">
        <f>IF(D114="","",IF((INDEX('FE Inconsistency Results'!$H$1:$H$500,MATCH(SUBSTITUTE(D114,"OR","d"),'FE Inconsistency Results'!$B$1:$B$500,0),1))-(INDEX('FE Inconsistency Results'!$F$1:$F$500,MATCH(SUBSTITUTE(D114,"OR","d"),'FE Inconsistency Results'!$B$1:$B$500,0),1))&gt;50,"N/A",EXP(INDEX('FE Inconsistency Results'!$G$1:$G$500,MATCH(SUBSTITUTE(D114,"OR","d"),'FE Inconsistency Results'!$B$1:$B$500,0),1))))</f>
        <v/>
      </c>
      <c r="I114" s="138" t="str">
        <f ca="1">IF(INDIRECT(CONCATENATE("'",'Inconsistency Data'!$I$4,"'!N114"))="","",INDIRECT(CONCATENATE("'",'Inconsistency Data'!$I$4,"'!N114")))</f>
        <v/>
      </c>
      <c r="J114" s="126" t="str">
        <f ca="1">IF(INDIRECT(CONCATENATE("'",'Inconsistency Data'!$I$4,"'!O114"))="","",INDIRECT(CONCATENATE("'",'Inconsistency Data'!$I$4,"'!O114")))</f>
        <v/>
      </c>
      <c r="K114" s="127" t="str">
        <f ca="1">IF(INDIRECT(CONCATENATE("'",'Inconsistency Data'!$I$4,"'!Q114"))="","",INDIRECT(CONCATENATE("'",'Inconsistency Data'!$I$4,"'!Q114")))</f>
        <v/>
      </c>
      <c r="L114" s="128" t="str">
        <f>IF(D114="","",IF((INDEX('RE Inconsistency Results'!$H$1:$H$500,MATCH(SUBSTITUTE(D114,"OR","d"),'RE Inconsistency Results'!$B$1:$B$500,0),1))-(INDEX('RE Inconsistency Results'!$F$1:$F$500,MATCH(SUBSTITUTE(D114,"OR","d"),'RE Inconsistency Results'!$B$1:$B$500,0),1))&gt;50,"N/A",EXP(INDEX('RE Inconsistency Results'!$G$1:$G$500,MATCH(SUBSTITUTE(D114,"OR","d"),'RE Inconsistency Results'!$B$1:$B$500,0),1))))</f>
        <v/>
      </c>
    </row>
    <row r="115" spans="4:12" x14ac:dyDescent="0.25">
      <c r="D115" s="125" t="str">
        <f>IF('Fixed Effects'!N115="","",'Fixed Effects'!N115)</f>
        <v/>
      </c>
      <c r="E115" s="126" t="str">
        <f>IF('Fixed Effects'!O115="","",'Fixed Effects'!O115)</f>
        <v/>
      </c>
      <c r="F115" s="127" t="str">
        <f>IF('Fixed Effects'!Q115="","",'Fixed Effects'!Q115)</f>
        <v/>
      </c>
      <c r="G115" s="128" t="str">
        <f>IF(D115="","",IF((INDEX('FE Inconsistency Results'!$H$1:$H$500,MATCH(SUBSTITUTE(D115,"OR","d"),'FE Inconsistency Results'!$B$1:$B$500,0),1))-(INDEX('FE Inconsistency Results'!$F$1:$F$500,MATCH(SUBSTITUTE(D115,"OR","d"),'FE Inconsistency Results'!$B$1:$B$500,0),1))&gt;50,"N/A",EXP(INDEX('FE Inconsistency Results'!$G$1:$G$500,MATCH(SUBSTITUTE(D115,"OR","d"),'FE Inconsistency Results'!$B$1:$B$500,0),1))))</f>
        <v/>
      </c>
      <c r="I115" s="138" t="str">
        <f ca="1">IF(INDIRECT(CONCATENATE("'",'Inconsistency Data'!$I$4,"'!N115"))="","",INDIRECT(CONCATENATE("'",'Inconsistency Data'!$I$4,"'!N115")))</f>
        <v/>
      </c>
      <c r="J115" s="126" t="str">
        <f ca="1">IF(INDIRECT(CONCATENATE("'",'Inconsistency Data'!$I$4,"'!O115"))="","",INDIRECT(CONCATENATE("'",'Inconsistency Data'!$I$4,"'!O115")))</f>
        <v/>
      </c>
      <c r="K115" s="127" t="str">
        <f ca="1">IF(INDIRECT(CONCATENATE("'",'Inconsistency Data'!$I$4,"'!Q115"))="","",INDIRECT(CONCATENATE("'",'Inconsistency Data'!$I$4,"'!Q115")))</f>
        <v/>
      </c>
      <c r="L115" s="128" t="str">
        <f>IF(D115="","",IF((INDEX('RE Inconsistency Results'!$H$1:$H$500,MATCH(SUBSTITUTE(D115,"OR","d"),'RE Inconsistency Results'!$B$1:$B$500,0),1))-(INDEX('RE Inconsistency Results'!$F$1:$F$500,MATCH(SUBSTITUTE(D115,"OR","d"),'RE Inconsistency Results'!$B$1:$B$500,0),1))&gt;50,"N/A",EXP(INDEX('RE Inconsistency Results'!$G$1:$G$500,MATCH(SUBSTITUTE(D115,"OR","d"),'RE Inconsistency Results'!$B$1:$B$500,0),1))))</f>
        <v/>
      </c>
    </row>
    <row r="116" spans="4:12" x14ac:dyDescent="0.25">
      <c r="D116" s="125" t="str">
        <f>IF('Fixed Effects'!N116="","",'Fixed Effects'!N116)</f>
        <v/>
      </c>
      <c r="E116" s="126" t="str">
        <f>IF('Fixed Effects'!O116="","",'Fixed Effects'!O116)</f>
        <v/>
      </c>
      <c r="F116" s="127" t="str">
        <f>IF('Fixed Effects'!Q116="","",'Fixed Effects'!Q116)</f>
        <v/>
      </c>
      <c r="G116" s="128" t="str">
        <f>IF(D116="","",IF((INDEX('FE Inconsistency Results'!$H$1:$H$500,MATCH(SUBSTITUTE(D116,"OR","d"),'FE Inconsistency Results'!$B$1:$B$500,0),1))-(INDEX('FE Inconsistency Results'!$F$1:$F$500,MATCH(SUBSTITUTE(D116,"OR","d"),'FE Inconsistency Results'!$B$1:$B$500,0),1))&gt;50,"N/A",EXP(INDEX('FE Inconsistency Results'!$G$1:$G$500,MATCH(SUBSTITUTE(D116,"OR","d"),'FE Inconsistency Results'!$B$1:$B$500,0),1))))</f>
        <v/>
      </c>
      <c r="I116" s="138" t="str">
        <f ca="1">IF(INDIRECT(CONCATENATE("'",'Inconsistency Data'!$I$4,"'!N116"))="","",INDIRECT(CONCATENATE("'",'Inconsistency Data'!$I$4,"'!N116")))</f>
        <v/>
      </c>
      <c r="J116" s="126" t="str">
        <f ca="1">IF(INDIRECT(CONCATENATE("'",'Inconsistency Data'!$I$4,"'!O116"))="","",INDIRECT(CONCATENATE("'",'Inconsistency Data'!$I$4,"'!O116")))</f>
        <v/>
      </c>
      <c r="K116" s="127" t="str">
        <f ca="1">IF(INDIRECT(CONCATENATE("'",'Inconsistency Data'!$I$4,"'!Q116"))="","",INDIRECT(CONCATENATE("'",'Inconsistency Data'!$I$4,"'!Q116")))</f>
        <v/>
      </c>
      <c r="L116" s="128" t="str">
        <f>IF(D116="","",IF((INDEX('RE Inconsistency Results'!$H$1:$H$500,MATCH(SUBSTITUTE(D116,"OR","d"),'RE Inconsistency Results'!$B$1:$B$500,0),1))-(INDEX('RE Inconsistency Results'!$F$1:$F$500,MATCH(SUBSTITUTE(D116,"OR","d"),'RE Inconsistency Results'!$B$1:$B$500,0),1))&gt;50,"N/A",EXP(INDEX('RE Inconsistency Results'!$G$1:$G$500,MATCH(SUBSTITUTE(D116,"OR","d"),'RE Inconsistency Results'!$B$1:$B$500,0),1))))</f>
        <v/>
      </c>
    </row>
    <row r="117" spans="4:12" x14ac:dyDescent="0.25">
      <c r="D117" s="125" t="str">
        <f>IF('Fixed Effects'!N117="","",'Fixed Effects'!N117)</f>
        <v/>
      </c>
      <c r="E117" s="126" t="str">
        <f>IF('Fixed Effects'!O117="","",'Fixed Effects'!O117)</f>
        <v/>
      </c>
      <c r="F117" s="127" t="str">
        <f>IF('Fixed Effects'!Q117="","",'Fixed Effects'!Q117)</f>
        <v/>
      </c>
      <c r="G117" s="128" t="str">
        <f>IF(D117="","",IF((INDEX('FE Inconsistency Results'!$H$1:$H$500,MATCH(SUBSTITUTE(D117,"OR","d"),'FE Inconsistency Results'!$B$1:$B$500,0),1))-(INDEX('FE Inconsistency Results'!$F$1:$F$500,MATCH(SUBSTITUTE(D117,"OR","d"),'FE Inconsistency Results'!$B$1:$B$500,0),1))&gt;50,"N/A",EXP(INDEX('FE Inconsistency Results'!$G$1:$G$500,MATCH(SUBSTITUTE(D117,"OR","d"),'FE Inconsistency Results'!$B$1:$B$500,0),1))))</f>
        <v/>
      </c>
      <c r="I117" s="138" t="str">
        <f ca="1">IF(INDIRECT(CONCATENATE("'",'Inconsistency Data'!$I$4,"'!N117"))="","",INDIRECT(CONCATENATE("'",'Inconsistency Data'!$I$4,"'!N117")))</f>
        <v/>
      </c>
      <c r="J117" s="126" t="str">
        <f ca="1">IF(INDIRECT(CONCATENATE("'",'Inconsistency Data'!$I$4,"'!O117"))="","",INDIRECT(CONCATENATE("'",'Inconsistency Data'!$I$4,"'!O117")))</f>
        <v/>
      </c>
      <c r="K117" s="127" t="str">
        <f ca="1">IF(INDIRECT(CONCATENATE("'",'Inconsistency Data'!$I$4,"'!Q117"))="","",INDIRECT(CONCATENATE("'",'Inconsistency Data'!$I$4,"'!Q117")))</f>
        <v/>
      </c>
      <c r="L117" s="128" t="str">
        <f>IF(D117="","",IF((INDEX('RE Inconsistency Results'!$H$1:$H$500,MATCH(SUBSTITUTE(D117,"OR","d"),'RE Inconsistency Results'!$B$1:$B$500,0),1))-(INDEX('RE Inconsistency Results'!$F$1:$F$500,MATCH(SUBSTITUTE(D117,"OR","d"),'RE Inconsistency Results'!$B$1:$B$500,0),1))&gt;50,"N/A",EXP(INDEX('RE Inconsistency Results'!$G$1:$G$500,MATCH(SUBSTITUTE(D117,"OR","d"),'RE Inconsistency Results'!$B$1:$B$500,0),1))))</f>
        <v/>
      </c>
    </row>
    <row r="118" spans="4:12" x14ac:dyDescent="0.25">
      <c r="D118" s="125" t="str">
        <f>IF('Fixed Effects'!N118="","",'Fixed Effects'!N118)</f>
        <v/>
      </c>
      <c r="E118" s="126" t="str">
        <f>IF('Fixed Effects'!O118="","",'Fixed Effects'!O118)</f>
        <v/>
      </c>
      <c r="F118" s="127" t="str">
        <f>IF('Fixed Effects'!Q118="","",'Fixed Effects'!Q118)</f>
        <v/>
      </c>
      <c r="G118" s="128" t="str">
        <f>IF(D118="","",IF((INDEX('FE Inconsistency Results'!$H$1:$H$500,MATCH(SUBSTITUTE(D118,"OR","d"),'FE Inconsistency Results'!$B$1:$B$500,0),1))-(INDEX('FE Inconsistency Results'!$F$1:$F$500,MATCH(SUBSTITUTE(D118,"OR","d"),'FE Inconsistency Results'!$B$1:$B$500,0),1))&gt;50,"N/A",EXP(INDEX('FE Inconsistency Results'!$G$1:$G$500,MATCH(SUBSTITUTE(D118,"OR","d"),'FE Inconsistency Results'!$B$1:$B$500,0),1))))</f>
        <v/>
      </c>
      <c r="I118" s="138" t="str">
        <f ca="1">IF(INDIRECT(CONCATENATE("'",'Inconsistency Data'!$I$4,"'!N118"))="","",INDIRECT(CONCATENATE("'",'Inconsistency Data'!$I$4,"'!N118")))</f>
        <v/>
      </c>
      <c r="J118" s="126" t="str">
        <f ca="1">IF(INDIRECT(CONCATENATE("'",'Inconsistency Data'!$I$4,"'!O118"))="","",INDIRECT(CONCATENATE("'",'Inconsistency Data'!$I$4,"'!O118")))</f>
        <v/>
      </c>
      <c r="K118" s="127" t="str">
        <f ca="1">IF(INDIRECT(CONCATENATE("'",'Inconsistency Data'!$I$4,"'!Q118"))="","",INDIRECT(CONCATENATE("'",'Inconsistency Data'!$I$4,"'!Q118")))</f>
        <v/>
      </c>
      <c r="L118" s="128" t="str">
        <f>IF(D118="","",IF((INDEX('RE Inconsistency Results'!$H$1:$H$500,MATCH(SUBSTITUTE(D118,"OR","d"),'RE Inconsistency Results'!$B$1:$B$500,0),1))-(INDEX('RE Inconsistency Results'!$F$1:$F$500,MATCH(SUBSTITUTE(D118,"OR","d"),'RE Inconsistency Results'!$B$1:$B$500,0),1))&gt;50,"N/A",EXP(INDEX('RE Inconsistency Results'!$G$1:$G$500,MATCH(SUBSTITUTE(D118,"OR","d"),'RE Inconsistency Results'!$B$1:$B$500,0),1))))</f>
        <v/>
      </c>
    </row>
    <row r="119" spans="4:12" x14ac:dyDescent="0.25">
      <c r="D119" s="125" t="str">
        <f>IF('Fixed Effects'!N119="","",'Fixed Effects'!N119)</f>
        <v/>
      </c>
      <c r="E119" s="126" t="str">
        <f>IF('Fixed Effects'!O119="","",'Fixed Effects'!O119)</f>
        <v/>
      </c>
      <c r="F119" s="127" t="str">
        <f>IF('Fixed Effects'!Q119="","",'Fixed Effects'!Q119)</f>
        <v/>
      </c>
      <c r="G119" s="128" t="str">
        <f>IF(D119="","",IF((INDEX('FE Inconsistency Results'!$H$1:$H$500,MATCH(SUBSTITUTE(D119,"OR","d"),'FE Inconsistency Results'!$B$1:$B$500,0),1))-(INDEX('FE Inconsistency Results'!$F$1:$F$500,MATCH(SUBSTITUTE(D119,"OR","d"),'FE Inconsistency Results'!$B$1:$B$500,0),1))&gt;50,"N/A",EXP(INDEX('FE Inconsistency Results'!$G$1:$G$500,MATCH(SUBSTITUTE(D119,"OR","d"),'FE Inconsistency Results'!$B$1:$B$500,0),1))))</f>
        <v/>
      </c>
      <c r="I119" s="138" t="str">
        <f ca="1">IF(INDIRECT(CONCATENATE("'",'Inconsistency Data'!$I$4,"'!N119"))="","",INDIRECT(CONCATENATE("'",'Inconsistency Data'!$I$4,"'!N119")))</f>
        <v/>
      </c>
      <c r="J119" s="126" t="str">
        <f ca="1">IF(INDIRECT(CONCATENATE("'",'Inconsistency Data'!$I$4,"'!O119"))="","",INDIRECT(CONCATENATE("'",'Inconsistency Data'!$I$4,"'!O119")))</f>
        <v/>
      </c>
      <c r="K119" s="127" t="str">
        <f ca="1">IF(INDIRECT(CONCATENATE("'",'Inconsistency Data'!$I$4,"'!Q119"))="","",INDIRECT(CONCATENATE("'",'Inconsistency Data'!$I$4,"'!Q119")))</f>
        <v/>
      </c>
      <c r="L119" s="128" t="str">
        <f>IF(D119="","",IF((INDEX('RE Inconsistency Results'!$H$1:$H$500,MATCH(SUBSTITUTE(D119,"OR","d"),'RE Inconsistency Results'!$B$1:$B$500,0),1))-(INDEX('RE Inconsistency Results'!$F$1:$F$500,MATCH(SUBSTITUTE(D119,"OR","d"),'RE Inconsistency Results'!$B$1:$B$500,0),1))&gt;50,"N/A",EXP(INDEX('RE Inconsistency Results'!$G$1:$G$500,MATCH(SUBSTITUTE(D119,"OR","d"),'RE Inconsistency Results'!$B$1:$B$500,0),1))))</f>
        <v/>
      </c>
    </row>
    <row r="120" spans="4:12" x14ac:dyDescent="0.25">
      <c r="D120" s="125" t="str">
        <f>IF('Fixed Effects'!N120="","",'Fixed Effects'!N120)</f>
        <v/>
      </c>
      <c r="E120" s="126" t="str">
        <f>IF('Fixed Effects'!O120="","",'Fixed Effects'!O120)</f>
        <v/>
      </c>
      <c r="F120" s="127" t="str">
        <f>IF('Fixed Effects'!Q120="","",'Fixed Effects'!Q120)</f>
        <v/>
      </c>
      <c r="G120" s="128" t="str">
        <f>IF(D120="","",IF((INDEX('FE Inconsistency Results'!$H$1:$H$500,MATCH(SUBSTITUTE(D120,"OR","d"),'FE Inconsistency Results'!$B$1:$B$500,0),1))-(INDEX('FE Inconsistency Results'!$F$1:$F$500,MATCH(SUBSTITUTE(D120,"OR","d"),'FE Inconsistency Results'!$B$1:$B$500,0),1))&gt;50,"N/A",EXP(INDEX('FE Inconsistency Results'!$G$1:$G$500,MATCH(SUBSTITUTE(D120,"OR","d"),'FE Inconsistency Results'!$B$1:$B$500,0),1))))</f>
        <v/>
      </c>
      <c r="I120" s="138" t="str">
        <f ca="1">IF(INDIRECT(CONCATENATE("'",'Inconsistency Data'!$I$4,"'!N120"))="","",INDIRECT(CONCATENATE("'",'Inconsistency Data'!$I$4,"'!N120")))</f>
        <v/>
      </c>
      <c r="J120" s="126" t="str">
        <f ca="1">IF(INDIRECT(CONCATENATE("'",'Inconsistency Data'!$I$4,"'!O120"))="","",INDIRECT(CONCATENATE("'",'Inconsistency Data'!$I$4,"'!O120")))</f>
        <v/>
      </c>
      <c r="K120" s="127" t="str">
        <f ca="1">IF(INDIRECT(CONCATENATE("'",'Inconsistency Data'!$I$4,"'!Q120"))="","",INDIRECT(CONCATENATE("'",'Inconsistency Data'!$I$4,"'!Q120")))</f>
        <v/>
      </c>
      <c r="L120" s="128" t="str">
        <f>IF(D120="","",IF((INDEX('RE Inconsistency Results'!$H$1:$H$500,MATCH(SUBSTITUTE(D120,"OR","d"),'RE Inconsistency Results'!$B$1:$B$500,0),1))-(INDEX('RE Inconsistency Results'!$F$1:$F$500,MATCH(SUBSTITUTE(D120,"OR","d"),'RE Inconsistency Results'!$B$1:$B$500,0),1))&gt;50,"N/A",EXP(INDEX('RE Inconsistency Results'!$G$1:$G$500,MATCH(SUBSTITUTE(D120,"OR","d"),'RE Inconsistency Results'!$B$1:$B$500,0),1))))</f>
        <v/>
      </c>
    </row>
    <row r="121" spans="4:12" x14ac:dyDescent="0.25">
      <c r="D121" s="125" t="str">
        <f>IF('Fixed Effects'!N121="","",'Fixed Effects'!N121)</f>
        <v/>
      </c>
      <c r="E121" s="126" t="str">
        <f>IF('Fixed Effects'!O121="","",'Fixed Effects'!O121)</f>
        <v/>
      </c>
      <c r="F121" s="127" t="str">
        <f>IF('Fixed Effects'!Q121="","",'Fixed Effects'!Q121)</f>
        <v/>
      </c>
      <c r="G121" s="128" t="str">
        <f>IF(D121="","",IF((INDEX('FE Inconsistency Results'!$H$1:$H$500,MATCH(SUBSTITUTE(D121,"OR","d"),'FE Inconsistency Results'!$B$1:$B$500,0),1))-(INDEX('FE Inconsistency Results'!$F$1:$F$500,MATCH(SUBSTITUTE(D121,"OR","d"),'FE Inconsistency Results'!$B$1:$B$500,0),1))&gt;50,"N/A",EXP(INDEX('FE Inconsistency Results'!$G$1:$G$500,MATCH(SUBSTITUTE(D121,"OR","d"),'FE Inconsistency Results'!$B$1:$B$500,0),1))))</f>
        <v/>
      </c>
      <c r="I121" s="138" t="str">
        <f ca="1">IF(INDIRECT(CONCATENATE("'",'Inconsistency Data'!$I$4,"'!N121"))="","",INDIRECT(CONCATENATE("'",'Inconsistency Data'!$I$4,"'!N121")))</f>
        <v/>
      </c>
      <c r="J121" s="126" t="str">
        <f ca="1">IF(INDIRECT(CONCATENATE("'",'Inconsistency Data'!$I$4,"'!O121"))="","",INDIRECT(CONCATENATE("'",'Inconsistency Data'!$I$4,"'!O121")))</f>
        <v/>
      </c>
      <c r="K121" s="127" t="str">
        <f ca="1">IF(INDIRECT(CONCATENATE("'",'Inconsistency Data'!$I$4,"'!Q121"))="","",INDIRECT(CONCATENATE("'",'Inconsistency Data'!$I$4,"'!Q121")))</f>
        <v/>
      </c>
      <c r="L121" s="128" t="str">
        <f>IF(D121="","",IF((INDEX('RE Inconsistency Results'!$H$1:$H$500,MATCH(SUBSTITUTE(D121,"OR","d"),'RE Inconsistency Results'!$B$1:$B$500,0),1))-(INDEX('RE Inconsistency Results'!$F$1:$F$500,MATCH(SUBSTITUTE(D121,"OR","d"),'RE Inconsistency Results'!$B$1:$B$500,0),1))&gt;50,"N/A",EXP(INDEX('RE Inconsistency Results'!$G$1:$G$500,MATCH(SUBSTITUTE(D121,"OR","d"),'RE Inconsistency Results'!$B$1:$B$500,0),1))))</f>
        <v/>
      </c>
    </row>
    <row r="122" spans="4:12" x14ac:dyDescent="0.25">
      <c r="D122" s="125" t="str">
        <f>IF('Fixed Effects'!N122="","",'Fixed Effects'!N122)</f>
        <v/>
      </c>
      <c r="E122" s="126" t="str">
        <f>IF('Fixed Effects'!O122="","",'Fixed Effects'!O122)</f>
        <v/>
      </c>
      <c r="F122" s="127" t="str">
        <f>IF('Fixed Effects'!Q122="","",'Fixed Effects'!Q122)</f>
        <v/>
      </c>
      <c r="G122" s="128" t="str">
        <f>IF(D122="","",IF((INDEX('FE Inconsistency Results'!$H$1:$H$500,MATCH(SUBSTITUTE(D122,"OR","d"),'FE Inconsistency Results'!$B$1:$B$500,0),1))-(INDEX('FE Inconsistency Results'!$F$1:$F$500,MATCH(SUBSTITUTE(D122,"OR","d"),'FE Inconsistency Results'!$B$1:$B$500,0),1))&gt;50,"N/A",EXP(INDEX('FE Inconsistency Results'!$G$1:$G$500,MATCH(SUBSTITUTE(D122,"OR","d"),'FE Inconsistency Results'!$B$1:$B$500,0),1))))</f>
        <v/>
      </c>
      <c r="I122" s="138" t="str">
        <f ca="1">IF(INDIRECT(CONCATENATE("'",'Inconsistency Data'!$I$4,"'!N122"))="","",INDIRECT(CONCATENATE("'",'Inconsistency Data'!$I$4,"'!N122")))</f>
        <v/>
      </c>
      <c r="J122" s="126" t="str">
        <f ca="1">IF(INDIRECT(CONCATENATE("'",'Inconsistency Data'!$I$4,"'!O122"))="","",INDIRECT(CONCATENATE("'",'Inconsistency Data'!$I$4,"'!O122")))</f>
        <v/>
      </c>
      <c r="K122" s="127" t="str">
        <f ca="1">IF(INDIRECT(CONCATENATE("'",'Inconsistency Data'!$I$4,"'!Q122"))="","",INDIRECT(CONCATENATE("'",'Inconsistency Data'!$I$4,"'!Q122")))</f>
        <v/>
      </c>
      <c r="L122" s="128" t="str">
        <f>IF(D122="","",IF((INDEX('RE Inconsistency Results'!$H$1:$H$500,MATCH(SUBSTITUTE(D122,"OR","d"),'RE Inconsistency Results'!$B$1:$B$500,0),1))-(INDEX('RE Inconsistency Results'!$F$1:$F$500,MATCH(SUBSTITUTE(D122,"OR","d"),'RE Inconsistency Results'!$B$1:$B$500,0),1))&gt;50,"N/A",EXP(INDEX('RE Inconsistency Results'!$G$1:$G$500,MATCH(SUBSTITUTE(D122,"OR","d"),'RE Inconsistency Results'!$B$1:$B$500,0),1))))</f>
        <v/>
      </c>
    </row>
    <row r="123" spans="4:12" x14ac:dyDescent="0.25">
      <c r="D123" s="125" t="str">
        <f>IF('Fixed Effects'!N123="","",'Fixed Effects'!N123)</f>
        <v/>
      </c>
      <c r="E123" s="126" t="str">
        <f>IF('Fixed Effects'!O123="","",'Fixed Effects'!O123)</f>
        <v/>
      </c>
      <c r="F123" s="127" t="str">
        <f>IF('Fixed Effects'!Q123="","",'Fixed Effects'!Q123)</f>
        <v/>
      </c>
      <c r="G123" s="128" t="str">
        <f>IF(D123="","",IF((INDEX('FE Inconsistency Results'!$H$1:$H$500,MATCH(SUBSTITUTE(D123,"OR","d"),'FE Inconsistency Results'!$B$1:$B$500,0),1))-(INDEX('FE Inconsistency Results'!$F$1:$F$500,MATCH(SUBSTITUTE(D123,"OR","d"),'FE Inconsistency Results'!$B$1:$B$500,0),1))&gt;50,"N/A",EXP(INDEX('FE Inconsistency Results'!$G$1:$G$500,MATCH(SUBSTITUTE(D123,"OR","d"),'FE Inconsistency Results'!$B$1:$B$500,0),1))))</f>
        <v/>
      </c>
      <c r="I123" s="138" t="str">
        <f ca="1">IF(INDIRECT(CONCATENATE("'",'Inconsistency Data'!$I$4,"'!N123"))="","",INDIRECT(CONCATENATE("'",'Inconsistency Data'!$I$4,"'!N123")))</f>
        <v/>
      </c>
      <c r="J123" s="126" t="str">
        <f ca="1">IF(INDIRECT(CONCATENATE("'",'Inconsistency Data'!$I$4,"'!O123"))="","",INDIRECT(CONCATENATE("'",'Inconsistency Data'!$I$4,"'!O123")))</f>
        <v/>
      </c>
      <c r="K123" s="127" t="str">
        <f ca="1">IF(INDIRECT(CONCATENATE("'",'Inconsistency Data'!$I$4,"'!Q123"))="","",INDIRECT(CONCATENATE("'",'Inconsistency Data'!$I$4,"'!Q123")))</f>
        <v/>
      </c>
      <c r="L123" s="128" t="str">
        <f>IF(D123="","",IF((INDEX('RE Inconsistency Results'!$H$1:$H$500,MATCH(SUBSTITUTE(D123,"OR","d"),'RE Inconsistency Results'!$B$1:$B$500,0),1))-(INDEX('RE Inconsistency Results'!$F$1:$F$500,MATCH(SUBSTITUTE(D123,"OR","d"),'RE Inconsistency Results'!$B$1:$B$500,0),1))&gt;50,"N/A",EXP(INDEX('RE Inconsistency Results'!$G$1:$G$500,MATCH(SUBSTITUTE(D123,"OR","d"),'RE Inconsistency Results'!$B$1:$B$500,0),1))))</f>
        <v/>
      </c>
    </row>
    <row r="124" spans="4:12" x14ac:dyDescent="0.25">
      <c r="D124" s="125" t="str">
        <f>IF('Fixed Effects'!N124="","",'Fixed Effects'!N124)</f>
        <v/>
      </c>
      <c r="E124" s="126" t="str">
        <f>IF('Fixed Effects'!O124="","",'Fixed Effects'!O124)</f>
        <v/>
      </c>
      <c r="F124" s="127" t="str">
        <f>IF('Fixed Effects'!Q124="","",'Fixed Effects'!Q124)</f>
        <v/>
      </c>
      <c r="G124" s="128" t="str">
        <f>IF(D124="","",IF((INDEX('FE Inconsistency Results'!$H$1:$H$500,MATCH(SUBSTITUTE(D124,"OR","d"),'FE Inconsistency Results'!$B$1:$B$500,0),1))-(INDEX('FE Inconsistency Results'!$F$1:$F$500,MATCH(SUBSTITUTE(D124,"OR","d"),'FE Inconsistency Results'!$B$1:$B$500,0),1))&gt;50,"N/A",EXP(INDEX('FE Inconsistency Results'!$G$1:$G$500,MATCH(SUBSTITUTE(D124,"OR","d"),'FE Inconsistency Results'!$B$1:$B$500,0),1))))</f>
        <v/>
      </c>
      <c r="I124" s="138" t="str">
        <f ca="1">IF(INDIRECT(CONCATENATE("'",'Inconsistency Data'!$I$4,"'!N124"))="","",INDIRECT(CONCATENATE("'",'Inconsistency Data'!$I$4,"'!N124")))</f>
        <v/>
      </c>
      <c r="J124" s="126" t="str">
        <f ca="1">IF(INDIRECT(CONCATENATE("'",'Inconsistency Data'!$I$4,"'!O124"))="","",INDIRECT(CONCATENATE("'",'Inconsistency Data'!$I$4,"'!O124")))</f>
        <v/>
      </c>
      <c r="K124" s="127" t="str">
        <f ca="1">IF(INDIRECT(CONCATENATE("'",'Inconsistency Data'!$I$4,"'!Q124"))="","",INDIRECT(CONCATENATE("'",'Inconsistency Data'!$I$4,"'!Q124")))</f>
        <v/>
      </c>
      <c r="L124" s="128" t="str">
        <f>IF(D124="","",IF((INDEX('RE Inconsistency Results'!$H$1:$H$500,MATCH(SUBSTITUTE(D124,"OR","d"),'RE Inconsistency Results'!$B$1:$B$500,0),1))-(INDEX('RE Inconsistency Results'!$F$1:$F$500,MATCH(SUBSTITUTE(D124,"OR","d"),'RE Inconsistency Results'!$B$1:$B$500,0),1))&gt;50,"N/A",EXP(INDEX('RE Inconsistency Results'!$G$1:$G$500,MATCH(SUBSTITUTE(D124,"OR","d"),'RE Inconsistency Results'!$B$1:$B$500,0),1))))</f>
        <v/>
      </c>
    </row>
    <row r="125" spans="4:12" x14ac:dyDescent="0.25">
      <c r="D125" s="125" t="str">
        <f>IF('Fixed Effects'!N125="","",'Fixed Effects'!N125)</f>
        <v/>
      </c>
      <c r="E125" s="126" t="str">
        <f>IF('Fixed Effects'!O125="","",'Fixed Effects'!O125)</f>
        <v/>
      </c>
      <c r="F125" s="127" t="str">
        <f>IF('Fixed Effects'!Q125="","",'Fixed Effects'!Q125)</f>
        <v/>
      </c>
      <c r="G125" s="128" t="str">
        <f>IF(D125="","",IF((INDEX('FE Inconsistency Results'!$H$1:$H$500,MATCH(SUBSTITUTE(D125,"OR","d"),'FE Inconsistency Results'!$B$1:$B$500,0),1))-(INDEX('FE Inconsistency Results'!$F$1:$F$500,MATCH(SUBSTITUTE(D125,"OR","d"),'FE Inconsistency Results'!$B$1:$B$500,0),1))&gt;50,"N/A",EXP(INDEX('FE Inconsistency Results'!$G$1:$G$500,MATCH(SUBSTITUTE(D125,"OR","d"),'FE Inconsistency Results'!$B$1:$B$500,0),1))))</f>
        <v/>
      </c>
      <c r="I125" s="138" t="str">
        <f ca="1">IF(INDIRECT(CONCATENATE("'",'Inconsistency Data'!$I$4,"'!N125"))="","",INDIRECT(CONCATENATE("'",'Inconsistency Data'!$I$4,"'!N125")))</f>
        <v/>
      </c>
      <c r="J125" s="126" t="str">
        <f ca="1">IF(INDIRECT(CONCATENATE("'",'Inconsistency Data'!$I$4,"'!O125"))="","",INDIRECT(CONCATENATE("'",'Inconsistency Data'!$I$4,"'!O125")))</f>
        <v/>
      </c>
      <c r="K125" s="127" t="str">
        <f ca="1">IF(INDIRECT(CONCATENATE("'",'Inconsistency Data'!$I$4,"'!Q125"))="","",INDIRECT(CONCATENATE("'",'Inconsistency Data'!$I$4,"'!Q125")))</f>
        <v/>
      </c>
      <c r="L125" s="128" t="str">
        <f>IF(D125="","",IF((INDEX('RE Inconsistency Results'!$H$1:$H$500,MATCH(SUBSTITUTE(D125,"OR","d"),'RE Inconsistency Results'!$B$1:$B$500,0),1))-(INDEX('RE Inconsistency Results'!$F$1:$F$500,MATCH(SUBSTITUTE(D125,"OR","d"),'RE Inconsistency Results'!$B$1:$B$500,0),1))&gt;50,"N/A",EXP(INDEX('RE Inconsistency Results'!$G$1:$G$500,MATCH(SUBSTITUTE(D125,"OR","d"),'RE Inconsistency Results'!$B$1:$B$500,0),1))))</f>
        <v/>
      </c>
    </row>
    <row r="126" spans="4:12" x14ac:dyDescent="0.25">
      <c r="D126" s="125" t="str">
        <f>IF('Fixed Effects'!N126="","",'Fixed Effects'!N126)</f>
        <v/>
      </c>
      <c r="E126" s="126" t="str">
        <f>IF('Fixed Effects'!O126="","",'Fixed Effects'!O126)</f>
        <v/>
      </c>
      <c r="F126" s="127" t="str">
        <f>IF('Fixed Effects'!Q126="","",'Fixed Effects'!Q126)</f>
        <v/>
      </c>
      <c r="G126" s="128" t="str">
        <f>IF(D126="","",IF((INDEX('FE Inconsistency Results'!$H$1:$H$500,MATCH(SUBSTITUTE(D126,"OR","d"),'FE Inconsistency Results'!$B$1:$B$500,0),1))-(INDEX('FE Inconsistency Results'!$F$1:$F$500,MATCH(SUBSTITUTE(D126,"OR","d"),'FE Inconsistency Results'!$B$1:$B$500,0),1))&gt;50,"N/A",EXP(INDEX('FE Inconsistency Results'!$G$1:$G$500,MATCH(SUBSTITUTE(D126,"OR","d"),'FE Inconsistency Results'!$B$1:$B$500,0),1))))</f>
        <v/>
      </c>
      <c r="I126" s="138" t="str">
        <f ca="1">IF(INDIRECT(CONCATENATE("'",'Inconsistency Data'!$I$4,"'!N126"))="","",INDIRECT(CONCATENATE("'",'Inconsistency Data'!$I$4,"'!N126")))</f>
        <v/>
      </c>
      <c r="J126" s="126" t="str">
        <f ca="1">IF(INDIRECT(CONCATENATE("'",'Inconsistency Data'!$I$4,"'!O126"))="","",INDIRECT(CONCATENATE("'",'Inconsistency Data'!$I$4,"'!O126")))</f>
        <v/>
      </c>
      <c r="K126" s="127" t="str">
        <f ca="1">IF(INDIRECT(CONCATENATE("'",'Inconsistency Data'!$I$4,"'!Q126"))="","",INDIRECT(CONCATENATE("'",'Inconsistency Data'!$I$4,"'!Q126")))</f>
        <v/>
      </c>
      <c r="L126" s="128" t="str">
        <f>IF(D126="","",IF((INDEX('RE Inconsistency Results'!$H$1:$H$500,MATCH(SUBSTITUTE(D126,"OR","d"),'RE Inconsistency Results'!$B$1:$B$500,0),1))-(INDEX('RE Inconsistency Results'!$F$1:$F$500,MATCH(SUBSTITUTE(D126,"OR","d"),'RE Inconsistency Results'!$B$1:$B$500,0),1))&gt;50,"N/A",EXP(INDEX('RE Inconsistency Results'!$G$1:$G$500,MATCH(SUBSTITUTE(D126,"OR","d"),'RE Inconsistency Results'!$B$1:$B$500,0),1))))</f>
        <v/>
      </c>
    </row>
    <row r="127" spans="4:12" x14ac:dyDescent="0.25">
      <c r="D127" s="125" t="str">
        <f>IF('Fixed Effects'!N127="","",'Fixed Effects'!N127)</f>
        <v/>
      </c>
      <c r="E127" s="126" t="str">
        <f>IF('Fixed Effects'!O127="","",'Fixed Effects'!O127)</f>
        <v/>
      </c>
      <c r="F127" s="127" t="str">
        <f>IF('Fixed Effects'!Q127="","",'Fixed Effects'!Q127)</f>
        <v/>
      </c>
      <c r="G127" s="128" t="str">
        <f>IF(D127="","",IF((INDEX('FE Inconsistency Results'!$H$1:$H$500,MATCH(SUBSTITUTE(D127,"OR","d"),'FE Inconsistency Results'!$B$1:$B$500,0),1))-(INDEX('FE Inconsistency Results'!$F$1:$F$500,MATCH(SUBSTITUTE(D127,"OR","d"),'FE Inconsistency Results'!$B$1:$B$500,0),1))&gt;50,"N/A",EXP(INDEX('FE Inconsistency Results'!$G$1:$G$500,MATCH(SUBSTITUTE(D127,"OR","d"),'FE Inconsistency Results'!$B$1:$B$500,0),1))))</f>
        <v/>
      </c>
      <c r="I127" s="138" t="str">
        <f ca="1">IF(INDIRECT(CONCATENATE("'",'Inconsistency Data'!$I$4,"'!N127"))="","",INDIRECT(CONCATENATE("'",'Inconsistency Data'!$I$4,"'!N127")))</f>
        <v/>
      </c>
      <c r="J127" s="126" t="str">
        <f ca="1">IF(INDIRECT(CONCATENATE("'",'Inconsistency Data'!$I$4,"'!O127"))="","",INDIRECT(CONCATENATE("'",'Inconsistency Data'!$I$4,"'!O127")))</f>
        <v/>
      </c>
      <c r="K127" s="127" t="str">
        <f ca="1">IF(INDIRECT(CONCATENATE("'",'Inconsistency Data'!$I$4,"'!Q127"))="","",INDIRECT(CONCATENATE("'",'Inconsistency Data'!$I$4,"'!Q127")))</f>
        <v/>
      </c>
      <c r="L127" s="128" t="str">
        <f>IF(D127="","",IF((INDEX('RE Inconsistency Results'!$H$1:$H$500,MATCH(SUBSTITUTE(D127,"OR","d"),'RE Inconsistency Results'!$B$1:$B$500,0),1))-(INDEX('RE Inconsistency Results'!$F$1:$F$500,MATCH(SUBSTITUTE(D127,"OR","d"),'RE Inconsistency Results'!$B$1:$B$500,0),1))&gt;50,"N/A",EXP(INDEX('RE Inconsistency Results'!$G$1:$G$500,MATCH(SUBSTITUTE(D127,"OR","d"),'RE Inconsistency Results'!$B$1:$B$500,0),1))))</f>
        <v/>
      </c>
    </row>
    <row r="128" spans="4:12" x14ac:dyDescent="0.25">
      <c r="D128" s="125" t="str">
        <f>IF('Fixed Effects'!N128="","",'Fixed Effects'!N128)</f>
        <v/>
      </c>
      <c r="E128" s="126" t="str">
        <f>IF('Fixed Effects'!O128="","",'Fixed Effects'!O128)</f>
        <v/>
      </c>
      <c r="F128" s="127" t="str">
        <f>IF('Fixed Effects'!Q128="","",'Fixed Effects'!Q128)</f>
        <v/>
      </c>
      <c r="G128" s="128" t="str">
        <f>IF(D128="","",IF((INDEX('FE Inconsistency Results'!$H$1:$H$500,MATCH(SUBSTITUTE(D128,"OR","d"),'FE Inconsistency Results'!$B$1:$B$500,0),1))-(INDEX('FE Inconsistency Results'!$F$1:$F$500,MATCH(SUBSTITUTE(D128,"OR","d"),'FE Inconsistency Results'!$B$1:$B$500,0),1))&gt;50,"N/A",EXP(INDEX('FE Inconsistency Results'!$G$1:$G$500,MATCH(SUBSTITUTE(D128,"OR","d"),'FE Inconsistency Results'!$B$1:$B$500,0),1))))</f>
        <v/>
      </c>
      <c r="I128" s="138" t="str">
        <f ca="1">IF(INDIRECT(CONCATENATE("'",'Inconsistency Data'!$I$4,"'!N128"))="","",INDIRECT(CONCATENATE("'",'Inconsistency Data'!$I$4,"'!N128")))</f>
        <v/>
      </c>
      <c r="J128" s="126" t="str">
        <f ca="1">IF(INDIRECT(CONCATENATE("'",'Inconsistency Data'!$I$4,"'!O128"))="","",INDIRECT(CONCATENATE("'",'Inconsistency Data'!$I$4,"'!O128")))</f>
        <v/>
      </c>
      <c r="K128" s="127" t="str">
        <f ca="1">IF(INDIRECT(CONCATENATE("'",'Inconsistency Data'!$I$4,"'!Q128"))="","",INDIRECT(CONCATENATE("'",'Inconsistency Data'!$I$4,"'!Q128")))</f>
        <v/>
      </c>
      <c r="L128" s="128" t="str">
        <f>IF(D128="","",IF((INDEX('RE Inconsistency Results'!$H$1:$H$500,MATCH(SUBSTITUTE(D128,"OR","d"),'RE Inconsistency Results'!$B$1:$B$500,0),1))-(INDEX('RE Inconsistency Results'!$F$1:$F$500,MATCH(SUBSTITUTE(D128,"OR","d"),'RE Inconsistency Results'!$B$1:$B$500,0),1))&gt;50,"N/A",EXP(INDEX('RE Inconsistency Results'!$G$1:$G$500,MATCH(SUBSTITUTE(D128,"OR","d"),'RE Inconsistency Results'!$B$1:$B$500,0),1))))</f>
        <v/>
      </c>
    </row>
    <row r="129" spans="4:12" x14ac:dyDescent="0.25">
      <c r="D129" s="125" t="str">
        <f>IF('Fixed Effects'!N129="","",'Fixed Effects'!N129)</f>
        <v/>
      </c>
      <c r="E129" s="126" t="str">
        <f>IF('Fixed Effects'!O129="","",'Fixed Effects'!O129)</f>
        <v/>
      </c>
      <c r="F129" s="127" t="str">
        <f>IF('Fixed Effects'!Q129="","",'Fixed Effects'!Q129)</f>
        <v/>
      </c>
      <c r="G129" s="128" t="str">
        <f>IF(D129="","",IF((INDEX('FE Inconsistency Results'!$H$1:$H$500,MATCH(SUBSTITUTE(D129,"OR","d"),'FE Inconsistency Results'!$B$1:$B$500,0),1))-(INDEX('FE Inconsistency Results'!$F$1:$F$500,MATCH(SUBSTITUTE(D129,"OR","d"),'FE Inconsistency Results'!$B$1:$B$500,0),1))&gt;50,"N/A",EXP(INDEX('FE Inconsistency Results'!$G$1:$G$500,MATCH(SUBSTITUTE(D129,"OR","d"),'FE Inconsistency Results'!$B$1:$B$500,0),1))))</f>
        <v/>
      </c>
      <c r="I129" s="138" t="str">
        <f ca="1">IF(INDIRECT(CONCATENATE("'",'Inconsistency Data'!$I$4,"'!N129"))="","",INDIRECT(CONCATENATE("'",'Inconsistency Data'!$I$4,"'!N129")))</f>
        <v/>
      </c>
      <c r="J129" s="126" t="str">
        <f ca="1">IF(INDIRECT(CONCATENATE("'",'Inconsistency Data'!$I$4,"'!O129"))="","",INDIRECT(CONCATENATE("'",'Inconsistency Data'!$I$4,"'!O129")))</f>
        <v/>
      </c>
      <c r="K129" s="127" t="str">
        <f ca="1">IF(INDIRECT(CONCATENATE("'",'Inconsistency Data'!$I$4,"'!Q129"))="","",INDIRECT(CONCATENATE("'",'Inconsistency Data'!$I$4,"'!Q129")))</f>
        <v/>
      </c>
      <c r="L129" s="128" t="str">
        <f>IF(D129="","",IF((INDEX('RE Inconsistency Results'!$H$1:$H$500,MATCH(SUBSTITUTE(D129,"OR","d"),'RE Inconsistency Results'!$B$1:$B$500,0),1))-(INDEX('RE Inconsistency Results'!$F$1:$F$500,MATCH(SUBSTITUTE(D129,"OR","d"),'RE Inconsistency Results'!$B$1:$B$500,0),1))&gt;50,"N/A",EXP(INDEX('RE Inconsistency Results'!$G$1:$G$500,MATCH(SUBSTITUTE(D129,"OR","d"),'RE Inconsistency Results'!$B$1:$B$500,0),1))))</f>
        <v/>
      </c>
    </row>
    <row r="130" spans="4:12" x14ac:dyDescent="0.25">
      <c r="D130" s="125" t="str">
        <f>IF('Fixed Effects'!N130="","",'Fixed Effects'!N130)</f>
        <v/>
      </c>
      <c r="E130" s="126" t="str">
        <f>IF('Fixed Effects'!O130="","",'Fixed Effects'!O130)</f>
        <v/>
      </c>
      <c r="F130" s="127" t="str">
        <f>IF('Fixed Effects'!Q130="","",'Fixed Effects'!Q130)</f>
        <v/>
      </c>
      <c r="G130" s="128" t="str">
        <f>IF(D130="","",IF((INDEX('FE Inconsistency Results'!$H$1:$H$500,MATCH(SUBSTITUTE(D130,"OR","d"),'FE Inconsistency Results'!$B$1:$B$500,0),1))-(INDEX('FE Inconsistency Results'!$F$1:$F$500,MATCH(SUBSTITUTE(D130,"OR","d"),'FE Inconsistency Results'!$B$1:$B$500,0),1))&gt;50,"N/A",EXP(INDEX('FE Inconsistency Results'!$G$1:$G$500,MATCH(SUBSTITUTE(D130,"OR","d"),'FE Inconsistency Results'!$B$1:$B$500,0),1))))</f>
        <v/>
      </c>
      <c r="I130" s="138" t="str">
        <f ca="1">IF(INDIRECT(CONCATENATE("'",'Inconsistency Data'!$I$4,"'!N130"))="","",INDIRECT(CONCATENATE("'",'Inconsistency Data'!$I$4,"'!N130")))</f>
        <v/>
      </c>
      <c r="J130" s="126" t="str">
        <f ca="1">IF(INDIRECT(CONCATENATE("'",'Inconsistency Data'!$I$4,"'!O130"))="","",INDIRECT(CONCATENATE("'",'Inconsistency Data'!$I$4,"'!O130")))</f>
        <v/>
      </c>
      <c r="K130" s="127" t="str">
        <f ca="1">IF(INDIRECT(CONCATENATE("'",'Inconsistency Data'!$I$4,"'!Q130"))="","",INDIRECT(CONCATENATE("'",'Inconsistency Data'!$I$4,"'!Q130")))</f>
        <v/>
      </c>
      <c r="L130" s="128" t="str">
        <f>IF(D130="","",IF((INDEX('RE Inconsistency Results'!$H$1:$H$500,MATCH(SUBSTITUTE(D130,"OR","d"),'RE Inconsistency Results'!$B$1:$B$500,0),1))-(INDEX('RE Inconsistency Results'!$F$1:$F$500,MATCH(SUBSTITUTE(D130,"OR","d"),'RE Inconsistency Results'!$B$1:$B$500,0),1))&gt;50,"N/A",EXP(INDEX('RE Inconsistency Results'!$G$1:$G$500,MATCH(SUBSTITUTE(D130,"OR","d"),'RE Inconsistency Results'!$B$1:$B$500,0),1))))</f>
        <v/>
      </c>
    </row>
    <row r="131" spans="4:12" x14ac:dyDescent="0.25">
      <c r="D131" s="125" t="str">
        <f>IF('Fixed Effects'!N131="","",'Fixed Effects'!N131)</f>
        <v/>
      </c>
      <c r="E131" s="126" t="str">
        <f>IF('Fixed Effects'!O131="","",'Fixed Effects'!O131)</f>
        <v/>
      </c>
      <c r="F131" s="127" t="str">
        <f>IF('Fixed Effects'!Q131="","",'Fixed Effects'!Q131)</f>
        <v/>
      </c>
      <c r="G131" s="128" t="str">
        <f>IF(D131="","",IF((INDEX('FE Inconsistency Results'!$H$1:$H$500,MATCH(SUBSTITUTE(D131,"OR","d"),'FE Inconsistency Results'!$B$1:$B$500,0),1))-(INDEX('FE Inconsistency Results'!$F$1:$F$500,MATCH(SUBSTITUTE(D131,"OR","d"),'FE Inconsistency Results'!$B$1:$B$500,0),1))&gt;50,"N/A",EXP(INDEX('FE Inconsistency Results'!$G$1:$G$500,MATCH(SUBSTITUTE(D131,"OR","d"),'FE Inconsistency Results'!$B$1:$B$500,0),1))))</f>
        <v/>
      </c>
      <c r="I131" s="138" t="str">
        <f ca="1">IF(INDIRECT(CONCATENATE("'",'Inconsistency Data'!$I$4,"'!N131"))="","",INDIRECT(CONCATENATE("'",'Inconsistency Data'!$I$4,"'!N131")))</f>
        <v/>
      </c>
      <c r="J131" s="126" t="str">
        <f ca="1">IF(INDIRECT(CONCATENATE("'",'Inconsistency Data'!$I$4,"'!O131"))="","",INDIRECT(CONCATENATE("'",'Inconsistency Data'!$I$4,"'!O131")))</f>
        <v/>
      </c>
      <c r="K131" s="127" t="str">
        <f ca="1">IF(INDIRECT(CONCATENATE("'",'Inconsistency Data'!$I$4,"'!Q131"))="","",INDIRECT(CONCATENATE("'",'Inconsistency Data'!$I$4,"'!Q131")))</f>
        <v/>
      </c>
      <c r="L131" s="128" t="str">
        <f>IF(D131="","",IF((INDEX('RE Inconsistency Results'!$H$1:$H$500,MATCH(SUBSTITUTE(D131,"OR","d"),'RE Inconsistency Results'!$B$1:$B$500,0),1))-(INDEX('RE Inconsistency Results'!$F$1:$F$500,MATCH(SUBSTITUTE(D131,"OR","d"),'RE Inconsistency Results'!$B$1:$B$500,0),1))&gt;50,"N/A",EXP(INDEX('RE Inconsistency Results'!$G$1:$G$500,MATCH(SUBSTITUTE(D131,"OR","d"),'RE Inconsistency Results'!$B$1:$B$500,0),1))))</f>
        <v/>
      </c>
    </row>
    <row r="132" spans="4:12" x14ac:dyDescent="0.25">
      <c r="D132" s="125" t="str">
        <f>IF('Fixed Effects'!N132="","",'Fixed Effects'!N132)</f>
        <v/>
      </c>
      <c r="E132" s="126" t="str">
        <f>IF('Fixed Effects'!O132="","",'Fixed Effects'!O132)</f>
        <v/>
      </c>
      <c r="F132" s="127" t="str">
        <f>IF('Fixed Effects'!Q132="","",'Fixed Effects'!Q132)</f>
        <v/>
      </c>
      <c r="G132" s="128" t="str">
        <f>IF(D132="","",IF((INDEX('FE Inconsistency Results'!$H$1:$H$500,MATCH(SUBSTITUTE(D132,"OR","d"),'FE Inconsistency Results'!$B$1:$B$500,0),1))-(INDEX('FE Inconsistency Results'!$F$1:$F$500,MATCH(SUBSTITUTE(D132,"OR","d"),'FE Inconsistency Results'!$B$1:$B$500,0),1))&gt;50,"N/A",EXP(INDEX('FE Inconsistency Results'!$G$1:$G$500,MATCH(SUBSTITUTE(D132,"OR","d"),'FE Inconsistency Results'!$B$1:$B$500,0),1))))</f>
        <v/>
      </c>
      <c r="I132" s="138" t="str">
        <f ca="1">IF(INDIRECT(CONCATENATE("'",'Inconsistency Data'!$I$4,"'!N132"))="","",INDIRECT(CONCATENATE("'",'Inconsistency Data'!$I$4,"'!N132")))</f>
        <v/>
      </c>
      <c r="J132" s="126" t="str">
        <f ca="1">IF(INDIRECT(CONCATENATE("'",'Inconsistency Data'!$I$4,"'!O132"))="","",INDIRECT(CONCATENATE("'",'Inconsistency Data'!$I$4,"'!O132")))</f>
        <v/>
      </c>
      <c r="K132" s="127" t="str">
        <f ca="1">IF(INDIRECT(CONCATENATE("'",'Inconsistency Data'!$I$4,"'!Q132"))="","",INDIRECT(CONCATENATE("'",'Inconsistency Data'!$I$4,"'!Q132")))</f>
        <v/>
      </c>
      <c r="L132" s="128" t="str">
        <f>IF(D132="","",IF((INDEX('RE Inconsistency Results'!$H$1:$H$500,MATCH(SUBSTITUTE(D132,"OR","d"),'RE Inconsistency Results'!$B$1:$B$500,0),1))-(INDEX('RE Inconsistency Results'!$F$1:$F$500,MATCH(SUBSTITUTE(D132,"OR","d"),'RE Inconsistency Results'!$B$1:$B$500,0),1))&gt;50,"N/A",EXP(INDEX('RE Inconsistency Results'!$G$1:$G$500,MATCH(SUBSTITUTE(D132,"OR","d"),'RE Inconsistency Results'!$B$1:$B$500,0),1))))</f>
        <v/>
      </c>
    </row>
    <row r="133" spans="4:12" x14ac:dyDescent="0.25">
      <c r="D133" s="125" t="str">
        <f>IF('Fixed Effects'!N133="","",'Fixed Effects'!N133)</f>
        <v/>
      </c>
      <c r="E133" s="126" t="str">
        <f>IF('Fixed Effects'!O133="","",'Fixed Effects'!O133)</f>
        <v/>
      </c>
      <c r="F133" s="127" t="str">
        <f>IF('Fixed Effects'!Q133="","",'Fixed Effects'!Q133)</f>
        <v/>
      </c>
      <c r="G133" s="128" t="str">
        <f>IF(D133="","",IF((INDEX('FE Inconsistency Results'!$H$1:$H$500,MATCH(SUBSTITUTE(D133,"OR","d"),'FE Inconsistency Results'!$B$1:$B$500,0),1))-(INDEX('FE Inconsistency Results'!$F$1:$F$500,MATCH(SUBSTITUTE(D133,"OR","d"),'FE Inconsistency Results'!$B$1:$B$500,0),1))&gt;50,"N/A",EXP(INDEX('FE Inconsistency Results'!$G$1:$G$500,MATCH(SUBSTITUTE(D133,"OR","d"),'FE Inconsistency Results'!$B$1:$B$500,0),1))))</f>
        <v/>
      </c>
      <c r="I133" s="138" t="str">
        <f ca="1">IF(INDIRECT(CONCATENATE("'",'Inconsistency Data'!$I$4,"'!N133"))="","",INDIRECT(CONCATENATE("'",'Inconsistency Data'!$I$4,"'!N133")))</f>
        <v/>
      </c>
      <c r="J133" s="126" t="str">
        <f ca="1">IF(INDIRECT(CONCATENATE("'",'Inconsistency Data'!$I$4,"'!O133"))="","",INDIRECT(CONCATENATE("'",'Inconsistency Data'!$I$4,"'!O133")))</f>
        <v/>
      </c>
      <c r="K133" s="127" t="str">
        <f ca="1">IF(INDIRECT(CONCATENATE("'",'Inconsistency Data'!$I$4,"'!Q133"))="","",INDIRECT(CONCATENATE("'",'Inconsistency Data'!$I$4,"'!Q133")))</f>
        <v/>
      </c>
      <c r="L133" s="128" t="str">
        <f>IF(D133="","",IF((INDEX('RE Inconsistency Results'!$H$1:$H$500,MATCH(SUBSTITUTE(D133,"OR","d"),'RE Inconsistency Results'!$B$1:$B$500,0),1))-(INDEX('RE Inconsistency Results'!$F$1:$F$500,MATCH(SUBSTITUTE(D133,"OR","d"),'RE Inconsistency Results'!$B$1:$B$500,0),1))&gt;50,"N/A",EXP(INDEX('RE Inconsistency Results'!$G$1:$G$500,MATCH(SUBSTITUTE(D133,"OR","d"),'RE Inconsistency Results'!$B$1:$B$500,0),1))))</f>
        <v/>
      </c>
    </row>
    <row r="134" spans="4:12" x14ac:dyDescent="0.25">
      <c r="D134" s="125" t="str">
        <f>IF('Fixed Effects'!N134="","",'Fixed Effects'!N134)</f>
        <v/>
      </c>
      <c r="E134" s="126" t="str">
        <f>IF('Fixed Effects'!O134="","",'Fixed Effects'!O134)</f>
        <v/>
      </c>
      <c r="F134" s="127" t="str">
        <f>IF('Fixed Effects'!Q134="","",'Fixed Effects'!Q134)</f>
        <v/>
      </c>
      <c r="G134" s="128" t="str">
        <f>IF(D134="","",IF((INDEX('FE Inconsistency Results'!$H$1:$H$500,MATCH(SUBSTITUTE(D134,"OR","d"),'FE Inconsistency Results'!$B$1:$B$500,0),1))-(INDEX('FE Inconsistency Results'!$F$1:$F$500,MATCH(SUBSTITUTE(D134,"OR","d"),'FE Inconsistency Results'!$B$1:$B$500,0),1))&gt;50,"N/A",EXP(INDEX('FE Inconsistency Results'!$G$1:$G$500,MATCH(SUBSTITUTE(D134,"OR","d"),'FE Inconsistency Results'!$B$1:$B$500,0),1))))</f>
        <v/>
      </c>
      <c r="I134" s="138" t="str">
        <f ca="1">IF(INDIRECT(CONCATENATE("'",'Inconsistency Data'!$I$4,"'!N134"))="","",INDIRECT(CONCATENATE("'",'Inconsistency Data'!$I$4,"'!N134")))</f>
        <v/>
      </c>
      <c r="J134" s="126" t="str">
        <f ca="1">IF(INDIRECT(CONCATENATE("'",'Inconsistency Data'!$I$4,"'!O134"))="","",INDIRECT(CONCATENATE("'",'Inconsistency Data'!$I$4,"'!O134")))</f>
        <v/>
      </c>
      <c r="K134" s="127" t="str">
        <f ca="1">IF(INDIRECT(CONCATENATE("'",'Inconsistency Data'!$I$4,"'!Q134"))="","",INDIRECT(CONCATENATE("'",'Inconsistency Data'!$I$4,"'!Q134")))</f>
        <v/>
      </c>
      <c r="L134" s="128" t="str">
        <f>IF(D134="","",IF((INDEX('RE Inconsistency Results'!$H$1:$H$500,MATCH(SUBSTITUTE(D134,"OR","d"),'RE Inconsistency Results'!$B$1:$B$500,0),1))-(INDEX('RE Inconsistency Results'!$F$1:$F$500,MATCH(SUBSTITUTE(D134,"OR","d"),'RE Inconsistency Results'!$B$1:$B$500,0),1))&gt;50,"N/A",EXP(INDEX('RE Inconsistency Results'!$G$1:$G$500,MATCH(SUBSTITUTE(D134,"OR","d"),'RE Inconsistency Results'!$B$1:$B$500,0),1))))</f>
        <v/>
      </c>
    </row>
    <row r="135" spans="4:12" x14ac:dyDescent="0.25">
      <c r="D135" s="125" t="str">
        <f>IF('Fixed Effects'!N135="","",'Fixed Effects'!N135)</f>
        <v/>
      </c>
      <c r="E135" s="126" t="str">
        <f>IF('Fixed Effects'!O135="","",'Fixed Effects'!O135)</f>
        <v/>
      </c>
      <c r="F135" s="127" t="str">
        <f>IF('Fixed Effects'!Q135="","",'Fixed Effects'!Q135)</f>
        <v/>
      </c>
      <c r="G135" s="128" t="str">
        <f>IF(D135="","",IF((INDEX('FE Inconsistency Results'!$H$1:$H$500,MATCH(SUBSTITUTE(D135,"OR","d"),'FE Inconsistency Results'!$B$1:$B$500,0),1))-(INDEX('FE Inconsistency Results'!$F$1:$F$500,MATCH(SUBSTITUTE(D135,"OR","d"),'FE Inconsistency Results'!$B$1:$B$500,0),1))&gt;50,"N/A",EXP(INDEX('FE Inconsistency Results'!$G$1:$G$500,MATCH(SUBSTITUTE(D135,"OR","d"),'FE Inconsistency Results'!$B$1:$B$500,0),1))))</f>
        <v/>
      </c>
      <c r="I135" s="138" t="str">
        <f ca="1">IF(INDIRECT(CONCATENATE("'",'Inconsistency Data'!$I$4,"'!N135"))="","",INDIRECT(CONCATENATE("'",'Inconsistency Data'!$I$4,"'!N135")))</f>
        <v/>
      </c>
      <c r="J135" s="126" t="str">
        <f ca="1">IF(INDIRECT(CONCATENATE("'",'Inconsistency Data'!$I$4,"'!O135"))="","",INDIRECT(CONCATENATE("'",'Inconsistency Data'!$I$4,"'!O135")))</f>
        <v/>
      </c>
      <c r="K135" s="127" t="str">
        <f ca="1">IF(INDIRECT(CONCATENATE("'",'Inconsistency Data'!$I$4,"'!Q135"))="","",INDIRECT(CONCATENATE("'",'Inconsistency Data'!$I$4,"'!Q135")))</f>
        <v/>
      </c>
      <c r="L135" s="128" t="str">
        <f>IF(D135="","",IF((INDEX('RE Inconsistency Results'!$H$1:$H$500,MATCH(SUBSTITUTE(D135,"OR","d"),'RE Inconsistency Results'!$B$1:$B$500,0),1))-(INDEX('RE Inconsistency Results'!$F$1:$F$500,MATCH(SUBSTITUTE(D135,"OR","d"),'RE Inconsistency Results'!$B$1:$B$500,0),1))&gt;50,"N/A",EXP(INDEX('RE Inconsistency Results'!$G$1:$G$500,MATCH(SUBSTITUTE(D135,"OR","d"),'RE Inconsistency Results'!$B$1:$B$500,0),1))))</f>
        <v/>
      </c>
    </row>
    <row r="136" spans="4:12" x14ac:dyDescent="0.25">
      <c r="D136" s="125" t="str">
        <f>IF('Fixed Effects'!N136="","",'Fixed Effects'!N136)</f>
        <v/>
      </c>
      <c r="E136" s="126" t="str">
        <f>IF('Fixed Effects'!O136="","",'Fixed Effects'!O136)</f>
        <v/>
      </c>
      <c r="F136" s="127" t="str">
        <f>IF('Fixed Effects'!Q136="","",'Fixed Effects'!Q136)</f>
        <v/>
      </c>
      <c r="G136" s="128" t="str">
        <f>IF(D136="","",IF((INDEX('FE Inconsistency Results'!$H$1:$H$500,MATCH(SUBSTITUTE(D136,"OR","d"),'FE Inconsistency Results'!$B$1:$B$500,0),1))-(INDEX('FE Inconsistency Results'!$F$1:$F$500,MATCH(SUBSTITUTE(D136,"OR","d"),'FE Inconsistency Results'!$B$1:$B$500,0),1))&gt;50,"N/A",EXP(INDEX('FE Inconsistency Results'!$G$1:$G$500,MATCH(SUBSTITUTE(D136,"OR","d"),'FE Inconsistency Results'!$B$1:$B$500,0),1))))</f>
        <v/>
      </c>
      <c r="I136" s="138" t="str">
        <f ca="1">IF(INDIRECT(CONCATENATE("'",'Inconsistency Data'!$I$4,"'!N136"))="","",INDIRECT(CONCATENATE("'",'Inconsistency Data'!$I$4,"'!N136")))</f>
        <v/>
      </c>
      <c r="J136" s="126" t="str">
        <f ca="1">IF(INDIRECT(CONCATENATE("'",'Inconsistency Data'!$I$4,"'!O136"))="","",INDIRECT(CONCATENATE("'",'Inconsistency Data'!$I$4,"'!O136")))</f>
        <v/>
      </c>
      <c r="K136" s="127" t="str">
        <f ca="1">IF(INDIRECT(CONCATENATE("'",'Inconsistency Data'!$I$4,"'!Q136"))="","",INDIRECT(CONCATENATE("'",'Inconsistency Data'!$I$4,"'!Q136")))</f>
        <v/>
      </c>
      <c r="L136" s="128" t="str">
        <f>IF(D136="","",IF((INDEX('RE Inconsistency Results'!$H$1:$H$500,MATCH(SUBSTITUTE(D136,"OR","d"),'RE Inconsistency Results'!$B$1:$B$500,0),1))-(INDEX('RE Inconsistency Results'!$F$1:$F$500,MATCH(SUBSTITUTE(D136,"OR","d"),'RE Inconsistency Results'!$B$1:$B$500,0),1))&gt;50,"N/A",EXP(INDEX('RE Inconsistency Results'!$G$1:$G$500,MATCH(SUBSTITUTE(D136,"OR","d"),'RE Inconsistency Results'!$B$1:$B$500,0),1))))</f>
        <v/>
      </c>
    </row>
    <row r="137" spans="4:12" x14ac:dyDescent="0.25">
      <c r="D137" s="125" t="str">
        <f>IF('Fixed Effects'!N137="","",'Fixed Effects'!N137)</f>
        <v/>
      </c>
      <c r="E137" s="126" t="str">
        <f>IF('Fixed Effects'!O137="","",'Fixed Effects'!O137)</f>
        <v/>
      </c>
      <c r="F137" s="127" t="str">
        <f>IF('Fixed Effects'!Q137="","",'Fixed Effects'!Q137)</f>
        <v/>
      </c>
      <c r="G137" s="128" t="str">
        <f>IF(D137="","",IF((INDEX('FE Inconsistency Results'!$H$1:$H$500,MATCH(SUBSTITUTE(D137,"OR","d"),'FE Inconsistency Results'!$B$1:$B$500,0),1))-(INDEX('FE Inconsistency Results'!$F$1:$F$500,MATCH(SUBSTITUTE(D137,"OR","d"),'FE Inconsistency Results'!$B$1:$B$500,0),1))&gt;50,"N/A",EXP(INDEX('FE Inconsistency Results'!$G$1:$G$500,MATCH(SUBSTITUTE(D137,"OR","d"),'FE Inconsistency Results'!$B$1:$B$500,0),1))))</f>
        <v/>
      </c>
      <c r="I137" s="138" t="str">
        <f ca="1">IF(INDIRECT(CONCATENATE("'",'Inconsistency Data'!$I$4,"'!N137"))="","",INDIRECT(CONCATENATE("'",'Inconsistency Data'!$I$4,"'!N137")))</f>
        <v/>
      </c>
      <c r="J137" s="126" t="str">
        <f ca="1">IF(INDIRECT(CONCATENATE("'",'Inconsistency Data'!$I$4,"'!O137"))="","",INDIRECT(CONCATENATE("'",'Inconsistency Data'!$I$4,"'!O137")))</f>
        <v/>
      </c>
      <c r="K137" s="127" t="str">
        <f ca="1">IF(INDIRECT(CONCATENATE("'",'Inconsistency Data'!$I$4,"'!Q137"))="","",INDIRECT(CONCATENATE("'",'Inconsistency Data'!$I$4,"'!Q137")))</f>
        <v/>
      </c>
      <c r="L137" s="128" t="str">
        <f>IF(D137="","",IF((INDEX('RE Inconsistency Results'!$H$1:$H$500,MATCH(SUBSTITUTE(D137,"OR","d"),'RE Inconsistency Results'!$B$1:$B$500,0),1))-(INDEX('RE Inconsistency Results'!$F$1:$F$500,MATCH(SUBSTITUTE(D137,"OR","d"),'RE Inconsistency Results'!$B$1:$B$500,0),1))&gt;50,"N/A",EXP(INDEX('RE Inconsistency Results'!$G$1:$G$500,MATCH(SUBSTITUTE(D137,"OR","d"),'RE Inconsistency Results'!$B$1:$B$500,0),1))))</f>
        <v/>
      </c>
    </row>
    <row r="138" spans="4:12" x14ac:dyDescent="0.25">
      <c r="D138" s="125" t="str">
        <f>IF('Fixed Effects'!N138="","",'Fixed Effects'!N138)</f>
        <v/>
      </c>
      <c r="E138" s="126" t="str">
        <f>IF('Fixed Effects'!O138="","",'Fixed Effects'!O138)</f>
        <v/>
      </c>
      <c r="F138" s="127" t="str">
        <f>IF('Fixed Effects'!Q138="","",'Fixed Effects'!Q138)</f>
        <v/>
      </c>
      <c r="G138" s="128" t="str">
        <f>IF(D138="","",IF((INDEX('FE Inconsistency Results'!$H$1:$H$500,MATCH(SUBSTITUTE(D138,"OR","d"),'FE Inconsistency Results'!$B$1:$B$500,0),1))-(INDEX('FE Inconsistency Results'!$F$1:$F$500,MATCH(SUBSTITUTE(D138,"OR","d"),'FE Inconsistency Results'!$B$1:$B$500,0),1))&gt;50,"N/A",EXP(INDEX('FE Inconsistency Results'!$G$1:$G$500,MATCH(SUBSTITUTE(D138,"OR","d"),'FE Inconsistency Results'!$B$1:$B$500,0),1))))</f>
        <v/>
      </c>
      <c r="I138" s="138" t="str">
        <f ca="1">IF(INDIRECT(CONCATENATE("'",'Inconsistency Data'!$I$4,"'!N138"))="","",INDIRECT(CONCATENATE("'",'Inconsistency Data'!$I$4,"'!N138")))</f>
        <v/>
      </c>
      <c r="J138" s="126" t="str">
        <f ca="1">IF(INDIRECT(CONCATENATE("'",'Inconsistency Data'!$I$4,"'!O138"))="","",INDIRECT(CONCATENATE("'",'Inconsistency Data'!$I$4,"'!O138")))</f>
        <v/>
      </c>
      <c r="K138" s="127" t="str">
        <f ca="1">IF(INDIRECT(CONCATENATE("'",'Inconsistency Data'!$I$4,"'!Q138"))="","",INDIRECT(CONCATENATE("'",'Inconsistency Data'!$I$4,"'!Q138")))</f>
        <v/>
      </c>
      <c r="L138" s="128" t="str">
        <f>IF(D138="","",IF((INDEX('RE Inconsistency Results'!$H$1:$H$500,MATCH(SUBSTITUTE(D138,"OR","d"),'RE Inconsistency Results'!$B$1:$B$500,0),1))-(INDEX('RE Inconsistency Results'!$F$1:$F$500,MATCH(SUBSTITUTE(D138,"OR","d"),'RE Inconsistency Results'!$B$1:$B$500,0),1))&gt;50,"N/A",EXP(INDEX('RE Inconsistency Results'!$G$1:$G$500,MATCH(SUBSTITUTE(D138,"OR","d"),'RE Inconsistency Results'!$B$1:$B$500,0),1))))</f>
        <v/>
      </c>
    </row>
    <row r="139" spans="4:12" x14ac:dyDescent="0.25">
      <c r="D139" s="125" t="str">
        <f>IF('Fixed Effects'!N139="","",'Fixed Effects'!N139)</f>
        <v/>
      </c>
      <c r="E139" s="126" t="str">
        <f>IF('Fixed Effects'!O139="","",'Fixed Effects'!O139)</f>
        <v/>
      </c>
      <c r="F139" s="127" t="str">
        <f>IF('Fixed Effects'!Q139="","",'Fixed Effects'!Q139)</f>
        <v/>
      </c>
      <c r="G139" s="128" t="str">
        <f>IF(D139="","",IF((INDEX('FE Inconsistency Results'!$H$1:$H$500,MATCH(SUBSTITUTE(D139,"OR","d"),'FE Inconsistency Results'!$B$1:$B$500,0),1))-(INDEX('FE Inconsistency Results'!$F$1:$F$500,MATCH(SUBSTITUTE(D139,"OR","d"),'FE Inconsistency Results'!$B$1:$B$500,0),1))&gt;50,"N/A",EXP(INDEX('FE Inconsistency Results'!$G$1:$G$500,MATCH(SUBSTITUTE(D139,"OR","d"),'FE Inconsistency Results'!$B$1:$B$500,0),1))))</f>
        <v/>
      </c>
      <c r="I139" s="138" t="str">
        <f ca="1">IF(INDIRECT(CONCATENATE("'",'Inconsistency Data'!$I$4,"'!N139"))="","",INDIRECT(CONCATENATE("'",'Inconsistency Data'!$I$4,"'!N139")))</f>
        <v/>
      </c>
      <c r="J139" s="126" t="str">
        <f ca="1">IF(INDIRECT(CONCATENATE("'",'Inconsistency Data'!$I$4,"'!O139"))="","",INDIRECT(CONCATENATE("'",'Inconsistency Data'!$I$4,"'!O139")))</f>
        <v/>
      </c>
      <c r="K139" s="127" t="str">
        <f ca="1">IF(INDIRECT(CONCATENATE("'",'Inconsistency Data'!$I$4,"'!Q139"))="","",INDIRECT(CONCATENATE("'",'Inconsistency Data'!$I$4,"'!Q139")))</f>
        <v/>
      </c>
      <c r="L139" s="128" t="str">
        <f>IF(D139="","",IF((INDEX('RE Inconsistency Results'!$H$1:$H$500,MATCH(SUBSTITUTE(D139,"OR","d"),'RE Inconsistency Results'!$B$1:$B$500,0),1))-(INDEX('RE Inconsistency Results'!$F$1:$F$500,MATCH(SUBSTITUTE(D139,"OR","d"),'RE Inconsistency Results'!$B$1:$B$500,0),1))&gt;50,"N/A",EXP(INDEX('RE Inconsistency Results'!$G$1:$G$500,MATCH(SUBSTITUTE(D139,"OR","d"),'RE Inconsistency Results'!$B$1:$B$500,0),1))))</f>
        <v/>
      </c>
    </row>
    <row r="140" spans="4:12" x14ac:dyDescent="0.25">
      <c r="D140" s="125" t="str">
        <f>IF('Fixed Effects'!N140="","",'Fixed Effects'!N140)</f>
        <v/>
      </c>
      <c r="E140" s="126" t="str">
        <f>IF('Fixed Effects'!O140="","",'Fixed Effects'!O140)</f>
        <v/>
      </c>
      <c r="F140" s="127" t="str">
        <f>IF('Fixed Effects'!Q140="","",'Fixed Effects'!Q140)</f>
        <v/>
      </c>
      <c r="G140" s="128" t="str">
        <f>IF(D140="","",IF((INDEX('FE Inconsistency Results'!$H$1:$H$500,MATCH(SUBSTITUTE(D140,"OR","d"),'FE Inconsistency Results'!$B$1:$B$500,0),1))-(INDEX('FE Inconsistency Results'!$F$1:$F$500,MATCH(SUBSTITUTE(D140,"OR","d"),'FE Inconsistency Results'!$B$1:$B$500,0),1))&gt;50,"N/A",EXP(INDEX('FE Inconsistency Results'!$G$1:$G$500,MATCH(SUBSTITUTE(D140,"OR","d"),'FE Inconsistency Results'!$B$1:$B$500,0),1))))</f>
        <v/>
      </c>
      <c r="I140" s="138" t="str">
        <f ca="1">IF(INDIRECT(CONCATENATE("'",'Inconsistency Data'!$I$4,"'!N140"))="","",INDIRECT(CONCATENATE("'",'Inconsistency Data'!$I$4,"'!N140")))</f>
        <v/>
      </c>
      <c r="J140" s="126" t="str">
        <f ca="1">IF(INDIRECT(CONCATENATE("'",'Inconsistency Data'!$I$4,"'!O140"))="","",INDIRECT(CONCATENATE("'",'Inconsistency Data'!$I$4,"'!O140")))</f>
        <v/>
      </c>
      <c r="K140" s="127" t="str">
        <f ca="1">IF(INDIRECT(CONCATENATE("'",'Inconsistency Data'!$I$4,"'!Q140"))="","",INDIRECT(CONCATENATE("'",'Inconsistency Data'!$I$4,"'!Q140")))</f>
        <v/>
      </c>
      <c r="L140" s="128" t="str">
        <f>IF(D140="","",IF((INDEX('RE Inconsistency Results'!$H$1:$H$500,MATCH(SUBSTITUTE(D140,"OR","d"),'RE Inconsistency Results'!$B$1:$B$500,0),1))-(INDEX('RE Inconsistency Results'!$F$1:$F$500,MATCH(SUBSTITUTE(D140,"OR","d"),'RE Inconsistency Results'!$B$1:$B$500,0),1))&gt;50,"N/A",EXP(INDEX('RE Inconsistency Results'!$G$1:$G$500,MATCH(SUBSTITUTE(D140,"OR","d"),'RE Inconsistency Results'!$B$1:$B$500,0),1))))</f>
        <v/>
      </c>
    </row>
    <row r="141" spans="4:12" x14ac:dyDescent="0.25">
      <c r="D141" s="125" t="str">
        <f>IF('Fixed Effects'!N141="","",'Fixed Effects'!N141)</f>
        <v/>
      </c>
      <c r="E141" s="126" t="str">
        <f>IF('Fixed Effects'!O141="","",'Fixed Effects'!O141)</f>
        <v/>
      </c>
      <c r="F141" s="127" t="str">
        <f>IF('Fixed Effects'!Q141="","",'Fixed Effects'!Q141)</f>
        <v/>
      </c>
      <c r="G141" s="128" t="str">
        <f>IF(D141="","",IF((INDEX('FE Inconsistency Results'!$H$1:$H$500,MATCH(SUBSTITUTE(D141,"OR","d"),'FE Inconsistency Results'!$B$1:$B$500,0),1))-(INDEX('FE Inconsistency Results'!$F$1:$F$500,MATCH(SUBSTITUTE(D141,"OR","d"),'FE Inconsistency Results'!$B$1:$B$500,0),1))&gt;50,"N/A",EXP(INDEX('FE Inconsistency Results'!$G$1:$G$500,MATCH(SUBSTITUTE(D141,"OR","d"),'FE Inconsistency Results'!$B$1:$B$500,0),1))))</f>
        <v/>
      </c>
      <c r="I141" s="138" t="str">
        <f ca="1">IF(INDIRECT(CONCATENATE("'",'Inconsistency Data'!$I$4,"'!N141"))="","",INDIRECT(CONCATENATE("'",'Inconsistency Data'!$I$4,"'!N141")))</f>
        <v/>
      </c>
      <c r="J141" s="126" t="str">
        <f ca="1">IF(INDIRECT(CONCATENATE("'",'Inconsistency Data'!$I$4,"'!O141"))="","",INDIRECT(CONCATENATE("'",'Inconsistency Data'!$I$4,"'!O141")))</f>
        <v/>
      </c>
      <c r="K141" s="127" t="str">
        <f ca="1">IF(INDIRECT(CONCATENATE("'",'Inconsistency Data'!$I$4,"'!Q141"))="","",INDIRECT(CONCATENATE("'",'Inconsistency Data'!$I$4,"'!Q141")))</f>
        <v/>
      </c>
      <c r="L141" s="128" t="str">
        <f>IF(D141="","",IF((INDEX('RE Inconsistency Results'!$H$1:$H$500,MATCH(SUBSTITUTE(D141,"OR","d"),'RE Inconsistency Results'!$B$1:$B$500,0),1))-(INDEX('RE Inconsistency Results'!$F$1:$F$500,MATCH(SUBSTITUTE(D141,"OR","d"),'RE Inconsistency Results'!$B$1:$B$500,0),1))&gt;50,"N/A",EXP(INDEX('RE Inconsistency Results'!$G$1:$G$500,MATCH(SUBSTITUTE(D141,"OR","d"),'RE Inconsistency Results'!$B$1:$B$500,0),1))))</f>
        <v/>
      </c>
    </row>
    <row r="142" spans="4:12" x14ac:dyDescent="0.25">
      <c r="D142" s="125" t="str">
        <f>IF('Fixed Effects'!N142="","",'Fixed Effects'!N142)</f>
        <v/>
      </c>
      <c r="E142" s="126" t="str">
        <f>IF('Fixed Effects'!O142="","",'Fixed Effects'!O142)</f>
        <v/>
      </c>
      <c r="F142" s="127" t="str">
        <f>IF('Fixed Effects'!Q142="","",'Fixed Effects'!Q142)</f>
        <v/>
      </c>
      <c r="G142" s="128" t="str">
        <f>IF(D142="","",IF((INDEX('FE Inconsistency Results'!$H$1:$H$500,MATCH(SUBSTITUTE(D142,"OR","d"),'FE Inconsistency Results'!$B$1:$B$500,0),1))-(INDEX('FE Inconsistency Results'!$F$1:$F$500,MATCH(SUBSTITUTE(D142,"OR","d"),'FE Inconsistency Results'!$B$1:$B$500,0),1))&gt;50,"N/A",EXP(INDEX('FE Inconsistency Results'!$G$1:$G$500,MATCH(SUBSTITUTE(D142,"OR","d"),'FE Inconsistency Results'!$B$1:$B$500,0),1))))</f>
        <v/>
      </c>
      <c r="I142" s="138" t="str">
        <f ca="1">IF(INDIRECT(CONCATENATE("'",'Inconsistency Data'!$I$4,"'!N142"))="","",INDIRECT(CONCATENATE("'",'Inconsistency Data'!$I$4,"'!N142")))</f>
        <v/>
      </c>
      <c r="J142" s="126" t="str">
        <f ca="1">IF(INDIRECT(CONCATENATE("'",'Inconsistency Data'!$I$4,"'!O142"))="","",INDIRECT(CONCATENATE("'",'Inconsistency Data'!$I$4,"'!O142")))</f>
        <v/>
      </c>
      <c r="K142" s="127" t="str">
        <f ca="1">IF(INDIRECT(CONCATENATE("'",'Inconsistency Data'!$I$4,"'!Q142"))="","",INDIRECT(CONCATENATE("'",'Inconsistency Data'!$I$4,"'!Q142")))</f>
        <v/>
      </c>
      <c r="L142" s="128" t="str">
        <f>IF(D142="","",IF((INDEX('RE Inconsistency Results'!$H$1:$H$500,MATCH(SUBSTITUTE(D142,"OR","d"),'RE Inconsistency Results'!$B$1:$B$500,0),1))-(INDEX('RE Inconsistency Results'!$F$1:$F$500,MATCH(SUBSTITUTE(D142,"OR","d"),'RE Inconsistency Results'!$B$1:$B$500,0),1))&gt;50,"N/A",EXP(INDEX('RE Inconsistency Results'!$G$1:$G$500,MATCH(SUBSTITUTE(D142,"OR","d"),'RE Inconsistency Results'!$B$1:$B$500,0),1))))</f>
        <v/>
      </c>
    </row>
    <row r="143" spans="4:12" x14ac:dyDescent="0.25">
      <c r="D143" s="125" t="str">
        <f>IF('Fixed Effects'!N143="","",'Fixed Effects'!N143)</f>
        <v/>
      </c>
      <c r="E143" s="126" t="str">
        <f>IF('Fixed Effects'!O143="","",'Fixed Effects'!O143)</f>
        <v/>
      </c>
      <c r="F143" s="127" t="str">
        <f>IF('Fixed Effects'!Q143="","",'Fixed Effects'!Q143)</f>
        <v/>
      </c>
      <c r="G143" s="128" t="str">
        <f>IF(D143="","",IF((INDEX('FE Inconsistency Results'!$H$1:$H$500,MATCH(SUBSTITUTE(D143,"OR","d"),'FE Inconsistency Results'!$B$1:$B$500,0),1))-(INDEX('FE Inconsistency Results'!$F$1:$F$500,MATCH(SUBSTITUTE(D143,"OR","d"),'FE Inconsistency Results'!$B$1:$B$500,0),1))&gt;50,"N/A",EXP(INDEX('FE Inconsistency Results'!$G$1:$G$500,MATCH(SUBSTITUTE(D143,"OR","d"),'FE Inconsistency Results'!$B$1:$B$500,0),1))))</f>
        <v/>
      </c>
      <c r="I143" s="138" t="str">
        <f ca="1">IF(INDIRECT(CONCATENATE("'",'Inconsistency Data'!$I$4,"'!N143"))="","",INDIRECT(CONCATENATE("'",'Inconsistency Data'!$I$4,"'!N143")))</f>
        <v/>
      </c>
      <c r="J143" s="126" t="str">
        <f ca="1">IF(INDIRECT(CONCATENATE("'",'Inconsistency Data'!$I$4,"'!O143"))="","",INDIRECT(CONCATENATE("'",'Inconsistency Data'!$I$4,"'!O143")))</f>
        <v/>
      </c>
      <c r="K143" s="127" t="str">
        <f ca="1">IF(INDIRECT(CONCATENATE("'",'Inconsistency Data'!$I$4,"'!Q143"))="","",INDIRECT(CONCATENATE("'",'Inconsistency Data'!$I$4,"'!Q143")))</f>
        <v/>
      </c>
      <c r="L143" s="128" t="str">
        <f>IF(D143="","",IF((INDEX('RE Inconsistency Results'!$H$1:$H$500,MATCH(SUBSTITUTE(D143,"OR","d"),'RE Inconsistency Results'!$B$1:$B$500,0),1))-(INDEX('RE Inconsistency Results'!$F$1:$F$500,MATCH(SUBSTITUTE(D143,"OR","d"),'RE Inconsistency Results'!$B$1:$B$500,0),1))&gt;50,"N/A",EXP(INDEX('RE Inconsistency Results'!$G$1:$G$500,MATCH(SUBSTITUTE(D143,"OR","d"),'RE Inconsistency Results'!$B$1:$B$500,0),1))))</f>
        <v/>
      </c>
    </row>
    <row r="144" spans="4:12" x14ac:dyDescent="0.25">
      <c r="D144" s="125" t="str">
        <f>IF('Fixed Effects'!N144="","",'Fixed Effects'!N144)</f>
        <v/>
      </c>
      <c r="E144" s="126" t="str">
        <f>IF('Fixed Effects'!O144="","",'Fixed Effects'!O144)</f>
        <v/>
      </c>
      <c r="F144" s="127" t="str">
        <f>IF('Fixed Effects'!Q144="","",'Fixed Effects'!Q144)</f>
        <v/>
      </c>
      <c r="G144" s="128" t="str">
        <f>IF(D144="","",IF((INDEX('FE Inconsistency Results'!$H$1:$H$500,MATCH(SUBSTITUTE(D144,"OR","d"),'FE Inconsistency Results'!$B$1:$B$500,0),1))-(INDEX('FE Inconsistency Results'!$F$1:$F$500,MATCH(SUBSTITUTE(D144,"OR","d"),'FE Inconsistency Results'!$B$1:$B$500,0),1))&gt;50,"N/A",EXP(INDEX('FE Inconsistency Results'!$G$1:$G$500,MATCH(SUBSTITUTE(D144,"OR","d"),'FE Inconsistency Results'!$B$1:$B$500,0),1))))</f>
        <v/>
      </c>
      <c r="I144" s="138" t="str">
        <f ca="1">IF(INDIRECT(CONCATENATE("'",'Inconsistency Data'!$I$4,"'!N144"))="","",INDIRECT(CONCATENATE("'",'Inconsistency Data'!$I$4,"'!N144")))</f>
        <v/>
      </c>
      <c r="J144" s="126" t="str">
        <f ca="1">IF(INDIRECT(CONCATENATE("'",'Inconsistency Data'!$I$4,"'!O144"))="","",INDIRECT(CONCATENATE("'",'Inconsistency Data'!$I$4,"'!O144")))</f>
        <v/>
      </c>
      <c r="K144" s="127" t="str">
        <f ca="1">IF(INDIRECT(CONCATENATE("'",'Inconsistency Data'!$I$4,"'!Q144"))="","",INDIRECT(CONCATENATE("'",'Inconsistency Data'!$I$4,"'!Q144")))</f>
        <v/>
      </c>
      <c r="L144" s="128" t="str">
        <f>IF(D144="","",IF((INDEX('RE Inconsistency Results'!$H$1:$H$500,MATCH(SUBSTITUTE(D144,"OR","d"),'RE Inconsistency Results'!$B$1:$B$500,0),1))-(INDEX('RE Inconsistency Results'!$F$1:$F$500,MATCH(SUBSTITUTE(D144,"OR","d"),'RE Inconsistency Results'!$B$1:$B$500,0),1))&gt;50,"N/A",EXP(INDEX('RE Inconsistency Results'!$G$1:$G$500,MATCH(SUBSTITUTE(D144,"OR","d"),'RE Inconsistency Results'!$B$1:$B$500,0),1))))</f>
        <v/>
      </c>
    </row>
    <row r="145" spans="4:12" x14ac:dyDescent="0.25">
      <c r="D145" s="125" t="str">
        <f>IF('Fixed Effects'!N145="","",'Fixed Effects'!N145)</f>
        <v/>
      </c>
      <c r="E145" s="126" t="str">
        <f>IF('Fixed Effects'!O145="","",'Fixed Effects'!O145)</f>
        <v/>
      </c>
      <c r="F145" s="127" t="str">
        <f>IF('Fixed Effects'!Q145="","",'Fixed Effects'!Q145)</f>
        <v/>
      </c>
      <c r="G145" s="128" t="str">
        <f>IF(D145="","",IF((INDEX('FE Inconsistency Results'!$H$1:$H$500,MATCH(SUBSTITUTE(D145,"OR","d"),'FE Inconsistency Results'!$B$1:$B$500,0),1))-(INDEX('FE Inconsistency Results'!$F$1:$F$500,MATCH(SUBSTITUTE(D145,"OR","d"),'FE Inconsistency Results'!$B$1:$B$500,0),1))&gt;50,"N/A",EXP(INDEX('FE Inconsistency Results'!$G$1:$G$500,MATCH(SUBSTITUTE(D145,"OR","d"),'FE Inconsistency Results'!$B$1:$B$500,0),1))))</f>
        <v/>
      </c>
      <c r="I145" s="138" t="str">
        <f ca="1">IF(INDIRECT(CONCATENATE("'",'Inconsistency Data'!$I$4,"'!N145"))="","",INDIRECT(CONCATENATE("'",'Inconsistency Data'!$I$4,"'!N145")))</f>
        <v/>
      </c>
      <c r="J145" s="126" t="str">
        <f ca="1">IF(INDIRECT(CONCATENATE("'",'Inconsistency Data'!$I$4,"'!O145"))="","",INDIRECT(CONCATENATE("'",'Inconsistency Data'!$I$4,"'!O145")))</f>
        <v/>
      </c>
      <c r="K145" s="127" t="str">
        <f ca="1">IF(INDIRECT(CONCATENATE("'",'Inconsistency Data'!$I$4,"'!Q145"))="","",INDIRECT(CONCATENATE("'",'Inconsistency Data'!$I$4,"'!Q145")))</f>
        <v/>
      </c>
      <c r="L145" s="128" t="str">
        <f>IF(D145="","",IF((INDEX('RE Inconsistency Results'!$H$1:$H$500,MATCH(SUBSTITUTE(D145,"OR","d"),'RE Inconsistency Results'!$B$1:$B$500,0),1))-(INDEX('RE Inconsistency Results'!$F$1:$F$500,MATCH(SUBSTITUTE(D145,"OR","d"),'RE Inconsistency Results'!$B$1:$B$500,0),1))&gt;50,"N/A",EXP(INDEX('RE Inconsistency Results'!$G$1:$G$500,MATCH(SUBSTITUTE(D145,"OR","d"),'RE Inconsistency Results'!$B$1:$B$500,0),1))))</f>
        <v/>
      </c>
    </row>
    <row r="146" spans="4:12" x14ac:dyDescent="0.25">
      <c r="D146" s="125" t="str">
        <f>IF('Fixed Effects'!N146="","",'Fixed Effects'!N146)</f>
        <v/>
      </c>
      <c r="E146" s="126" t="str">
        <f>IF('Fixed Effects'!O146="","",'Fixed Effects'!O146)</f>
        <v/>
      </c>
      <c r="F146" s="127" t="str">
        <f>IF('Fixed Effects'!Q146="","",'Fixed Effects'!Q146)</f>
        <v/>
      </c>
      <c r="G146" s="128" t="str">
        <f>IF(D146="","",IF((INDEX('FE Inconsistency Results'!$H$1:$H$500,MATCH(SUBSTITUTE(D146,"OR","d"),'FE Inconsistency Results'!$B$1:$B$500,0),1))-(INDEX('FE Inconsistency Results'!$F$1:$F$500,MATCH(SUBSTITUTE(D146,"OR","d"),'FE Inconsistency Results'!$B$1:$B$500,0),1))&gt;50,"N/A",EXP(INDEX('FE Inconsistency Results'!$G$1:$G$500,MATCH(SUBSTITUTE(D146,"OR","d"),'FE Inconsistency Results'!$B$1:$B$500,0),1))))</f>
        <v/>
      </c>
      <c r="I146" s="138" t="str">
        <f ca="1">IF(INDIRECT(CONCATENATE("'",'Inconsistency Data'!$I$4,"'!N146"))="","",INDIRECT(CONCATENATE("'",'Inconsistency Data'!$I$4,"'!N146")))</f>
        <v/>
      </c>
      <c r="J146" s="126" t="str">
        <f ca="1">IF(INDIRECT(CONCATENATE("'",'Inconsistency Data'!$I$4,"'!O146"))="","",INDIRECT(CONCATENATE("'",'Inconsistency Data'!$I$4,"'!O146")))</f>
        <v/>
      </c>
      <c r="K146" s="127" t="str">
        <f ca="1">IF(INDIRECT(CONCATENATE("'",'Inconsistency Data'!$I$4,"'!Q146"))="","",INDIRECT(CONCATENATE("'",'Inconsistency Data'!$I$4,"'!Q146")))</f>
        <v/>
      </c>
      <c r="L146" s="128" t="str">
        <f>IF(D146="","",IF((INDEX('RE Inconsistency Results'!$H$1:$H$500,MATCH(SUBSTITUTE(D146,"OR","d"),'RE Inconsistency Results'!$B$1:$B$500,0),1))-(INDEX('RE Inconsistency Results'!$F$1:$F$500,MATCH(SUBSTITUTE(D146,"OR","d"),'RE Inconsistency Results'!$B$1:$B$500,0),1))&gt;50,"N/A",EXP(INDEX('RE Inconsistency Results'!$G$1:$G$500,MATCH(SUBSTITUTE(D146,"OR","d"),'RE Inconsistency Results'!$B$1:$B$500,0),1))))</f>
        <v/>
      </c>
    </row>
    <row r="147" spans="4:12" x14ac:dyDescent="0.25">
      <c r="D147" s="125" t="str">
        <f>IF('Fixed Effects'!N147="","",'Fixed Effects'!N147)</f>
        <v/>
      </c>
      <c r="E147" s="126" t="str">
        <f>IF('Fixed Effects'!O147="","",'Fixed Effects'!O147)</f>
        <v/>
      </c>
      <c r="F147" s="127" t="str">
        <f>IF('Fixed Effects'!Q147="","",'Fixed Effects'!Q147)</f>
        <v/>
      </c>
      <c r="G147" s="128" t="str">
        <f>IF(D147="","",IF((INDEX('FE Inconsistency Results'!$H$1:$H$500,MATCH(SUBSTITUTE(D147,"OR","d"),'FE Inconsistency Results'!$B$1:$B$500,0),1))-(INDEX('FE Inconsistency Results'!$F$1:$F$500,MATCH(SUBSTITUTE(D147,"OR","d"),'FE Inconsistency Results'!$B$1:$B$500,0),1))&gt;50,"N/A",EXP(INDEX('FE Inconsistency Results'!$G$1:$G$500,MATCH(SUBSTITUTE(D147,"OR","d"),'FE Inconsistency Results'!$B$1:$B$500,0),1))))</f>
        <v/>
      </c>
      <c r="I147" s="138" t="str">
        <f ca="1">IF(INDIRECT(CONCATENATE("'",'Inconsistency Data'!$I$4,"'!N147"))="","",INDIRECT(CONCATENATE("'",'Inconsistency Data'!$I$4,"'!N147")))</f>
        <v/>
      </c>
      <c r="J147" s="126" t="str">
        <f ca="1">IF(INDIRECT(CONCATENATE("'",'Inconsistency Data'!$I$4,"'!O147"))="","",INDIRECT(CONCATENATE("'",'Inconsistency Data'!$I$4,"'!O147")))</f>
        <v/>
      </c>
      <c r="K147" s="127" t="str">
        <f ca="1">IF(INDIRECT(CONCATENATE("'",'Inconsistency Data'!$I$4,"'!Q147"))="","",INDIRECT(CONCATENATE("'",'Inconsistency Data'!$I$4,"'!Q147")))</f>
        <v/>
      </c>
      <c r="L147" s="128" t="str">
        <f>IF(D147="","",IF((INDEX('RE Inconsistency Results'!$H$1:$H$500,MATCH(SUBSTITUTE(D147,"OR","d"),'RE Inconsistency Results'!$B$1:$B$500,0),1))-(INDEX('RE Inconsistency Results'!$F$1:$F$500,MATCH(SUBSTITUTE(D147,"OR","d"),'RE Inconsistency Results'!$B$1:$B$500,0),1))&gt;50,"N/A",EXP(INDEX('RE Inconsistency Results'!$G$1:$G$500,MATCH(SUBSTITUTE(D147,"OR","d"),'RE Inconsistency Results'!$B$1:$B$500,0),1))))</f>
        <v/>
      </c>
    </row>
    <row r="148" spans="4:12" x14ac:dyDescent="0.25">
      <c r="D148" s="125" t="str">
        <f>IF('Fixed Effects'!N148="","",'Fixed Effects'!N148)</f>
        <v/>
      </c>
      <c r="E148" s="126" t="str">
        <f>IF('Fixed Effects'!O148="","",'Fixed Effects'!O148)</f>
        <v/>
      </c>
      <c r="F148" s="127" t="str">
        <f>IF('Fixed Effects'!Q148="","",'Fixed Effects'!Q148)</f>
        <v/>
      </c>
      <c r="G148" s="128" t="str">
        <f>IF(D148="","",IF((INDEX('FE Inconsistency Results'!$H$1:$H$500,MATCH(SUBSTITUTE(D148,"OR","d"),'FE Inconsistency Results'!$B$1:$B$500,0),1))-(INDEX('FE Inconsistency Results'!$F$1:$F$500,MATCH(SUBSTITUTE(D148,"OR","d"),'FE Inconsistency Results'!$B$1:$B$500,0),1))&gt;50,"N/A",EXP(INDEX('FE Inconsistency Results'!$G$1:$G$500,MATCH(SUBSTITUTE(D148,"OR","d"),'FE Inconsistency Results'!$B$1:$B$500,0),1))))</f>
        <v/>
      </c>
      <c r="I148" s="138" t="str">
        <f ca="1">IF(INDIRECT(CONCATENATE("'",'Inconsistency Data'!$I$4,"'!N148"))="","",INDIRECT(CONCATENATE("'",'Inconsistency Data'!$I$4,"'!N148")))</f>
        <v/>
      </c>
      <c r="J148" s="126" t="str">
        <f ca="1">IF(INDIRECT(CONCATENATE("'",'Inconsistency Data'!$I$4,"'!O148"))="","",INDIRECT(CONCATENATE("'",'Inconsistency Data'!$I$4,"'!O148")))</f>
        <v/>
      </c>
      <c r="K148" s="127" t="str">
        <f ca="1">IF(INDIRECT(CONCATENATE("'",'Inconsistency Data'!$I$4,"'!Q148"))="","",INDIRECT(CONCATENATE("'",'Inconsistency Data'!$I$4,"'!Q148")))</f>
        <v/>
      </c>
      <c r="L148" s="128" t="str">
        <f>IF(D148="","",IF((INDEX('RE Inconsistency Results'!$H$1:$H$500,MATCH(SUBSTITUTE(D148,"OR","d"),'RE Inconsistency Results'!$B$1:$B$500,0),1))-(INDEX('RE Inconsistency Results'!$F$1:$F$500,MATCH(SUBSTITUTE(D148,"OR","d"),'RE Inconsistency Results'!$B$1:$B$500,0),1))&gt;50,"N/A",EXP(INDEX('RE Inconsistency Results'!$G$1:$G$500,MATCH(SUBSTITUTE(D148,"OR","d"),'RE Inconsistency Results'!$B$1:$B$500,0),1))))</f>
        <v/>
      </c>
    </row>
    <row r="149" spans="4:12" x14ac:dyDescent="0.25">
      <c r="D149" s="125" t="str">
        <f>IF('Fixed Effects'!N149="","",'Fixed Effects'!N149)</f>
        <v/>
      </c>
      <c r="E149" s="126" t="str">
        <f>IF('Fixed Effects'!O149="","",'Fixed Effects'!O149)</f>
        <v/>
      </c>
      <c r="F149" s="127" t="str">
        <f>IF('Fixed Effects'!Q149="","",'Fixed Effects'!Q149)</f>
        <v/>
      </c>
      <c r="G149" s="128" t="str">
        <f>IF(D149="","",IF((INDEX('FE Inconsistency Results'!$H$1:$H$500,MATCH(SUBSTITUTE(D149,"OR","d"),'FE Inconsistency Results'!$B$1:$B$500,0),1))-(INDEX('FE Inconsistency Results'!$F$1:$F$500,MATCH(SUBSTITUTE(D149,"OR","d"),'FE Inconsistency Results'!$B$1:$B$500,0),1))&gt;50,"N/A",EXP(INDEX('FE Inconsistency Results'!$G$1:$G$500,MATCH(SUBSTITUTE(D149,"OR","d"),'FE Inconsistency Results'!$B$1:$B$500,0),1))))</f>
        <v/>
      </c>
      <c r="I149" s="138" t="str">
        <f ca="1">IF(INDIRECT(CONCATENATE("'",'Inconsistency Data'!$I$4,"'!N149"))="","",INDIRECT(CONCATENATE("'",'Inconsistency Data'!$I$4,"'!N149")))</f>
        <v/>
      </c>
      <c r="J149" s="126" t="str">
        <f ca="1">IF(INDIRECT(CONCATENATE("'",'Inconsistency Data'!$I$4,"'!O149"))="","",INDIRECT(CONCATENATE("'",'Inconsistency Data'!$I$4,"'!O149")))</f>
        <v/>
      </c>
      <c r="K149" s="127" t="str">
        <f ca="1">IF(INDIRECT(CONCATENATE("'",'Inconsistency Data'!$I$4,"'!Q149"))="","",INDIRECT(CONCATENATE("'",'Inconsistency Data'!$I$4,"'!Q149")))</f>
        <v/>
      </c>
      <c r="L149" s="128" t="str">
        <f>IF(D149="","",IF((INDEX('RE Inconsistency Results'!$H$1:$H$500,MATCH(SUBSTITUTE(D149,"OR","d"),'RE Inconsistency Results'!$B$1:$B$500,0),1))-(INDEX('RE Inconsistency Results'!$F$1:$F$500,MATCH(SUBSTITUTE(D149,"OR","d"),'RE Inconsistency Results'!$B$1:$B$500,0),1))&gt;50,"N/A",EXP(INDEX('RE Inconsistency Results'!$G$1:$G$500,MATCH(SUBSTITUTE(D149,"OR","d"),'RE Inconsistency Results'!$B$1:$B$500,0),1))))</f>
        <v/>
      </c>
    </row>
    <row r="150" spans="4:12" ht="15.75" thickBot="1" x14ac:dyDescent="0.3">
      <c r="D150" s="129" t="str">
        <f>IF('Fixed Effects'!N150="","",'Fixed Effects'!N150)</f>
        <v/>
      </c>
      <c r="E150" s="130" t="str">
        <f>IF('Fixed Effects'!O150="","",'Fixed Effects'!O150)</f>
        <v/>
      </c>
      <c r="F150" s="131" t="str">
        <f>IF('Fixed Effects'!Q150="","",'Fixed Effects'!Q150)</f>
        <v/>
      </c>
      <c r="G150" s="132" t="str">
        <f>IF(D150="","",IF((INDEX('FE Inconsistency Results'!$H$1:$H$500,MATCH(SUBSTITUTE(D150,"OR","d"),'FE Inconsistency Results'!$B$1:$B$500,0),1))-(INDEX('FE Inconsistency Results'!$F$1:$F$500,MATCH(SUBSTITUTE(D150,"OR","d"),'FE Inconsistency Results'!$B$1:$B$500,0),1))&gt;50,"N/A",EXP(INDEX('FE Inconsistency Results'!$G$1:$G$500,MATCH(SUBSTITUTE(D150,"OR","d"),'FE Inconsistency Results'!$B$1:$B$500,0),1))))</f>
        <v/>
      </c>
      <c r="I150" s="139" t="str">
        <f ca="1">IF(INDIRECT(CONCATENATE("'",'Inconsistency Data'!$I$4,"'!N150"))="","",INDIRECT(CONCATENATE("'",'Inconsistency Data'!$I$4,"'!N150")))</f>
        <v/>
      </c>
      <c r="J150" s="130" t="str">
        <f ca="1">IF(INDIRECT(CONCATENATE("'",'Inconsistency Data'!$I$4,"'!O150"))="","",INDIRECT(CONCATENATE("'",'Inconsistency Data'!$I$4,"'!O150")))</f>
        <v/>
      </c>
      <c r="K150" s="131" t="str">
        <f ca="1">IF(INDIRECT(CONCATENATE("'",'Inconsistency Data'!$I$4,"'!Q150"))="","",INDIRECT(CONCATENATE("'",'Inconsistency Data'!$I$4,"'!Q150")))</f>
        <v/>
      </c>
      <c r="L150" s="132" t="str">
        <f>IF(D150="","",IF((INDEX('RE Inconsistency Results'!$H$1:$H$500,MATCH(SUBSTITUTE(D150,"OR","d"),'RE Inconsistency Results'!$B$1:$B$500,0),1))-(INDEX('RE Inconsistency Results'!$F$1:$F$500,MATCH(SUBSTITUTE(D150,"OR","d"),'RE Inconsistency Results'!$B$1:$B$500,0),1))&gt;50,"N/A",EXP(INDEX('RE Inconsistency Results'!$G$1:$G$500,MATCH(SUBSTITUTE(D150,"OR","d"),'RE Inconsistency Results'!$B$1:$B$500,0),1))))</f>
        <v/>
      </c>
    </row>
  </sheetData>
  <mergeCells count="2">
    <mergeCell ref="E3:G3"/>
    <mergeCell ref="J3:L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7" r:id="rId3" name="List Box 3">
              <controlPr defaultSize="0" autoLine="0" autoPict="0">
                <anchor moveWithCells="1">
                  <from>
                    <xdr:col>10</xdr:col>
                    <xdr:colOff>723900</xdr:colOff>
                    <xdr:row>1</xdr:row>
                    <xdr:rowOff>1600200</xdr:rowOff>
                  </from>
                  <to>
                    <xdr:col>16</xdr:col>
                    <xdr:colOff>333375</xdr:colOff>
                    <xdr:row>1</xdr:row>
                    <xdr:rowOff>2009775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C00000"/>
  </sheetPr>
  <dimension ref="C1:H348"/>
  <sheetViews>
    <sheetView showGridLines="0" topLeftCell="A79" workbookViewId="0">
      <selection activeCell="B34" sqref="B34:D43"/>
    </sheetView>
  </sheetViews>
  <sheetFormatPr defaultRowHeight="15" x14ac:dyDescent="0.25"/>
  <sheetData>
    <row r="1" hidden="1" x14ac:dyDescent="0.25"/>
    <row r="2" hidden="1" x14ac:dyDescent="0.25"/>
    <row r="3" hidden="1" x14ac:dyDescent="0.25"/>
    <row r="4" hidden="1" x14ac:dyDescent="0.25"/>
    <row r="5" hidden="1" x14ac:dyDescent="0.25"/>
    <row r="6" hidden="1" x14ac:dyDescent="0.25"/>
    <row r="7" hidden="1" x14ac:dyDescent="0.25"/>
    <row r="8" hidden="1" x14ac:dyDescent="0.25"/>
    <row r="9" hidden="1" x14ac:dyDescent="0.25"/>
    <row r="10" hidden="1" x14ac:dyDescent="0.25"/>
    <row r="11" hidden="1" x14ac:dyDescent="0.25"/>
    <row r="12" hidden="1" x14ac:dyDescent="0.25"/>
    <row r="13" hidden="1" x14ac:dyDescent="0.25"/>
    <row r="14" hidden="1" x14ac:dyDescent="0.25"/>
    <row r="15" hidden="1" x14ac:dyDescent="0.25"/>
    <row r="16" hidden="1" x14ac:dyDescent="0.25"/>
    <row r="17" spans="6:8" hidden="1" x14ac:dyDescent="0.25"/>
    <row r="18" spans="6:8" hidden="1" x14ac:dyDescent="0.25"/>
    <row r="19" spans="6:8" hidden="1" x14ac:dyDescent="0.25"/>
    <row r="20" spans="6:8" hidden="1" x14ac:dyDescent="0.25"/>
    <row r="21" spans="6:8" hidden="1" x14ac:dyDescent="0.25"/>
    <row r="22" spans="6:8" hidden="1" x14ac:dyDescent="0.25"/>
    <row r="23" spans="6:8" hidden="1" x14ac:dyDescent="0.25"/>
    <row r="24" spans="6:8" hidden="1" x14ac:dyDescent="0.25"/>
    <row r="25" spans="6:8" hidden="1" x14ac:dyDescent="0.25"/>
    <row r="26" spans="6:8" hidden="1" x14ac:dyDescent="0.25"/>
    <row r="27" spans="6:8" hidden="1" x14ac:dyDescent="0.25"/>
    <row r="28" spans="6:8" hidden="1" x14ac:dyDescent="0.25"/>
    <row r="29" spans="6:8" hidden="1" x14ac:dyDescent="0.25"/>
    <row r="32" spans="6:8" x14ac:dyDescent="0.25">
      <c r="F32" s="12"/>
      <c r="H32" s="12"/>
    </row>
    <row r="33" spans="5:5" x14ac:dyDescent="0.25">
      <c r="E33" s="13"/>
    </row>
    <row r="40" spans="5:5" x14ac:dyDescent="0.25">
      <c r="E40" s="13"/>
    </row>
    <row r="41" spans="5:5" x14ac:dyDescent="0.25">
      <c r="E41" s="13"/>
    </row>
    <row r="49" spans="5:5" x14ac:dyDescent="0.25">
      <c r="E49" s="13"/>
    </row>
    <row r="53" spans="5:5" x14ac:dyDescent="0.25">
      <c r="E53" s="13"/>
    </row>
    <row r="55" spans="5:5" x14ac:dyDescent="0.25">
      <c r="E55" s="13"/>
    </row>
    <row r="56" spans="5:5" x14ac:dyDescent="0.25">
      <c r="E56" s="13"/>
    </row>
    <row r="59" spans="5:5" x14ac:dyDescent="0.25">
      <c r="E59" s="13"/>
    </row>
    <row r="62" spans="5:5" x14ac:dyDescent="0.25">
      <c r="E62" s="13"/>
    </row>
    <row r="64" spans="5:5" x14ac:dyDescent="0.25">
      <c r="E64" s="13"/>
    </row>
    <row r="67" spans="5:5" x14ac:dyDescent="0.25">
      <c r="E67" s="13"/>
    </row>
    <row r="68" spans="5:5" x14ac:dyDescent="0.25">
      <c r="E68" s="13"/>
    </row>
    <row r="69" spans="5:5" x14ac:dyDescent="0.25">
      <c r="E69" s="13"/>
    </row>
    <row r="70" spans="5:5" x14ac:dyDescent="0.25">
      <c r="E70" s="13"/>
    </row>
    <row r="71" spans="5:5" x14ac:dyDescent="0.25">
      <c r="E71" s="13"/>
    </row>
    <row r="74" spans="5:5" x14ac:dyDescent="0.25">
      <c r="E74" s="13"/>
    </row>
    <row r="76" spans="5:5" x14ac:dyDescent="0.25">
      <c r="E76" s="13"/>
    </row>
    <row r="77" spans="5:5" x14ac:dyDescent="0.25">
      <c r="E77" s="13"/>
    </row>
    <row r="78" spans="5:5" x14ac:dyDescent="0.25">
      <c r="E78" s="13"/>
    </row>
    <row r="79" spans="5:5" x14ac:dyDescent="0.25">
      <c r="E79" s="13"/>
    </row>
    <row r="80" spans="5:5" x14ac:dyDescent="0.25">
      <c r="E80" s="13"/>
    </row>
    <row r="81" spans="3:5" x14ac:dyDescent="0.25">
      <c r="E81" s="13"/>
    </row>
    <row r="82" spans="3:5" x14ac:dyDescent="0.25">
      <c r="E82" s="13"/>
    </row>
    <row r="83" spans="3:5" x14ac:dyDescent="0.25">
      <c r="E83" s="13"/>
    </row>
    <row r="84" spans="3:5" x14ac:dyDescent="0.25">
      <c r="E84" s="13"/>
    </row>
    <row r="85" spans="3:5" x14ac:dyDescent="0.25">
      <c r="E85" s="13"/>
    </row>
    <row r="86" spans="3:5" x14ac:dyDescent="0.25">
      <c r="E86" s="13"/>
    </row>
    <row r="87" spans="3:5" x14ac:dyDescent="0.25">
      <c r="C87" s="13"/>
      <c r="E87" s="13"/>
    </row>
    <row r="88" spans="3:5" x14ac:dyDescent="0.25">
      <c r="E88" s="13"/>
    </row>
    <row r="89" spans="3:5" x14ac:dyDescent="0.25">
      <c r="E89" s="13"/>
    </row>
    <row r="90" spans="3:5" x14ac:dyDescent="0.25">
      <c r="C90" s="13"/>
      <c r="E90" s="13"/>
    </row>
    <row r="91" spans="3:5" x14ac:dyDescent="0.25">
      <c r="E91" s="13"/>
    </row>
    <row r="94" spans="3:5" x14ac:dyDescent="0.25">
      <c r="C94" s="13"/>
      <c r="E94" s="13"/>
    </row>
    <row r="95" spans="3:5" x14ac:dyDescent="0.25">
      <c r="E95" s="13"/>
    </row>
    <row r="96" spans="3:5" x14ac:dyDescent="0.25">
      <c r="E96" s="13"/>
    </row>
    <row r="97" spans="5:6" x14ac:dyDescent="0.25">
      <c r="E97" s="13"/>
    </row>
    <row r="98" spans="5:6" x14ac:dyDescent="0.25">
      <c r="F98" s="13"/>
    </row>
    <row r="99" spans="5:6" x14ac:dyDescent="0.25">
      <c r="F99" s="13"/>
    </row>
    <row r="104" spans="5:6" x14ac:dyDescent="0.25">
      <c r="F104" s="13"/>
    </row>
    <row r="105" spans="5:6" x14ac:dyDescent="0.25">
      <c r="F105" s="13"/>
    </row>
    <row r="106" spans="5:6" x14ac:dyDescent="0.25">
      <c r="E106" s="13"/>
      <c r="F106" s="13"/>
    </row>
    <row r="107" spans="5:6" x14ac:dyDescent="0.25">
      <c r="F107" s="13"/>
    </row>
    <row r="108" spans="5:6" x14ac:dyDescent="0.25">
      <c r="F108" s="13"/>
    </row>
    <row r="109" spans="5:6" x14ac:dyDescent="0.25">
      <c r="F109" s="13"/>
    </row>
    <row r="110" spans="5:6" x14ac:dyDescent="0.25">
      <c r="F110" s="13"/>
    </row>
    <row r="111" spans="5:6" x14ac:dyDescent="0.25">
      <c r="F111" s="13"/>
    </row>
    <row r="116" spans="6:6" x14ac:dyDescent="0.25">
      <c r="F116" s="13"/>
    </row>
    <row r="117" spans="6:6" x14ac:dyDescent="0.25">
      <c r="F117" s="13"/>
    </row>
    <row r="123" spans="6:6" x14ac:dyDescent="0.25">
      <c r="F123" s="13"/>
    </row>
    <row r="124" spans="6:6" x14ac:dyDescent="0.25">
      <c r="F124" s="13"/>
    </row>
    <row r="125" spans="6:6" x14ac:dyDescent="0.25">
      <c r="F125" s="13"/>
    </row>
    <row r="132" spans="6:6" x14ac:dyDescent="0.25">
      <c r="F132" s="13"/>
    </row>
    <row r="133" spans="6:6" x14ac:dyDescent="0.25">
      <c r="F133" s="13"/>
    </row>
    <row r="134" spans="6:6" x14ac:dyDescent="0.25">
      <c r="F134" s="13"/>
    </row>
    <row r="135" spans="6:6" x14ac:dyDescent="0.25">
      <c r="F135" s="13"/>
    </row>
    <row r="138" spans="6:6" x14ac:dyDescent="0.25">
      <c r="F138" s="13"/>
    </row>
    <row r="140" spans="6:6" x14ac:dyDescent="0.25">
      <c r="F140" s="13"/>
    </row>
    <row r="141" spans="6:6" x14ac:dyDescent="0.25">
      <c r="F141" s="13"/>
    </row>
    <row r="142" spans="6:6" x14ac:dyDescent="0.25">
      <c r="F142" s="13"/>
    </row>
    <row r="148" spans="6:6" x14ac:dyDescent="0.25">
      <c r="F148" s="13"/>
    </row>
    <row r="149" spans="6:6" x14ac:dyDescent="0.25">
      <c r="F149" s="13"/>
    </row>
    <row r="150" spans="6:6" x14ac:dyDescent="0.25">
      <c r="F150" s="13"/>
    </row>
    <row r="151" spans="6:6" x14ac:dyDescent="0.25">
      <c r="F151" s="13"/>
    </row>
    <row r="152" spans="6:6" x14ac:dyDescent="0.25">
      <c r="F152" s="13"/>
    </row>
    <row r="153" spans="6:6" x14ac:dyDescent="0.25">
      <c r="F153" s="13"/>
    </row>
    <row r="154" spans="6:6" x14ac:dyDescent="0.25">
      <c r="F154" s="13"/>
    </row>
    <row r="155" spans="6:6" x14ac:dyDescent="0.25">
      <c r="F155" s="13"/>
    </row>
    <row r="159" spans="6:6" x14ac:dyDescent="0.25">
      <c r="F159" s="13"/>
    </row>
    <row r="162" spans="6:6" x14ac:dyDescent="0.25">
      <c r="F162" s="13"/>
    </row>
    <row r="168" spans="6:6" x14ac:dyDescent="0.25">
      <c r="F168" s="13"/>
    </row>
    <row r="170" spans="6:6" x14ac:dyDescent="0.25">
      <c r="F170" s="13"/>
    </row>
    <row r="171" spans="6:6" x14ac:dyDescent="0.25">
      <c r="F171" s="13"/>
    </row>
    <row r="172" spans="6:6" x14ac:dyDescent="0.25">
      <c r="F172" s="13"/>
    </row>
    <row r="173" spans="6:6" x14ac:dyDescent="0.25">
      <c r="F173" s="13"/>
    </row>
    <row r="176" spans="6:6" x14ac:dyDescent="0.25">
      <c r="F176" s="13"/>
    </row>
    <row r="177" spans="5:6" x14ac:dyDescent="0.25">
      <c r="F177" s="13"/>
    </row>
    <row r="178" spans="5:6" x14ac:dyDescent="0.25">
      <c r="F178" s="13"/>
    </row>
    <row r="179" spans="5:6" x14ac:dyDescent="0.25">
      <c r="F179" s="13"/>
    </row>
    <row r="180" spans="5:6" x14ac:dyDescent="0.25">
      <c r="F180" s="13"/>
    </row>
    <row r="181" spans="5:6" x14ac:dyDescent="0.25">
      <c r="F181" s="13"/>
    </row>
    <row r="182" spans="5:6" x14ac:dyDescent="0.25">
      <c r="F182" s="13"/>
    </row>
    <row r="183" spans="5:6" x14ac:dyDescent="0.25">
      <c r="F183" s="13"/>
    </row>
    <row r="184" spans="5:6" x14ac:dyDescent="0.25">
      <c r="F184" s="13"/>
    </row>
    <row r="185" spans="5:6" x14ac:dyDescent="0.25">
      <c r="F185" s="13"/>
    </row>
    <row r="192" spans="5:6" x14ac:dyDescent="0.25">
      <c r="E192" s="13"/>
    </row>
    <row r="193" spans="3:5" x14ac:dyDescent="0.25">
      <c r="C193" s="13"/>
      <c r="E193" s="13"/>
    </row>
    <row r="194" spans="3:5" x14ac:dyDescent="0.25">
      <c r="E194" s="13"/>
    </row>
    <row r="195" spans="3:5" x14ac:dyDescent="0.25">
      <c r="E195" s="13"/>
    </row>
    <row r="199" spans="3:5" x14ac:dyDescent="0.25">
      <c r="E199" s="13"/>
    </row>
    <row r="200" spans="3:5" x14ac:dyDescent="0.25">
      <c r="C200" s="13"/>
      <c r="E200" s="13"/>
    </row>
    <row r="201" spans="3:5" x14ac:dyDescent="0.25">
      <c r="E201" s="13"/>
    </row>
    <row r="202" spans="3:5" x14ac:dyDescent="0.25">
      <c r="E202" s="13"/>
    </row>
    <row r="203" spans="3:5" x14ac:dyDescent="0.25">
      <c r="E203" s="13"/>
    </row>
    <row r="204" spans="3:5" x14ac:dyDescent="0.25">
      <c r="E204" s="13"/>
    </row>
    <row r="205" spans="3:5" x14ac:dyDescent="0.25">
      <c r="E205" s="13"/>
    </row>
    <row r="206" spans="3:5" x14ac:dyDescent="0.25">
      <c r="C206" s="13"/>
      <c r="E206" s="13"/>
    </row>
    <row r="207" spans="3:5" x14ac:dyDescent="0.25">
      <c r="E207" s="13"/>
    </row>
    <row r="211" spans="3:5" x14ac:dyDescent="0.25">
      <c r="E211" s="13"/>
    </row>
    <row r="212" spans="3:5" x14ac:dyDescent="0.25">
      <c r="C212" s="13"/>
      <c r="E212" s="13"/>
    </row>
    <row r="213" spans="3:5" x14ac:dyDescent="0.25">
      <c r="E213" s="13"/>
    </row>
    <row r="217" spans="3:5" x14ac:dyDescent="0.25">
      <c r="E217" s="13"/>
    </row>
    <row r="218" spans="3:5" x14ac:dyDescent="0.25">
      <c r="E218" s="13"/>
    </row>
    <row r="219" spans="3:5" x14ac:dyDescent="0.25">
      <c r="C219" s="13"/>
      <c r="E219" s="13"/>
    </row>
    <row r="220" spans="3:5" x14ac:dyDescent="0.25">
      <c r="C220" s="13"/>
      <c r="E220" s="13"/>
    </row>
    <row r="221" spans="3:5" x14ac:dyDescent="0.25">
      <c r="E221" s="13"/>
    </row>
    <row r="222" spans="3:5" x14ac:dyDescent="0.25">
      <c r="E222" s="13"/>
    </row>
    <row r="226" spans="3:5" x14ac:dyDescent="0.25">
      <c r="E226" s="13"/>
    </row>
    <row r="227" spans="3:5" x14ac:dyDescent="0.25">
      <c r="E227" s="13"/>
    </row>
    <row r="228" spans="3:5" x14ac:dyDescent="0.25">
      <c r="E228" s="13"/>
    </row>
    <row r="229" spans="3:5" x14ac:dyDescent="0.25">
      <c r="C229" s="13"/>
      <c r="E229" s="13"/>
    </row>
    <row r="230" spans="3:5" x14ac:dyDescent="0.25">
      <c r="C230" s="13"/>
      <c r="E230" s="13"/>
    </row>
    <row r="231" spans="3:5" x14ac:dyDescent="0.25">
      <c r="E231" s="13"/>
    </row>
    <row r="236" spans="3:5" x14ac:dyDescent="0.25">
      <c r="E236" s="13"/>
    </row>
    <row r="237" spans="3:5" x14ac:dyDescent="0.25">
      <c r="E237" s="13"/>
    </row>
    <row r="238" spans="3:5" x14ac:dyDescent="0.25">
      <c r="E238" s="13"/>
    </row>
    <row r="239" spans="3:5" x14ac:dyDescent="0.25">
      <c r="E239" s="13"/>
    </row>
    <row r="240" spans="3:5" x14ac:dyDescent="0.25">
      <c r="E240" s="13"/>
    </row>
    <row r="241" spans="3:5" x14ac:dyDescent="0.25">
      <c r="E241" s="13"/>
    </row>
    <row r="244" spans="3:5" x14ac:dyDescent="0.25">
      <c r="E244" s="13"/>
    </row>
    <row r="245" spans="3:5" x14ac:dyDescent="0.25">
      <c r="E245" s="13"/>
    </row>
    <row r="246" spans="3:5" x14ac:dyDescent="0.25">
      <c r="C246" s="13"/>
      <c r="E246" s="13"/>
    </row>
    <row r="247" spans="3:5" x14ac:dyDescent="0.25">
      <c r="C247" s="13"/>
      <c r="E247" s="13"/>
    </row>
    <row r="248" spans="3:5" x14ac:dyDescent="0.25">
      <c r="C248" s="13"/>
      <c r="E248" s="13"/>
    </row>
    <row r="249" spans="3:5" x14ac:dyDescent="0.25">
      <c r="C249" s="13"/>
      <c r="E249" s="13"/>
    </row>
    <row r="250" spans="3:5" x14ac:dyDescent="0.25">
      <c r="E250" s="13"/>
    </row>
    <row r="251" spans="3:5" x14ac:dyDescent="0.25">
      <c r="E251" s="13"/>
    </row>
    <row r="252" spans="3:5" x14ac:dyDescent="0.25">
      <c r="C252" s="13"/>
      <c r="E252" s="13"/>
    </row>
    <row r="253" spans="3:5" x14ac:dyDescent="0.25">
      <c r="C253" s="13"/>
      <c r="E253" s="13"/>
    </row>
    <row r="254" spans="3:5" x14ac:dyDescent="0.25">
      <c r="E254" s="13"/>
    </row>
    <row r="255" spans="3:5" x14ac:dyDescent="0.25">
      <c r="E255" s="13"/>
    </row>
    <row r="256" spans="3:5" x14ac:dyDescent="0.25">
      <c r="E256" s="13"/>
    </row>
    <row r="257" spans="3:5" x14ac:dyDescent="0.25">
      <c r="E257" s="13"/>
    </row>
    <row r="258" spans="3:5" x14ac:dyDescent="0.25">
      <c r="E258" s="13"/>
    </row>
    <row r="261" spans="3:5" x14ac:dyDescent="0.25">
      <c r="E261" s="13"/>
    </row>
    <row r="262" spans="3:5" x14ac:dyDescent="0.25">
      <c r="E262" s="13"/>
    </row>
    <row r="263" spans="3:5" x14ac:dyDescent="0.25">
      <c r="E263" s="13"/>
    </row>
    <row r="264" spans="3:5" x14ac:dyDescent="0.25">
      <c r="E264" s="13"/>
    </row>
    <row r="265" spans="3:5" x14ac:dyDescent="0.25">
      <c r="E265" s="13"/>
    </row>
    <row r="267" spans="3:5" x14ac:dyDescent="0.25">
      <c r="E267" s="13"/>
    </row>
    <row r="271" spans="3:5" x14ac:dyDescent="0.25">
      <c r="C271" s="13"/>
      <c r="E271" s="13"/>
    </row>
    <row r="272" spans="3:5" x14ac:dyDescent="0.25">
      <c r="E272" s="13"/>
    </row>
    <row r="273" spans="3:5" x14ac:dyDescent="0.25">
      <c r="C273" s="13"/>
      <c r="E273" s="13"/>
    </row>
    <row r="274" spans="3:5" x14ac:dyDescent="0.25">
      <c r="E274" s="13"/>
    </row>
    <row r="275" spans="3:5" x14ac:dyDescent="0.25">
      <c r="E275" s="13"/>
    </row>
    <row r="279" spans="3:5" x14ac:dyDescent="0.25">
      <c r="E279" s="13"/>
    </row>
    <row r="280" spans="3:5" x14ac:dyDescent="0.25">
      <c r="E280" s="13"/>
    </row>
    <row r="281" spans="3:5" x14ac:dyDescent="0.25">
      <c r="E281" s="13"/>
    </row>
    <row r="282" spans="3:5" x14ac:dyDescent="0.25">
      <c r="E282" s="13"/>
    </row>
    <row r="283" spans="3:5" x14ac:dyDescent="0.25">
      <c r="E283" s="13"/>
    </row>
    <row r="284" spans="3:5" x14ac:dyDescent="0.25">
      <c r="E284" s="13"/>
    </row>
    <row r="285" spans="3:5" x14ac:dyDescent="0.25">
      <c r="E285" s="13"/>
    </row>
    <row r="286" spans="3:5" x14ac:dyDescent="0.25">
      <c r="E286" s="13"/>
    </row>
    <row r="287" spans="3:5" x14ac:dyDescent="0.25">
      <c r="E287" s="13"/>
    </row>
    <row r="288" spans="3:5" x14ac:dyDescent="0.25">
      <c r="E288" s="13"/>
    </row>
    <row r="289" spans="3:5" x14ac:dyDescent="0.25">
      <c r="C289" s="13"/>
      <c r="E289" s="13"/>
    </row>
    <row r="290" spans="3:5" x14ac:dyDescent="0.25">
      <c r="E290" s="13"/>
    </row>
    <row r="291" spans="3:5" x14ac:dyDescent="0.25">
      <c r="E291" s="13"/>
    </row>
    <row r="348" spans="5:5" x14ac:dyDescent="0.25">
      <c r="E348" s="13"/>
    </row>
  </sheetData>
  <dataConsolidate/>
  <pageMargins left="0.7" right="0.7" top="0.75" bottom="0.75" header="0.3" footer="0.3"/>
  <customProperties>
    <customPr name="SSCSheetTrackingNo" r:id="rId1"/>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C00000"/>
  </sheetPr>
  <dimension ref="A1:J343"/>
  <sheetViews>
    <sheetView showGridLines="0" topLeftCell="A31" workbookViewId="0">
      <selection activeCell="Y38" sqref="Y38"/>
    </sheetView>
  </sheetViews>
  <sheetFormatPr defaultRowHeight="15" x14ac:dyDescent="0.25"/>
  <sheetData>
    <row r="1" spans="1:1" hidden="1" x14ac:dyDescent="0.25">
      <c r="A1" t="s">
        <v>394</v>
      </c>
    </row>
    <row r="2" spans="1:1" hidden="1" x14ac:dyDescent="0.25">
      <c r="A2" t="s">
        <v>863</v>
      </c>
    </row>
    <row r="3" spans="1:1" hidden="1" x14ac:dyDescent="0.25">
      <c r="A3" t="s">
        <v>398</v>
      </c>
    </row>
    <row r="4" spans="1:1" hidden="1" x14ac:dyDescent="0.25">
      <c r="A4" t="s">
        <v>399</v>
      </c>
    </row>
    <row r="5" spans="1:1" hidden="1" x14ac:dyDescent="0.25">
      <c r="A5" t="s">
        <v>400</v>
      </c>
    </row>
    <row r="6" spans="1:1" hidden="1" x14ac:dyDescent="0.25">
      <c r="A6" t="s">
        <v>401</v>
      </c>
    </row>
    <row r="7" spans="1:1" hidden="1" x14ac:dyDescent="0.25">
      <c r="A7" t="s">
        <v>400</v>
      </c>
    </row>
    <row r="8" spans="1:1" hidden="1" x14ac:dyDescent="0.25">
      <c r="A8" t="s">
        <v>21</v>
      </c>
    </row>
    <row r="9" spans="1:1" hidden="1" x14ac:dyDescent="0.25">
      <c r="A9" t="s">
        <v>402</v>
      </c>
    </row>
    <row r="10" spans="1:1" hidden="1" x14ac:dyDescent="0.25">
      <c r="A10" t="s">
        <v>864</v>
      </c>
    </row>
    <row r="11" spans="1:1" hidden="1" x14ac:dyDescent="0.25">
      <c r="A11" t="s">
        <v>796</v>
      </c>
    </row>
    <row r="12" spans="1:1" hidden="1" x14ac:dyDescent="0.25">
      <c r="A12" t="s">
        <v>865</v>
      </c>
    </row>
    <row r="13" spans="1:1" hidden="1" x14ac:dyDescent="0.25">
      <c r="A13" t="s">
        <v>796</v>
      </c>
    </row>
    <row r="14" spans="1:1" hidden="1" x14ac:dyDescent="0.25">
      <c r="A14" t="s">
        <v>866</v>
      </c>
    </row>
    <row r="15" spans="1:1" hidden="1" x14ac:dyDescent="0.25">
      <c r="A15" t="s">
        <v>796</v>
      </c>
    </row>
    <row r="16" spans="1:1" hidden="1" x14ac:dyDescent="0.25">
      <c r="A16" t="s">
        <v>23</v>
      </c>
    </row>
    <row r="17" spans="1:1" hidden="1" x14ac:dyDescent="0.25">
      <c r="A17" t="s">
        <v>799</v>
      </c>
    </row>
    <row r="18" spans="1:1" hidden="1" x14ac:dyDescent="0.25">
      <c r="A18" t="s">
        <v>867</v>
      </c>
    </row>
    <row r="19" spans="1:1" hidden="1" x14ac:dyDescent="0.25">
      <c r="A19" t="s">
        <v>403</v>
      </c>
    </row>
    <row r="20" spans="1:1" hidden="1" x14ac:dyDescent="0.25">
      <c r="A20" t="s">
        <v>404</v>
      </c>
    </row>
    <row r="21" spans="1:1" hidden="1" x14ac:dyDescent="0.25">
      <c r="A21" t="s">
        <v>405</v>
      </c>
    </row>
    <row r="22" spans="1:1" hidden="1" x14ac:dyDescent="0.25">
      <c r="A22" t="s">
        <v>406</v>
      </c>
    </row>
    <row r="23" spans="1:1" hidden="1" x14ac:dyDescent="0.25">
      <c r="A23" t="s">
        <v>407</v>
      </c>
    </row>
    <row r="24" spans="1:1" hidden="1" x14ac:dyDescent="0.25">
      <c r="A24" t="s">
        <v>408</v>
      </c>
    </row>
    <row r="25" spans="1:1" hidden="1" x14ac:dyDescent="0.25">
      <c r="A25" t="s">
        <v>409</v>
      </c>
    </row>
    <row r="26" spans="1:1" hidden="1" x14ac:dyDescent="0.25">
      <c r="A26" t="s">
        <v>197</v>
      </c>
    </row>
    <row r="27" spans="1:1" hidden="1" x14ac:dyDescent="0.25">
      <c r="A27" t="s">
        <v>199</v>
      </c>
    </row>
    <row r="28" spans="1:1" hidden="1" x14ac:dyDescent="0.25">
      <c r="A28" t="s">
        <v>261</v>
      </c>
    </row>
    <row r="29" spans="1:1" hidden="1" x14ac:dyDescent="0.25">
      <c r="A29" t="s">
        <v>867</v>
      </c>
    </row>
    <row r="30" spans="1:1" hidden="1" x14ac:dyDescent="0.25">
      <c r="A30" t="s">
        <v>397</v>
      </c>
    </row>
    <row r="32" spans="1:1" x14ac:dyDescent="0.25">
      <c r="A32" t="s">
        <v>410</v>
      </c>
    </row>
    <row r="33" spans="2:10" x14ac:dyDescent="0.25">
      <c r="B33" t="s">
        <v>411</v>
      </c>
      <c r="C33" t="s">
        <v>412</v>
      </c>
      <c r="D33" t="s">
        <v>413</v>
      </c>
      <c r="E33" t="s">
        <v>414</v>
      </c>
      <c r="F33" s="12">
        <v>2.5000000000000001E-2</v>
      </c>
      <c r="G33" t="s">
        <v>415</v>
      </c>
      <c r="H33" s="12">
        <v>0.97499999999999998</v>
      </c>
      <c r="I33" t="s">
        <v>416</v>
      </c>
      <c r="J33" t="s">
        <v>417</v>
      </c>
    </row>
    <row r="34" spans="2:10" x14ac:dyDescent="0.25">
      <c r="B34" t="s">
        <v>418</v>
      </c>
      <c r="C34">
        <v>0.54979999999999996</v>
      </c>
      <c r="D34">
        <v>0.1298</v>
      </c>
      <c r="E34">
        <v>2.019E-3</v>
      </c>
      <c r="F34">
        <v>0.33189999999999997</v>
      </c>
      <c r="G34">
        <v>0.53680000000000005</v>
      </c>
      <c r="H34">
        <v>0.84109999999999996</v>
      </c>
      <c r="I34">
        <v>10001</v>
      </c>
      <c r="J34">
        <v>30000</v>
      </c>
    </row>
    <row r="35" spans="2:10" x14ac:dyDescent="0.25">
      <c r="B35" t="s">
        <v>419</v>
      </c>
      <c r="C35">
        <v>1.349</v>
      </c>
      <c r="D35">
        <v>0.44879999999999998</v>
      </c>
      <c r="E35">
        <v>7.2940000000000001E-3</v>
      </c>
      <c r="F35">
        <v>0.66180000000000005</v>
      </c>
      <c r="G35">
        <v>1.282</v>
      </c>
      <c r="H35">
        <v>2.419</v>
      </c>
      <c r="I35">
        <v>10001</v>
      </c>
      <c r="J35">
        <v>30000</v>
      </c>
    </row>
    <row r="36" spans="2:10" x14ac:dyDescent="0.25">
      <c r="B36" t="s">
        <v>420</v>
      </c>
      <c r="C36">
        <v>2.282</v>
      </c>
      <c r="D36">
        <v>1.2589999999999999</v>
      </c>
      <c r="E36">
        <v>1.8020000000000001E-2</v>
      </c>
      <c r="F36">
        <v>0.77590000000000003</v>
      </c>
      <c r="G36">
        <v>2.016</v>
      </c>
      <c r="H36">
        <v>5.32</v>
      </c>
      <c r="I36">
        <v>10001</v>
      </c>
      <c r="J36">
        <v>30000</v>
      </c>
    </row>
    <row r="37" spans="2:10" x14ac:dyDescent="0.25">
      <c r="B37" t="s">
        <v>421</v>
      </c>
      <c r="C37">
        <v>2.8580000000000001</v>
      </c>
      <c r="D37">
        <v>3.052</v>
      </c>
      <c r="E37">
        <v>3.8120000000000001E-2</v>
      </c>
      <c r="F37">
        <v>0.40679999999999999</v>
      </c>
      <c r="G37">
        <v>2.0129999999999999</v>
      </c>
      <c r="H37">
        <v>10.48</v>
      </c>
      <c r="I37">
        <v>10001</v>
      </c>
      <c r="J37">
        <v>30000</v>
      </c>
    </row>
    <row r="38" spans="2:10" x14ac:dyDescent="0.25">
      <c r="B38" t="s">
        <v>422</v>
      </c>
      <c r="C38">
        <v>2.714</v>
      </c>
      <c r="D38">
        <v>1.661</v>
      </c>
      <c r="E38">
        <v>2.256E-2</v>
      </c>
      <c r="F38">
        <v>0.79869999999999997</v>
      </c>
      <c r="G38">
        <v>2.3290000000000002</v>
      </c>
      <c r="H38">
        <v>6.9050000000000002</v>
      </c>
      <c r="I38">
        <v>10001</v>
      </c>
      <c r="J38">
        <v>30000</v>
      </c>
    </row>
    <row r="39" spans="2:10" x14ac:dyDescent="0.25">
      <c r="B39" t="s">
        <v>423</v>
      </c>
      <c r="C39">
        <v>0.48159999999999997</v>
      </c>
      <c r="D39">
        <v>0.38179999999999997</v>
      </c>
      <c r="E39">
        <v>3.898E-3</v>
      </c>
      <c r="F39">
        <v>0.10299999999999999</v>
      </c>
      <c r="G39">
        <v>0.38619999999999999</v>
      </c>
      <c r="H39">
        <v>1.44</v>
      </c>
      <c r="I39">
        <v>10001</v>
      </c>
      <c r="J39">
        <v>30000</v>
      </c>
    </row>
    <row r="40" spans="2:10" x14ac:dyDescent="0.25">
      <c r="B40" t="s">
        <v>424</v>
      </c>
      <c r="C40">
        <v>0.83189999999999997</v>
      </c>
      <c r="D40">
        <v>0.50049999999999994</v>
      </c>
      <c r="E40">
        <v>8.3219999999999995E-3</v>
      </c>
      <c r="F40">
        <v>0.23069999999999999</v>
      </c>
      <c r="G40">
        <v>0.71519999999999995</v>
      </c>
      <c r="H40">
        <v>2.129</v>
      </c>
      <c r="I40">
        <v>10001</v>
      </c>
      <c r="J40">
        <v>30000</v>
      </c>
    </row>
    <row r="41" spans="2:10" x14ac:dyDescent="0.25">
      <c r="B41" t="s">
        <v>425</v>
      </c>
      <c r="C41">
        <v>1.137</v>
      </c>
      <c r="D41">
        <v>0.37190000000000001</v>
      </c>
      <c r="E41">
        <v>5.8320000000000004E-3</v>
      </c>
      <c r="F41">
        <v>0.60140000000000005</v>
      </c>
      <c r="G41">
        <v>1.077</v>
      </c>
      <c r="H41">
        <v>2.024</v>
      </c>
      <c r="I41">
        <v>10001</v>
      </c>
      <c r="J41">
        <v>30000</v>
      </c>
    </row>
    <row r="42" spans="2:10" x14ac:dyDescent="0.25">
      <c r="B42" t="s">
        <v>426</v>
      </c>
      <c r="C42">
        <v>0.15290000000000001</v>
      </c>
      <c r="D42">
        <v>4.7149999999999997E-2</v>
      </c>
      <c r="E42" s="13">
        <v>6.5430000000000002E-4</v>
      </c>
      <c r="F42">
        <v>7.8460000000000002E-2</v>
      </c>
      <c r="G42">
        <v>0.1467</v>
      </c>
      <c r="H42">
        <v>0.26229999999999998</v>
      </c>
      <c r="I42">
        <v>10001</v>
      </c>
      <c r="J42">
        <v>30000</v>
      </c>
    </row>
    <row r="43" spans="2:10" x14ac:dyDescent="0.25">
      <c r="B43" t="s">
        <v>427</v>
      </c>
      <c r="C43">
        <v>2.5139999999999998</v>
      </c>
      <c r="D43">
        <v>0.82320000000000004</v>
      </c>
      <c r="E43">
        <v>1.2109999999999999E-2</v>
      </c>
      <c r="F43">
        <v>1.2989999999999999</v>
      </c>
      <c r="G43">
        <v>2.3889999999999998</v>
      </c>
      <c r="H43">
        <v>4.4880000000000004</v>
      </c>
      <c r="I43">
        <v>10001</v>
      </c>
      <c r="J43">
        <v>30000</v>
      </c>
    </row>
    <row r="44" spans="2:10" x14ac:dyDescent="0.25">
      <c r="B44" t="s">
        <v>428</v>
      </c>
      <c r="C44">
        <v>4.2610000000000001</v>
      </c>
      <c r="D44">
        <v>2.319</v>
      </c>
      <c r="E44">
        <v>2.989E-2</v>
      </c>
      <c r="F44">
        <v>1.4730000000000001</v>
      </c>
      <c r="G44">
        <v>3.7730000000000001</v>
      </c>
      <c r="H44">
        <v>10.039999999999999</v>
      </c>
      <c r="I44">
        <v>10001</v>
      </c>
      <c r="J44">
        <v>30000</v>
      </c>
    </row>
    <row r="45" spans="2:10" x14ac:dyDescent="0.25">
      <c r="B45" t="s">
        <v>429</v>
      </c>
      <c r="C45">
        <v>5.18</v>
      </c>
      <c r="D45">
        <v>5.2510000000000003</v>
      </c>
      <c r="E45">
        <v>6.2390000000000001E-2</v>
      </c>
      <c r="F45">
        <v>0.82969999999999999</v>
      </c>
      <c r="G45">
        <v>3.762</v>
      </c>
      <c r="H45">
        <v>18.23</v>
      </c>
      <c r="I45">
        <v>10001</v>
      </c>
      <c r="J45">
        <v>30000</v>
      </c>
    </row>
    <row r="46" spans="2:10" x14ac:dyDescent="0.25">
      <c r="B46" t="s">
        <v>430</v>
      </c>
      <c r="C46">
        <v>5.0629999999999997</v>
      </c>
      <c r="D46">
        <v>3.0760000000000001</v>
      </c>
      <c r="E46">
        <v>4.0939999999999997E-2</v>
      </c>
      <c r="F46">
        <v>1.5229999999999999</v>
      </c>
      <c r="G46">
        <v>4.3410000000000002</v>
      </c>
      <c r="H46">
        <v>12.78</v>
      </c>
      <c r="I46">
        <v>10001</v>
      </c>
      <c r="J46">
        <v>30000</v>
      </c>
    </row>
    <row r="47" spans="2:10" x14ac:dyDescent="0.25">
      <c r="B47" t="s">
        <v>431</v>
      </c>
      <c r="C47">
        <v>0.87660000000000005</v>
      </c>
      <c r="D47">
        <v>0.64159999999999995</v>
      </c>
      <c r="E47">
        <v>6.0460000000000002E-3</v>
      </c>
      <c r="F47">
        <v>0.21049999999999999</v>
      </c>
      <c r="G47">
        <v>0.71870000000000001</v>
      </c>
      <c r="H47">
        <v>2.4870000000000001</v>
      </c>
      <c r="I47">
        <v>10001</v>
      </c>
      <c r="J47">
        <v>30000</v>
      </c>
    </row>
    <row r="48" spans="2:10" x14ac:dyDescent="0.25">
      <c r="B48" t="s">
        <v>432</v>
      </c>
      <c r="C48">
        <v>1.5529999999999999</v>
      </c>
      <c r="D48">
        <v>0.93779999999999997</v>
      </c>
      <c r="E48">
        <v>1.6039999999999999E-2</v>
      </c>
      <c r="F48">
        <v>0.43769999999999998</v>
      </c>
      <c r="G48">
        <v>1.333</v>
      </c>
      <c r="H48">
        <v>3.915</v>
      </c>
      <c r="I48">
        <v>10001</v>
      </c>
      <c r="J48">
        <v>30000</v>
      </c>
    </row>
    <row r="49" spans="2:10" x14ac:dyDescent="0.25">
      <c r="B49" t="s">
        <v>433</v>
      </c>
      <c r="C49">
        <v>2.1560000000000001</v>
      </c>
      <c r="D49">
        <v>0.80740000000000001</v>
      </c>
      <c r="E49">
        <v>1.291E-2</v>
      </c>
      <c r="F49">
        <v>1.038</v>
      </c>
      <c r="G49">
        <v>2.008</v>
      </c>
      <c r="H49">
        <v>4.117</v>
      </c>
      <c r="I49">
        <v>10001</v>
      </c>
      <c r="J49">
        <v>30000</v>
      </c>
    </row>
    <row r="50" spans="2:10" x14ac:dyDescent="0.25">
      <c r="B50" t="s">
        <v>434</v>
      </c>
      <c r="C50">
        <v>0.2878</v>
      </c>
      <c r="D50">
        <v>9.7129999999999994E-2</v>
      </c>
      <c r="E50">
        <v>1.323E-3</v>
      </c>
      <c r="F50">
        <v>0.1439</v>
      </c>
      <c r="G50">
        <v>0.2727</v>
      </c>
      <c r="H50">
        <v>0.51929999999999998</v>
      </c>
      <c r="I50">
        <v>10001</v>
      </c>
      <c r="J50">
        <v>30000</v>
      </c>
    </row>
    <row r="51" spans="2:10" x14ac:dyDescent="0.25">
      <c r="B51" t="s">
        <v>435</v>
      </c>
      <c r="C51">
        <v>1.7050000000000001</v>
      </c>
      <c r="D51">
        <v>0.71499999999999997</v>
      </c>
      <c r="E51">
        <v>8.9470000000000001E-3</v>
      </c>
      <c r="F51">
        <v>0.74160000000000004</v>
      </c>
      <c r="G51">
        <v>1.58</v>
      </c>
      <c r="H51">
        <v>3.4569999999999999</v>
      </c>
      <c r="I51">
        <v>10001</v>
      </c>
      <c r="J51">
        <v>30000</v>
      </c>
    </row>
    <row r="52" spans="2:10" x14ac:dyDescent="0.25">
      <c r="B52" t="s">
        <v>436</v>
      </c>
      <c r="C52">
        <v>2.2770000000000001</v>
      </c>
      <c r="D52">
        <v>2.5830000000000002</v>
      </c>
      <c r="E52">
        <v>3.09E-2</v>
      </c>
      <c r="F52">
        <v>0.30370000000000003</v>
      </c>
      <c r="G52">
        <v>1.5820000000000001</v>
      </c>
      <c r="H52">
        <v>8.5289999999999999</v>
      </c>
      <c r="I52">
        <v>10001</v>
      </c>
      <c r="J52">
        <v>30000</v>
      </c>
    </row>
    <row r="53" spans="2:10" x14ac:dyDescent="0.25">
      <c r="B53" t="s">
        <v>437</v>
      </c>
      <c r="C53">
        <v>2.016</v>
      </c>
      <c r="D53">
        <v>0.97989999999999999</v>
      </c>
      <c r="E53">
        <v>1.2760000000000001E-2</v>
      </c>
      <c r="F53">
        <v>0.76549999999999996</v>
      </c>
      <c r="G53">
        <v>1.8109999999999999</v>
      </c>
      <c r="H53">
        <v>4.4569999999999999</v>
      </c>
      <c r="I53">
        <v>10001</v>
      </c>
      <c r="J53">
        <v>30000</v>
      </c>
    </row>
    <row r="54" spans="2:10" x14ac:dyDescent="0.25">
      <c r="B54" t="s">
        <v>438</v>
      </c>
      <c r="C54">
        <v>0.38490000000000002</v>
      </c>
      <c r="D54">
        <v>0.32429999999999998</v>
      </c>
      <c r="E54">
        <v>3.5209999999999998E-3</v>
      </c>
      <c r="F54">
        <v>7.5590000000000004E-2</v>
      </c>
      <c r="G54">
        <v>0.30130000000000001</v>
      </c>
      <c r="H54">
        <v>1.2</v>
      </c>
      <c r="I54">
        <v>10001</v>
      </c>
      <c r="J54">
        <v>30000</v>
      </c>
    </row>
    <row r="55" spans="2:10" x14ac:dyDescent="0.25">
      <c r="B55" t="s">
        <v>439</v>
      </c>
      <c r="C55">
        <v>0.67379999999999995</v>
      </c>
      <c r="D55">
        <v>0.46800000000000003</v>
      </c>
      <c r="E55">
        <v>7.4580000000000002E-3</v>
      </c>
      <c r="F55">
        <v>0.16039999999999999</v>
      </c>
      <c r="G55">
        <v>0.56059999999999999</v>
      </c>
      <c r="H55">
        <v>1.843</v>
      </c>
      <c r="I55">
        <v>10001</v>
      </c>
      <c r="J55">
        <v>30000</v>
      </c>
    </row>
    <row r="56" spans="2:10" x14ac:dyDescent="0.25">
      <c r="B56" t="s">
        <v>440</v>
      </c>
      <c r="C56">
        <v>0.90529999999999999</v>
      </c>
      <c r="D56">
        <v>0.34970000000000001</v>
      </c>
      <c r="E56">
        <v>5.9829999999999996E-3</v>
      </c>
      <c r="F56">
        <v>0.42359999999999998</v>
      </c>
      <c r="G56">
        <v>0.8458</v>
      </c>
      <c r="H56">
        <v>1.7509999999999999</v>
      </c>
      <c r="I56">
        <v>10001</v>
      </c>
      <c r="J56">
        <v>30000</v>
      </c>
    </row>
    <row r="57" spans="2:10" x14ac:dyDescent="0.25">
      <c r="B57" t="s">
        <v>441</v>
      </c>
      <c r="C57">
        <v>0.1211</v>
      </c>
      <c r="D57">
        <v>4.326E-2</v>
      </c>
      <c r="E57" s="13">
        <v>6.4119999999999997E-4</v>
      </c>
      <c r="F57">
        <v>5.7230000000000003E-2</v>
      </c>
      <c r="G57">
        <v>0.1147</v>
      </c>
      <c r="H57">
        <v>0.22500000000000001</v>
      </c>
      <c r="I57">
        <v>10001</v>
      </c>
      <c r="J57">
        <v>30000</v>
      </c>
    </row>
    <row r="58" spans="2:10" x14ac:dyDescent="0.25">
      <c r="B58" t="s">
        <v>442</v>
      </c>
      <c r="C58">
        <v>1.552</v>
      </c>
      <c r="D58">
        <v>2.33</v>
      </c>
      <c r="E58">
        <v>2.4649999999999998E-2</v>
      </c>
      <c r="F58">
        <v>0.16020000000000001</v>
      </c>
      <c r="G58">
        <v>1.0029999999999999</v>
      </c>
      <c r="H58">
        <v>6.1929999999999996</v>
      </c>
      <c r="I58">
        <v>10001</v>
      </c>
      <c r="J58">
        <v>30000</v>
      </c>
    </row>
    <row r="59" spans="2:10" x14ac:dyDescent="0.25">
      <c r="B59" t="s">
        <v>443</v>
      </c>
      <c r="C59">
        <v>1.2929999999999999</v>
      </c>
      <c r="D59">
        <v>0.66879999999999995</v>
      </c>
      <c r="E59">
        <v>8.4790000000000004E-3</v>
      </c>
      <c r="F59">
        <v>0.45629999999999998</v>
      </c>
      <c r="G59">
        <v>1.151</v>
      </c>
      <c r="H59">
        <v>2.9729999999999999</v>
      </c>
      <c r="I59">
        <v>10001</v>
      </c>
      <c r="J59">
        <v>30000</v>
      </c>
    </row>
    <row r="60" spans="2:10" x14ac:dyDescent="0.25">
      <c r="B60" t="s">
        <v>444</v>
      </c>
      <c r="C60">
        <v>0.2606</v>
      </c>
      <c r="D60">
        <v>0.26900000000000002</v>
      </c>
      <c r="E60">
        <v>2.8730000000000001E-3</v>
      </c>
      <c r="F60">
        <v>3.9370000000000002E-2</v>
      </c>
      <c r="G60">
        <v>0.19289999999999999</v>
      </c>
      <c r="H60">
        <v>0.89070000000000005</v>
      </c>
      <c r="I60">
        <v>10001</v>
      </c>
      <c r="J60">
        <v>30000</v>
      </c>
    </row>
    <row r="61" spans="2:10" x14ac:dyDescent="0.25">
      <c r="B61" t="s">
        <v>445</v>
      </c>
      <c r="C61">
        <v>0.4572</v>
      </c>
      <c r="D61">
        <v>0.38700000000000001</v>
      </c>
      <c r="E61">
        <v>6.0210000000000003E-3</v>
      </c>
      <c r="F61">
        <v>8.3159999999999998E-2</v>
      </c>
      <c r="G61">
        <v>0.35410000000000003</v>
      </c>
      <c r="H61">
        <v>1.4379999999999999</v>
      </c>
      <c r="I61">
        <v>10001</v>
      </c>
      <c r="J61">
        <v>30000</v>
      </c>
    </row>
    <row r="62" spans="2:10" x14ac:dyDescent="0.25">
      <c r="B62" t="s">
        <v>446</v>
      </c>
      <c r="C62">
        <v>0.61380000000000001</v>
      </c>
      <c r="D62">
        <v>0.35489999999999999</v>
      </c>
      <c r="E62">
        <v>5.0470000000000003E-3</v>
      </c>
      <c r="F62">
        <v>0.19869999999999999</v>
      </c>
      <c r="G62">
        <v>0.53310000000000002</v>
      </c>
      <c r="H62">
        <v>1.5</v>
      </c>
      <c r="I62">
        <v>10001</v>
      </c>
      <c r="J62">
        <v>30000</v>
      </c>
    </row>
    <row r="63" spans="2:10" x14ac:dyDescent="0.25">
      <c r="B63" t="s">
        <v>447</v>
      </c>
      <c r="C63">
        <v>8.2229999999999998E-2</v>
      </c>
      <c r="D63">
        <v>4.5039999999999997E-2</v>
      </c>
      <c r="E63" s="13">
        <v>6.202E-4</v>
      </c>
      <c r="F63">
        <v>2.5870000000000001E-2</v>
      </c>
      <c r="G63">
        <v>7.2349999999999998E-2</v>
      </c>
      <c r="H63">
        <v>0.19739999999999999</v>
      </c>
      <c r="I63">
        <v>10001</v>
      </c>
      <c r="J63">
        <v>30000</v>
      </c>
    </row>
    <row r="64" spans="2:10" x14ac:dyDescent="0.25">
      <c r="B64" t="s">
        <v>448</v>
      </c>
      <c r="C64">
        <v>1.827</v>
      </c>
      <c r="D64">
        <v>2.3919999999999999</v>
      </c>
      <c r="E64">
        <v>2.7820000000000001E-2</v>
      </c>
      <c r="F64">
        <v>0.17449999999999999</v>
      </c>
      <c r="G64">
        <v>1.1499999999999999</v>
      </c>
      <c r="H64">
        <v>7.5540000000000003</v>
      </c>
      <c r="I64">
        <v>10001</v>
      </c>
      <c r="J64">
        <v>30000</v>
      </c>
    </row>
    <row r="65" spans="2:10" x14ac:dyDescent="0.25">
      <c r="B65" t="s">
        <v>449</v>
      </c>
      <c r="C65">
        <v>0.31540000000000001</v>
      </c>
      <c r="D65">
        <v>0.45660000000000001</v>
      </c>
      <c r="E65">
        <v>4.4299999999999999E-3</v>
      </c>
      <c r="F65">
        <v>2.6040000000000001E-2</v>
      </c>
      <c r="G65">
        <v>0.1918</v>
      </c>
      <c r="H65">
        <v>1.3240000000000001</v>
      </c>
      <c r="I65">
        <v>10001</v>
      </c>
      <c r="J65">
        <v>30000</v>
      </c>
    </row>
    <row r="66" spans="2:10" x14ac:dyDescent="0.25">
      <c r="B66" t="s">
        <v>450</v>
      </c>
      <c r="C66">
        <v>0.55900000000000005</v>
      </c>
      <c r="D66">
        <v>0.68289999999999995</v>
      </c>
      <c r="E66">
        <v>9.3760000000000007E-3</v>
      </c>
      <c r="F66">
        <v>5.0720000000000001E-2</v>
      </c>
      <c r="G66">
        <v>0.34939999999999999</v>
      </c>
      <c r="H66">
        <v>2.34</v>
      </c>
      <c r="I66">
        <v>10001</v>
      </c>
      <c r="J66">
        <v>30000</v>
      </c>
    </row>
    <row r="67" spans="2:10" x14ac:dyDescent="0.25">
      <c r="B67" t="s">
        <v>451</v>
      </c>
      <c r="C67">
        <v>0.77510000000000001</v>
      </c>
      <c r="D67">
        <v>0.84179999999999999</v>
      </c>
      <c r="E67">
        <v>1.044E-2</v>
      </c>
      <c r="F67">
        <v>9.7729999999999997E-2</v>
      </c>
      <c r="G67">
        <v>0.53739999999999999</v>
      </c>
      <c r="H67">
        <v>2.9159999999999999</v>
      </c>
      <c r="I67">
        <v>10001</v>
      </c>
      <c r="J67">
        <v>30000</v>
      </c>
    </row>
    <row r="68" spans="2:10" x14ac:dyDescent="0.25">
      <c r="B68" t="s">
        <v>452</v>
      </c>
      <c r="C68">
        <v>0.10290000000000001</v>
      </c>
      <c r="D68">
        <v>0.1072</v>
      </c>
      <c r="E68">
        <v>1.281E-3</v>
      </c>
      <c r="F68">
        <v>1.2959999999999999E-2</v>
      </c>
      <c r="G68">
        <v>7.2559999999999999E-2</v>
      </c>
      <c r="H68">
        <v>0.37659999999999999</v>
      </c>
      <c r="I68">
        <v>10001</v>
      </c>
      <c r="J68">
        <v>30000</v>
      </c>
    </row>
    <row r="69" spans="2:10" x14ac:dyDescent="0.25">
      <c r="B69" t="s">
        <v>453</v>
      </c>
      <c r="C69">
        <v>0.2316</v>
      </c>
      <c r="D69">
        <v>0.24360000000000001</v>
      </c>
      <c r="E69">
        <v>2.6319999999999998E-3</v>
      </c>
      <c r="F69">
        <v>3.1300000000000001E-2</v>
      </c>
      <c r="G69">
        <v>0.16669999999999999</v>
      </c>
      <c r="H69">
        <v>0.82669999999999999</v>
      </c>
      <c r="I69">
        <v>10001</v>
      </c>
      <c r="J69">
        <v>30000</v>
      </c>
    </row>
    <row r="70" spans="2:10" x14ac:dyDescent="0.25">
      <c r="B70" t="s">
        <v>454</v>
      </c>
      <c r="C70">
        <v>0.40620000000000001</v>
      </c>
      <c r="D70">
        <v>0.36609999999999998</v>
      </c>
      <c r="E70">
        <v>5.3200000000000001E-3</v>
      </c>
      <c r="F70">
        <v>6.6869999999999999E-2</v>
      </c>
      <c r="G70">
        <v>0.30980000000000002</v>
      </c>
      <c r="H70">
        <v>1.3280000000000001</v>
      </c>
      <c r="I70">
        <v>10001</v>
      </c>
      <c r="J70">
        <v>30000</v>
      </c>
    </row>
    <row r="71" spans="2:10" x14ac:dyDescent="0.25">
      <c r="B71" t="s">
        <v>455</v>
      </c>
      <c r="C71">
        <v>0.5464</v>
      </c>
      <c r="D71">
        <v>0.35489999999999999</v>
      </c>
      <c r="E71">
        <v>4.8199999999999996E-3</v>
      </c>
      <c r="F71">
        <v>0.154</v>
      </c>
      <c r="G71">
        <v>0.45889999999999997</v>
      </c>
      <c r="H71">
        <v>1.43</v>
      </c>
      <c r="I71">
        <v>10001</v>
      </c>
      <c r="J71">
        <v>30000</v>
      </c>
    </row>
    <row r="72" spans="2:10" x14ac:dyDescent="0.25">
      <c r="B72" t="s">
        <v>456</v>
      </c>
      <c r="C72">
        <v>7.3219999999999993E-2</v>
      </c>
      <c r="D72">
        <v>4.5330000000000002E-2</v>
      </c>
      <c r="E72" s="13">
        <v>5.8120000000000003E-4</v>
      </c>
      <c r="F72">
        <v>2.01E-2</v>
      </c>
      <c r="G72">
        <v>6.3109999999999999E-2</v>
      </c>
      <c r="H72">
        <v>0.18709999999999999</v>
      </c>
      <c r="I72">
        <v>10001</v>
      </c>
      <c r="J72">
        <v>30000</v>
      </c>
    </row>
    <row r="73" spans="2:10" x14ac:dyDescent="0.25">
      <c r="B73" t="s">
        <v>457</v>
      </c>
      <c r="C73">
        <v>2.6230000000000002</v>
      </c>
      <c r="D73">
        <v>2.8050000000000002</v>
      </c>
      <c r="E73">
        <v>3.3480000000000003E-2</v>
      </c>
      <c r="F73">
        <v>0.3569</v>
      </c>
      <c r="G73">
        <v>1.859</v>
      </c>
      <c r="H73">
        <v>9.5299999999999994</v>
      </c>
      <c r="I73">
        <v>10001</v>
      </c>
      <c r="J73">
        <v>30000</v>
      </c>
    </row>
    <row r="74" spans="2:10" x14ac:dyDescent="0.25">
      <c r="B74" t="s">
        <v>458</v>
      </c>
      <c r="C74">
        <v>3.6640000000000001</v>
      </c>
      <c r="D74">
        <v>3.516</v>
      </c>
      <c r="E74">
        <v>4.0120000000000003E-2</v>
      </c>
      <c r="F74">
        <v>0.70320000000000005</v>
      </c>
      <c r="G74">
        <v>2.7669999999999999</v>
      </c>
      <c r="H74">
        <v>11.91</v>
      </c>
      <c r="I74">
        <v>10001</v>
      </c>
      <c r="J74">
        <v>30000</v>
      </c>
    </row>
    <row r="75" spans="2:10" x14ac:dyDescent="0.25">
      <c r="B75" t="s">
        <v>459</v>
      </c>
      <c r="C75">
        <v>0.48630000000000001</v>
      </c>
      <c r="D75">
        <v>0.44169999999999998</v>
      </c>
      <c r="E75">
        <v>4.4530000000000004E-3</v>
      </c>
      <c r="F75">
        <v>9.3009999999999995E-2</v>
      </c>
      <c r="G75">
        <v>0.38090000000000002</v>
      </c>
      <c r="H75">
        <v>1.514</v>
      </c>
      <c r="I75">
        <v>10001</v>
      </c>
      <c r="J75">
        <v>30000</v>
      </c>
    </row>
    <row r="76" spans="2:10" x14ac:dyDescent="0.25">
      <c r="B76" t="s">
        <v>460</v>
      </c>
      <c r="C76">
        <v>1.8660000000000001</v>
      </c>
      <c r="D76">
        <v>1.383</v>
      </c>
      <c r="E76">
        <v>2.2429999999999999E-2</v>
      </c>
      <c r="F76">
        <v>0.45440000000000003</v>
      </c>
      <c r="G76">
        <v>1.508</v>
      </c>
      <c r="H76">
        <v>5.4349999999999996</v>
      </c>
      <c r="I76">
        <v>10001</v>
      </c>
      <c r="J76">
        <v>30000</v>
      </c>
    </row>
    <row r="77" spans="2:10" x14ac:dyDescent="0.25">
      <c r="B77" t="s">
        <v>461</v>
      </c>
      <c r="C77">
        <v>0.2487</v>
      </c>
      <c r="D77">
        <v>0.17460000000000001</v>
      </c>
      <c r="E77">
        <v>2.745E-3</v>
      </c>
      <c r="F77">
        <v>6.1260000000000002E-2</v>
      </c>
      <c r="G77">
        <v>0.2051</v>
      </c>
      <c r="H77">
        <v>0.69269999999999998</v>
      </c>
      <c r="I77">
        <v>10001</v>
      </c>
      <c r="J77">
        <v>30000</v>
      </c>
    </row>
    <row r="78" spans="2:10" x14ac:dyDescent="0.25">
      <c r="B78" t="s">
        <v>462</v>
      </c>
      <c r="C78">
        <v>0.14230000000000001</v>
      </c>
      <c r="D78">
        <v>4.7509999999999997E-2</v>
      </c>
      <c r="E78" s="13">
        <v>9.7019999999999995E-4</v>
      </c>
      <c r="F78">
        <v>6.8699999999999997E-2</v>
      </c>
      <c r="G78">
        <v>0.13589999999999999</v>
      </c>
      <c r="H78">
        <v>0.25109999999999999</v>
      </c>
      <c r="I78">
        <v>10001</v>
      </c>
      <c r="J78">
        <v>30000</v>
      </c>
    </row>
    <row r="79" spans="2:10" x14ac:dyDescent="0.25">
      <c r="B79" t="s">
        <v>463</v>
      </c>
      <c r="C79">
        <v>0.50990000000000002</v>
      </c>
      <c r="D79">
        <v>0.12920000000000001</v>
      </c>
      <c r="E79">
        <v>1.781E-3</v>
      </c>
      <c r="F79">
        <v>0.33329999999999999</v>
      </c>
      <c r="G79">
        <v>0.44440000000000002</v>
      </c>
      <c r="H79">
        <v>0.77780000000000005</v>
      </c>
      <c r="I79">
        <v>10001</v>
      </c>
      <c r="J79">
        <v>30000</v>
      </c>
    </row>
    <row r="80" spans="2:10" x14ac:dyDescent="0.25">
      <c r="B80" t="s">
        <v>464</v>
      </c>
      <c r="C80">
        <v>0.23169999999999999</v>
      </c>
      <c r="D80">
        <v>7.918E-2</v>
      </c>
      <c r="E80" s="13">
        <v>9.4990000000000005E-4</v>
      </c>
      <c r="F80">
        <v>0.1111</v>
      </c>
      <c r="G80">
        <v>0.22220000000000001</v>
      </c>
      <c r="H80">
        <v>0.33329999999999999</v>
      </c>
      <c r="I80">
        <v>10001</v>
      </c>
      <c r="J80">
        <v>30000</v>
      </c>
    </row>
    <row r="81" spans="2:10" x14ac:dyDescent="0.25">
      <c r="B81" t="s">
        <v>465</v>
      </c>
      <c r="C81">
        <v>0.63759999999999994</v>
      </c>
      <c r="D81">
        <v>0.13300000000000001</v>
      </c>
      <c r="E81">
        <v>1.8500000000000001E-3</v>
      </c>
      <c r="F81">
        <v>0.33329999999999999</v>
      </c>
      <c r="G81">
        <v>0.66669999999999996</v>
      </c>
      <c r="H81">
        <v>0.88890000000000002</v>
      </c>
      <c r="I81">
        <v>10001</v>
      </c>
      <c r="J81">
        <v>30000</v>
      </c>
    </row>
    <row r="82" spans="2:10" x14ac:dyDescent="0.25">
      <c r="B82" t="s">
        <v>466</v>
      </c>
      <c r="C82">
        <v>0.83140000000000003</v>
      </c>
      <c r="D82">
        <v>0.14649999999999999</v>
      </c>
      <c r="E82">
        <v>1.8029999999999999E-3</v>
      </c>
      <c r="F82">
        <v>0.44440000000000002</v>
      </c>
      <c r="G82">
        <v>0.88890000000000002</v>
      </c>
      <c r="H82">
        <v>1</v>
      </c>
      <c r="I82">
        <v>10001</v>
      </c>
      <c r="J82">
        <v>30000</v>
      </c>
    </row>
    <row r="83" spans="2:10" x14ac:dyDescent="0.25">
      <c r="B83" t="s">
        <v>467</v>
      </c>
      <c r="C83">
        <v>0.77839999999999998</v>
      </c>
      <c r="D83">
        <v>0.246</v>
      </c>
      <c r="E83">
        <v>3.4550000000000002E-3</v>
      </c>
      <c r="F83">
        <v>0.22220000000000001</v>
      </c>
      <c r="G83">
        <v>0.88890000000000002</v>
      </c>
      <c r="H83">
        <v>1</v>
      </c>
      <c r="I83">
        <v>10001</v>
      </c>
      <c r="J83">
        <v>30000</v>
      </c>
    </row>
    <row r="84" spans="2:10" x14ac:dyDescent="0.25">
      <c r="B84" t="s">
        <v>468</v>
      </c>
      <c r="C84">
        <v>0.87609999999999999</v>
      </c>
      <c r="D84">
        <v>0.1452</v>
      </c>
      <c r="E84">
        <v>1.8489999999999999E-3</v>
      </c>
      <c r="F84">
        <v>0.44440000000000002</v>
      </c>
      <c r="G84">
        <v>0.88890000000000002</v>
      </c>
      <c r="H84">
        <v>1</v>
      </c>
      <c r="I84">
        <v>10001</v>
      </c>
      <c r="J84">
        <v>30000</v>
      </c>
    </row>
    <row r="85" spans="2:10" x14ac:dyDescent="0.25">
      <c r="B85" t="s">
        <v>469</v>
      </c>
      <c r="C85">
        <v>0.18870000000000001</v>
      </c>
      <c r="D85">
        <v>0.16189999999999999</v>
      </c>
      <c r="E85">
        <v>1.668E-3</v>
      </c>
      <c r="F85">
        <v>0</v>
      </c>
      <c r="G85">
        <v>0.1111</v>
      </c>
      <c r="H85">
        <v>0.66669999999999996</v>
      </c>
      <c r="I85">
        <v>10001</v>
      </c>
      <c r="J85">
        <v>30000</v>
      </c>
    </row>
    <row r="86" spans="2:10" x14ac:dyDescent="0.25">
      <c r="B86" t="s">
        <v>470</v>
      </c>
      <c r="C86">
        <v>0.38129999999999997</v>
      </c>
      <c r="D86">
        <v>0.215</v>
      </c>
      <c r="E86">
        <v>3.784E-3</v>
      </c>
      <c r="F86">
        <v>0.1111</v>
      </c>
      <c r="G86">
        <v>0.33329999999999999</v>
      </c>
      <c r="H86">
        <v>0.88890000000000002</v>
      </c>
      <c r="I86">
        <v>10001</v>
      </c>
      <c r="J86">
        <v>30000</v>
      </c>
    </row>
    <row r="87" spans="2:10" x14ac:dyDescent="0.25">
      <c r="B87" t="s">
        <v>471</v>
      </c>
      <c r="C87">
        <v>0.55530000000000002</v>
      </c>
      <c r="D87">
        <v>0.16439999999999999</v>
      </c>
      <c r="E87">
        <v>2.6289999999999998E-3</v>
      </c>
      <c r="F87">
        <v>0.22220000000000001</v>
      </c>
      <c r="G87">
        <v>0.55559999999999998</v>
      </c>
      <c r="H87">
        <v>0.88890000000000002</v>
      </c>
      <c r="I87">
        <v>10001</v>
      </c>
      <c r="J87">
        <v>30000</v>
      </c>
    </row>
    <row r="88" spans="2:10" x14ac:dyDescent="0.25">
      <c r="B88" t="s">
        <v>472</v>
      </c>
      <c r="C88">
        <v>9.6069999999999992E-3</v>
      </c>
      <c r="D88">
        <v>3.2140000000000002E-2</v>
      </c>
      <c r="E88" s="13">
        <v>3.1030000000000001E-4</v>
      </c>
      <c r="F88">
        <v>0</v>
      </c>
      <c r="G88">
        <v>0</v>
      </c>
      <c r="H88">
        <v>0.1111</v>
      </c>
      <c r="I88">
        <v>10001</v>
      </c>
      <c r="J88">
        <v>30000</v>
      </c>
    </row>
    <row r="89" spans="2:10" x14ac:dyDescent="0.25">
      <c r="B89" t="s">
        <v>473</v>
      </c>
      <c r="C89">
        <v>2.5330000000000001E-3</v>
      </c>
      <c r="D89">
        <v>5.0270000000000002E-2</v>
      </c>
      <c r="E89" s="13">
        <v>4.2470000000000002E-4</v>
      </c>
      <c r="F89">
        <v>0</v>
      </c>
      <c r="G89">
        <v>0</v>
      </c>
      <c r="H89">
        <v>0</v>
      </c>
      <c r="I89">
        <v>10001</v>
      </c>
      <c r="J89">
        <v>30000</v>
      </c>
    </row>
    <row r="90" spans="2:10" x14ac:dyDescent="0.25">
      <c r="B90" t="s">
        <v>474</v>
      </c>
      <c r="C90">
        <v>0</v>
      </c>
      <c r="D90">
        <v>0</v>
      </c>
      <c r="E90" s="13">
        <v>3.333E-13</v>
      </c>
      <c r="F90">
        <v>0</v>
      </c>
      <c r="G90">
        <v>0</v>
      </c>
      <c r="H90">
        <v>0</v>
      </c>
      <c r="I90">
        <v>10001</v>
      </c>
      <c r="J90">
        <v>30000</v>
      </c>
    </row>
    <row r="91" spans="2:10" x14ac:dyDescent="0.25">
      <c r="B91" t="s">
        <v>475</v>
      </c>
      <c r="C91">
        <v>4.333E-3</v>
      </c>
      <c r="D91">
        <v>6.5689999999999998E-2</v>
      </c>
      <c r="E91" s="13">
        <v>4.8040000000000002E-4</v>
      </c>
      <c r="F91">
        <v>0</v>
      </c>
      <c r="G91">
        <v>0</v>
      </c>
      <c r="H91">
        <v>0</v>
      </c>
      <c r="I91">
        <v>10001</v>
      </c>
      <c r="J91">
        <v>30000</v>
      </c>
    </row>
    <row r="92" spans="2:10" x14ac:dyDescent="0.25">
      <c r="B92" t="s">
        <v>476</v>
      </c>
      <c r="C92">
        <v>0.2029</v>
      </c>
      <c r="D92">
        <v>0.4022</v>
      </c>
      <c r="E92">
        <v>4.365E-3</v>
      </c>
      <c r="F92">
        <v>0</v>
      </c>
      <c r="G92">
        <v>0</v>
      </c>
      <c r="H92">
        <v>1</v>
      </c>
      <c r="I92">
        <v>10001</v>
      </c>
      <c r="J92">
        <v>30000</v>
      </c>
    </row>
    <row r="93" spans="2:10" x14ac:dyDescent="0.25">
      <c r="B93" t="s">
        <v>477</v>
      </c>
      <c r="C93">
        <v>0.37959999999999999</v>
      </c>
      <c r="D93">
        <v>0.48530000000000001</v>
      </c>
      <c r="E93">
        <v>6.3720000000000001E-3</v>
      </c>
      <c r="F93">
        <v>0</v>
      </c>
      <c r="G93">
        <v>0</v>
      </c>
      <c r="H93">
        <v>1</v>
      </c>
      <c r="I93">
        <v>10001</v>
      </c>
      <c r="J93">
        <v>30000</v>
      </c>
    </row>
    <row r="94" spans="2:10" x14ac:dyDescent="0.25">
      <c r="B94" t="s">
        <v>478</v>
      </c>
      <c r="C94">
        <v>0.38350000000000001</v>
      </c>
      <c r="D94">
        <v>0.48620000000000002</v>
      </c>
      <c r="E94">
        <v>6.2859999999999999E-3</v>
      </c>
      <c r="F94">
        <v>0</v>
      </c>
      <c r="G94">
        <v>0</v>
      </c>
      <c r="H94">
        <v>1</v>
      </c>
      <c r="I94">
        <v>10001</v>
      </c>
      <c r="J94">
        <v>30000</v>
      </c>
    </row>
    <row r="95" spans="2:10" x14ac:dyDescent="0.25">
      <c r="B95" t="s">
        <v>479</v>
      </c>
      <c r="C95">
        <v>2.5000000000000001E-3</v>
      </c>
      <c r="D95">
        <v>4.9939999999999998E-2</v>
      </c>
      <c r="E95" s="13">
        <v>2.8479999999999998E-4</v>
      </c>
      <c r="F95">
        <v>0</v>
      </c>
      <c r="G95">
        <v>0</v>
      </c>
      <c r="H95">
        <v>0</v>
      </c>
      <c r="I95">
        <v>10001</v>
      </c>
      <c r="J95">
        <v>30000</v>
      </c>
    </row>
    <row r="96" spans="2:10" x14ac:dyDescent="0.25">
      <c r="B96" t="s">
        <v>480</v>
      </c>
      <c r="C96">
        <v>1.2670000000000001E-2</v>
      </c>
      <c r="D96">
        <v>0.1118</v>
      </c>
      <c r="E96">
        <v>1.088E-3</v>
      </c>
      <c r="F96">
        <v>0</v>
      </c>
      <c r="G96">
        <v>0</v>
      </c>
      <c r="H96">
        <v>0</v>
      </c>
      <c r="I96">
        <v>10001</v>
      </c>
      <c r="J96">
        <v>30000</v>
      </c>
    </row>
    <row r="97" spans="2:10" x14ac:dyDescent="0.25">
      <c r="B97" t="s">
        <v>481</v>
      </c>
      <c r="C97">
        <v>1.2E-2</v>
      </c>
      <c r="D97">
        <v>0.1089</v>
      </c>
      <c r="E97" s="13">
        <v>8.8380000000000002E-4</v>
      </c>
      <c r="F97">
        <v>0</v>
      </c>
      <c r="G97">
        <v>0</v>
      </c>
      <c r="H97">
        <v>0</v>
      </c>
      <c r="I97">
        <v>10001</v>
      </c>
      <c r="J97">
        <v>30000</v>
      </c>
    </row>
    <row r="98" spans="2:10" x14ac:dyDescent="0.25">
      <c r="B98" t="s">
        <v>482</v>
      </c>
      <c r="C98">
        <v>0</v>
      </c>
      <c r="D98">
        <v>0</v>
      </c>
      <c r="E98" s="13">
        <v>3.333E-13</v>
      </c>
      <c r="F98">
        <v>0</v>
      </c>
      <c r="G98">
        <v>0</v>
      </c>
      <c r="H98">
        <v>0</v>
      </c>
      <c r="I98">
        <v>10001</v>
      </c>
      <c r="J98">
        <v>30000</v>
      </c>
    </row>
    <row r="99" spans="2:10" x14ac:dyDescent="0.25">
      <c r="B99" t="s">
        <v>483</v>
      </c>
      <c r="C99">
        <v>0.97840000000000005</v>
      </c>
      <c r="D99">
        <v>1.3460000000000001</v>
      </c>
      <c r="E99">
        <v>1.1520000000000001E-2</v>
      </c>
      <c r="F99" s="13">
        <v>9.5189999999999999E-4</v>
      </c>
      <c r="G99">
        <v>0.45619999999999999</v>
      </c>
      <c r="H99">
        <v>4.8230000000000004</v>
      </c>
      <c r="I99">
        <v>10001</v>
      </c>
      <c r="J99">
        <v>30000</v>
      </c>
    </row>
    <row r="100" spans="2:10" x14ac:dyDescent="0.25">
      <c r="B100" t="s">
        <v>484</v>
      </c>
      <c r="C100">
        <v>0.96919999999999995</v>
      </c>
      <c r="D100">
        <v>1.357</v>
      </c>
      <c r="E100">
        <v>8.9739999999999993E-3</v>
      </c>
      <c r="F100" s="13">
        <v>9.5189999999999999E-4</v>
      </c>
      <c r="G100">
        <v>0.443</v>
      </c>
      <c r="H100">
        <v>4.84</v>
      </c>
      <c r="I100">
        <v>10001</v>
      </c>
      <c r="J100">
        <v>30000</v>
      </c>
    </row>
    <row r="101" spans="2:10" x14ac:dyDescent="0.25">
      <c r="B101" t="s">
        <v>485</v>
      </c>
      <c r="C101">
        <v>0.77639999999999998</v>
      </c>
      <c r="D101">
        <v>1.0940000000000001</v>
      </c>
      <c r="E101">
        <v>6.7349999999999997E-3</v>
      </c>
      <c r="F101" s="13">
        <v>8.0480000000000005E-4</v>
      </c>
      <c r="G101">
        <v>0.35670000000000002</v>
      </c>
      <c r="H101">
        <v>3.9180000000000001</v>
      </c>
      <c r="I101">
        <v>10001</v>
      </c>
      <c r="J101">
        <v>30000</v>
      </c>
    </row>
    <row r="102" spans="2:10" x14ac:dyDescent="0.25">
      <c r="B102" t="s">
        <v>486</v>
      </c>
      <c r="C102">
        <v>0.50690000000000002</v>
      </c>
      <c r="D102">
        <v>0.70589999999999997</v>
      </c>
      <c r="E102">
        <v>4.47E-3</v>
      </c>
      <c r="F102" s="13">
        <v>5.3359999999999996E-4</v>
      </c>
      <c r="G102">
        <v>0.23710000000000001</v>
      </c>
      <c r="H102">
        <v>2.4910000000000001</v>
      </c>
      <c r="I102">
        <v>10001</v>
      </c>
      <c r="J102">
        <v>30000</v>
      </c>
    </row>
    <row r="103" spans="2:10" x14ac:dyDescent="0.25">
      <c r="B103" t="s">
        <v>487</v>
      </c>
      <c r="C103">
        <v>0.87709999999999999</v>
      </c>
      <c r="D103">
        <v>1.2390000000000001</v>
      </c>
      <c r="E103">
        <v>7.7380000000000001E-3</v>
      </c>
      <c r="F103" s="13">
        <v>9.5109999999999997E-4</v>
      </c>
      <c r="G103">
        <v>0.39829999999999999</v>
      </c>
      <c r="H103">
        <v>4.3680000000000003</v>
      </c>
      <c r="I103">
        <v>10001</v>
      </c>
      <c r="J103">
        <v>30000</v>
      </c>
    </row>
    <row r="104" spans="2:10" x14ac:dyDescent="0.25">
      <c r="B104" t="s">
        <v>488</v>
      </c>
      <c r="C104">
        <v>0.72419999999999995</v>
      </c>
      <c r="D104">
        <v>1.038</v>
      </c>
      <c r="E104">
        <v>6.6400000000000001E-3</v>
      </c>
      <c r="F104" s="13">
        <v>6.1470000000000003E-4</v>
      </c>
      <c r="G104">
        <v>0.32779999999999998</v>
      </c>
      <c r="H104">
        <v>3.706</v>
      </c>
      <c r="I104">
        <v>10001</v>
      </c>
      <c r="J104">
        <v>30000</v>
      </c>
    </row>
    <row r="105" spans="2:10" x14ac:dyDescent="0.25">
      <c r="B105" t="s">
        <v>489</v>
      </c>
      <c r="C105">
        <v>1.1180000000000001</v>
      </c>
      <c r="D105">
        <v>1.534</v>
      </c>
      <c r="E105">
        <v>1.158E-2</v>
      </c>
      <c r="F105">
        <v>1.3669999999999999E-3</v>
      </c>
      <c r="G105">
        <v>0.5202</v>
      </c>
      <c r="H105">
        <v>5.4749999999999996</v>
      </c>
      <c r="I105">
        <v>10001</v>
      </c>
      <c r="J105">
        <v>30000</v>
      </c>
    </row>
    <row r="106" spans="2:10" x14ac:dyDescent="0.25">
      <c r="B106" t="s">
        <v>490</v>
      </c>
      <c r="C106">
        <v>1.034</v>
      </c>
      <c r="D106">
        <v>1.3979999999999999</v>
      </c>
      <c r="E106">
        <v>1.051E-2</v>
      </c>
      <c r="F106">
        <v>1.165E-3</v>
      </c>
      <c r="G106">
        <v>0.49740000000000001</v>
      </c>
      <c r="H106">
        <v>4.976</v>
      </c>
      <c r="I106">
        <v>10001</v>
      </c>
      <c r="J106">
        <v>30000</v>
      </c>
    </row>
    <row r="107" spans="2:10" x14ac:dyDescent="0.25">
      <c r="B107" t="s">
        <v>491</v>
      </c>
      <c r="C107">
        <v>0.87380000000000002</v>
      </c>
      <c r="D107">
        <v>1.23</v>
      </c>
      <c r="E107">
        <v>7.9869999999999993E-3</v>
      </c>
      <c r="F107" s="13">
        <v>7.4960000000000001E-4</v>
      </c>
      <c r="G107">
        <v>0.39539999999999997</v>
      </c>
      <c r="H107">
        <v>4.4139999999999997</v>
      </c>
      <c r="I107">
        <v>10001</v>
      </c>
      <c r="J107">
        <v>30000</v>
      </c>
    </row>
    <row r="108" spans="2:10" x14ac:dyDescent="0.25">
      <c r="B108" t="s">
        <v>492</v>
      </c>
      <c r="C108">
        <v>0.71650000000000003</v>
      </c>
      <c r="D108">
        <v>1.016</v>
      </c>
      <c r="E108">
        <v>6.4879999999999998E-3</v>
      </c>
      <c r="F108" s="13">
        <v>6.6359999999999998E-4</v>
      </c>
      <c r="G108">
        <v>0.32929999999999998</v>
      </c>
      <c r="H108">
        <v>3.5960000000000001</v>
      </c>
      <c r="I108">
        <v>10001</v>
      </c>
      <c r="J108">
        <v>30000</v>
      </c>
    </row>
    <row r="109" spans="2:10" x14ac:dyDescent="0.25">
      <c r="B109" t="s">
        <v>493</v>
      </c>
      <c r="C109">
        <v>1.044</v>
      </c>
      <c r="D109">
        <v>1.466</v>
      </c>
      <c r="E109">
        <v>1.4540000000000001E-2</v>
      </c>
      <c r="F109">
        <v>1.152E-3</v>
      </c>
      <c r="G109">
        <v>0.4748</v>
      </c>
      <c r="H109">
        <v>5.2309999999999999</v>
      </c>
      <c r="I109">
        <v>10001</v>
      </c>
      <c r="J109">
        <v>30000</v>
      </c>
    </row>
    <row r="110" spans="2:10" x14ac:dyDescent="0.25">
      <c r="B110" t="s">
        <v>494</v>
      </c>
      <c r="C110">
        <v>0.95020000000000004</v>
      </c>
      <c r="D110">
        <v>1.343</v>
      </c>
      <c r="E110">
        <v>1.193E-2</v>
      </c>
      <c r="F110" s="13">
        <v>9.0359999999999995E-4</v>
      </c>
      <c r="G110">
        <v>0.43319999999999997</v>
      </c>
      <c r="H110">
        <v>4.7930000000000001</v>
      </c>
      <c r="I110">
        <v>10001</v>
      </c>
      <c r="J110">
        <v>30000</v>
      </c>
    </row>
    <row r="111" spans="2:10" x14ac:dyDescent="0.25">
      <c r="B111" t="s">
        <v>495</v>
      </c>
      <c r="C111">
        <v>1.0009999999999999</v>
      </c>
      <c r="D111">
        <v>1.425</v>
      </c>
      <c r="E111">
        <v>1.025E-2</v>
      </c>
      <c r="F111" s="13">
        <v>9.8360000000000006E-4</v>
      </c>
      <c r="G111">
        <v>0.44940000000000002</v>
      </c>
      <c r="H111">
        <v>5.0209999999999999</v>
      </c>
      <c r="I111">
        <v>10001</v>
      </c>
      <c r="J111">
        <v>30000</v>
      </c>
    </row>
    <row r="112" spans="2:10" x14ac:dyDescent="0.25">
      <c r="B112" t="s">
        <v>496</v>
      </c>
      <c r="C112">
        <v>1.0169999999999999</v>
      </c>
      <c r="D112">
        <v>1.4419999999999999</v>
      </c>
      <c r="E112">
        <v>1.222E-2</v>
      </c>
      <c r="F112">
        <v>1.1789999999999999E-3</v>
      </c>
      <c r="G112">
        <v>0.4647</v>
      </c>
      <c r="H112">
        <v>5.15</v>
      </c>
      <c r="I112">
        <v>10001</v>
      </c>
      <c r="J112">
        <v>30000</v>
      </c>
    </row>
    <row r="113" spans="2:10" x14ac:dyDescent="0.25">
      <c r="B113" t="s">
        <v>497</v>
      </c>
      <c r="C113">
        <v>0.88039999999999996</v>
      </c>
      <c r="D113">
        <v>1.25</v>
      </c>
      <c r="E113">
        <v>1.34E-2</v>
      </c>
      <c r="F113" s="13">
        <v>8.6410000000000002E-4</v>
      </c>
      <c r="G113">
        <v>0.39839999999999998</v>
      </c>
      <c r="H113">
        <v>4.4610000000000003</v>
      </c>
      <c r="I113">
        <v>10001</v>
      </c>
      <c r="J113">
        <v>30000</v>
      </c>
    </row>
    <row r="114" spans="2:10" x14ac:dyDescent="0.25">
      <c r="B114" t="s">
        <v>498</v>
      </c>
      <c r="C114">
        <v>0.96399999999999997</v>
      </c>
      <c r="D114">
        <v>1.375</v>
      </c>
      <c r="E114">
        <v>7.8740000000000008E-3</v>
      </c>
      <c r="F114" s="13">
        <v>9.4140000000000001E-4</v>
      </c>
      <c r="G114">
        <v>0.43540000000000001</v>
      </c>
      <c r="H114">
        <v>4.8440000000000003</v>
      </c>
      <c r="I114">
        <v>10001</v>
      </c>
      <c r="J114">
        <v>30000</v>
      </c>
    </row>
    <row r="115" spans="2:10" x14ac:dyDescent="0.25">
      <c r="B115" t="s">
        <v>499</v>
      </c>
      <c r="C115">
        <v>1.0089999999999999</v>
      </c>
      <c r="D115">
        <v>1.4339999999999999</v>
      </c>
      <c r="E115">
        <v>1.1480000000000001E-2</v>
      </c>
      <c r="F115">
        <v>1.0499999999999999E-3</v>
      </c>
      <c r="G115">
        <v>0.45540000000000003</v>
      </c>
      <c r="H115">
        <v>5.0720000000000001</v>
      </c>
      <c r="I115">
        <v>10001</v>
      </c>
      <c r="J115">
        <v>30000</v>
      </c>
    </row>
    <row r="116" spans="2:10" x14ac:dyDescent="0.25">
      <c r="B116" t="s">
        <v>500</v>
      </c>
      <c r="C116">
        <v>1.0109999999999999</v>
      </c>
      <c r="D116">
        <v>1.452</v>
      </c>
      <c r="E116">
        <v>8.9560000000000004E-3</v>
      </c>
      <c r="F116" s="13">
        <v>9.1569999999999998E-4</v>
      </c>
      <c r="G116">
        <v>0.4551</v>
      </c>
      <c r="H116">
        <v>5.1760000000000002</v>
      </c>
      <c r="I116">
        <v>10001</v>
      </c>
      <c r="J116">
        <v>30000</v>
      </c>
    </row>
    <row r="117" spans="2:10" x14ac:dyDescent="0.25">
      <c r="B117" t="s">
        <v>501</v>
      </c>
      <c r="C117">
        <v>0.83789999999999998</v>
      </c>
      <c r="D117">
        <v>1.2090000000000001</v>
      </c>
      <c r="E117">
        <v>9.5379999999999996E-3</v>
      </c>
      <c r="F117" s="13">
        <v>6.489E-4</v>
      </c>
      <c r="G117">
        <v>0.36940000000000001</v>
      </c>
      <c r="H117">
        <v>4.2930000000000001</v>
      </c>
      <c r="I117">
        <v>10001</v>
      </c>
      <c r="J117">
        <v>30000</v>
      </c>
    </row>
    <row r="118" spans="2:10" x14ac:dyDescent="0.25">
      <c r="B118" t="s">
        <v>502</v>
      </c>
      <c r="C118">
        <v>0.85219999999999996</v>
      </c>
      <c r="D118">
        <v>1.224</v>
      </c>
      <c r="E118">
        <v>7.842E-3</v>
      </c>
      <c r="F118" s="13">
        <v>7.9560000000000004E-4</v>
      </c>
      <c r="G118">
        <v>0.38059999999999999</v>
      </c>
      <c r="H118">
        <v>4.399</v>
      </c>
      <c r="I118">
        <v>10001</v>
      </c>
      <c r="J118">
        <v>30000</v>
      </c>
    </row>
    <row r="119" spans="2:10" x14ac:dyDescent="0.25">
      <c r="B119" t="s">
        <v>503</v>
      </c>
      <c r="C119">
        <v>0.62460000000000004</v>
      </c>
      <c r="D119">
        <v>0.86599999999999999</v>
      </c>
      <c r="E119">
        <v>5.5570000000000003E-3</v>
      </c>
      <c r="F119" s="13">
        <v>5.9489999999999999E-4</v>
      </c>
      <c r="G119">
        <v>0.29070000000000001</v>
      </c>
      <c r="H119">
        <v>3.1139999999999999</v>
      </c>
      <c r="I119">
        <v>10001</v>
      </c>
      <c r="J119">
        <v>30000</v>
      </c>
    </row>
    <row r="120" spans="2:10" x14ac:dyDescent="0.25">
      <c r="B120" t="s">
        <v>504</v>
      </c>
      <c r="C120">
        <v>0.64249999999999996</v>
      </c>
      <c r="D120">
        <v>0.91339999999999999</v>
      </c>
      <c r="E120">
        <v>5.5110000000000003E-3</v>
      </c>
      <c r="F120" s="13">
        <v>6.311E-4</v>
      </c>
      <c r="G120">
        <v>0.29099999999999998</v>
      </c>
      <c r="H120">
        <v>3.2559999999999998</v>
      </c>
      <c r="I120">
        <v>10001</v>
      </c>
      <c r="J120">
        <v>30000</v>
      </c>
    </row>
    <row r="121" spans="2:10" x14ac:dyDescent="0.25">
      <c r="B121" t="s">
        <v>505</v>
      </c>
      <c r="C121">
        <v>0.91590000000000005</v>
      </c>
      <c r="D121">
        <v>1.286</v>
      </c>
      <c r="E121">
        <v>9.5060000000000006E-3</v>
      </c>
      <c r="F121" s="13">
        <v>7.9270000000000002E-4</v>
      </c>
      <c r="G121">
        <v>0.42359999999999998</v>
      </c>
      <c r="H121">
        <v>4.524</v>
      </c>
      <c r="I121">
        <v>10001</v>
      </c>
      <c r="J121">
        <v>30000</v>
      </c>
    </row>
    <row r="122" spans="2:10" x14ac:dyDescent="0.25">
      <c r="B122" t="s">
        <v>506</v>
      </c>
      <c r="C122">
        <v>0.92720000000000002</v>
      </c>
      <c r="D122">
        <v>1.306</v>
      </c>
      <c r="E122">
        <v>7.6280000000000002E-3</v>
      </c>
      <c r="F122" s="13">
        <v>9.121E-4</v>
      </c>
      <c r="G122">
        <v>0.42980000000000002</v>
      </c>
      <c r="H122">
        <v>4.6029999999999998</v>
      </c>
      <c r="I122">
        <v>10001</v>
      </c>
      <c r="J122">
        <v>30000</v>
      </c>
    </row>
    <row r="123" spans="2:10" x14ac:dyDescent="0.25">
      <c r="B123" t="s">
        <v>507</v>
      </c>
      <c r="C123">
        <v>0.96199999999999997</v>
      </c>
      <c r="D123">
        <v>1.3129999999999999</v>
      </c>
      <c r="E123">
        <v>1.4710000000000001E-2</v>
      </c>
      <c r="F123" s="13">
        <v>8.9510000000000002E-4</v>
      </c>
      <c r="G123">
        <v>0.45379999999999998</v>
      </c>
      <c r="H123">
        <v>4.7720000000000002</v>
      </c>
      <c r="I123">
        <v>10001</v>
      </c>
      <c r="J123">
        <v>30000</v>
      </c>
    </row>
    <row r="124" spans="2:10" x14ac:dyDescent="0.25">
      <c r="B124" t="s">
        <v>508</v>
      </c>
      <c r="C124">
        <v>1.0880000000000001</v>
      </c>
      <c r="D124">
        <v>1.482</v>
      </c>
      <c r="E124">
        <v>1.06E-2</v>
      </c>
      <c r="F124">
        <v>1.0950000000000001E-3</v>
      </c>
      <c r="G124">
        <v>0.50960000000000005</v>
      </c>
      <c r="H124">
        <v>5.2489999999999997</v>
      </c>
      <c r="I124">
        <v>10001</v>
      </c>
      <c r="J124">
        <v>30000</v>
      </c>
    </row>
    <row r="125" spans="2:10" x14ac:dyDescent="0.25">
      <c r="B125" t="s">
        <v>509</v>
      </c>
      <c r="C125">
        <v>0.8196</v>
      </c>
      <c r="D125">
        <v>0.97609999999999997</v>
      </c>
      <c r="E125">
        <v>9.1509999999999994E-3</v>
      </c>
      <c r="F125">
        <v>1.0169999999999999E-3</v>
      </c>
      <c r="G125">
        <v>0.46260000000000001</v>
      </c>
      <c r="H125">
        <v>3.4820000000000002</v>
      </c>
      <c r="I125">
        <v>10001</v>
      </c>
      <c r="J125">
        <v>30000</v>
      </c>
    </row>
    <row r="126" spans="2:10" x14ac:dyDescent="0.25">
      <c r="B126" t="s">
        <v>510</v>
      </c>
      <c r="C126">
        <v>0.86929999999999996</v>
      </c>
      <c r="D126">
        <v>1.2270000000000001</v>
      </c>
      <c r="E126">
        <v>6.9249999999999997E-3</v>
      </c>
      <c r="F126" s="13">
        <v>8.2490000000000005E-4</v>
      </c>
      <c r="G126">
        <v>0.39240000000000003</v>
      </c>
      <c r="H126">
        <v>4.3319999999999999</v>
      </c>
      <c r="I126">
        <v>10001</v>
      </c>
      <c r="J126">
        <v>30000</v>
      </c>
    </row>
    <row r="127" spans="2:10" x14ac:dyDescent="0.25">
      <c r="B127" t="s">
        <v>511</v>
      </c>
      <c r="C127">
        <v>0.68</v>
      </c>
      <c r="D127">
        <v>0.91449999999999998</v>
      </c>
      <c r="E127">
        <v>5.9160000000000003E-3</v>
      </c>
      <c r="F127" s="13">
        <v>7.674E-4</v>
      </c>
      <c r="G127">
        <v>0.3276</v>
      </c>
      <c r="H127">
        <v>3.2490000000000001</v>
      </c>
      <c r="I127">
        <v>10001</v>
      </c>
      <c r="J127">
        <v>30000</v>
      </c>
    </row>
    <row r="128" spans="2:10" x14ac:dyDescent="0.25">
      <c r="B128" t="s">
        <v>512</v>
      </c>
      <c r="C128">
        <v>0.63790000000000002</v>
      </c>
      <c r="D128">
        <v>0.90490000000000004</v>
      </c>
      <c r="E128">
        <v>5.215E-3</v>
      </c>
      <c r="F128" s="13">
        <v>6.0409999999999999E-4</v>
      </c>
      <c r="G128">
        <v>0.28989999999999999</v>
      </c>
      <c r="H128">
        <v>3.1960000000000002</v>
      </c>
      <c r="I128">
        <v>10001</v>
      </c>
      <c r="J128">
        <v>30000</v>
      </c>
    </row>
    <row r="129" spans="2:10" x14ac:dyDescent="0.25">
      <c r="B129" t="s">
        <v>513</v>
      </c>
      <c r="C129">
        <v>1.0640000000000001</v>
      </c>
      <c r="D129">
        <v>1.462</v>
      </c>
      <c r="E129">
        <v>1.3270000000000001E-2</v>
      </c>
      <c r="F129">
        <v>1.013E-3</v>
      </c>
      <c r="G129">
        <v>0.49909999999999999</v>
      </c>
      <c r="H129">
        <v>5.2450000000000001</v>
      </c>
      <c r="I129">
        <v>10001</v>
      </c>
      <c r="J129">
        <v>30000</v>
      </c>
    </row>
    <row r="130" spans="2:10" x14ac:dyDescent="0.25">
      <c r="B130" t="s">
        <v>514</v>
      </c>
      <c r="C130">
        <v>1.2170000000000001</v>
      </c>
      <c r="D130">
        <v>1.613</v>
      </c>
      <c r="E130">
        <v>1.21E-2</v>
      </c>
      <c r="F130">
        <v>1.256E-3</v>
      </c>
      <c r="G130">
        <v>0.59399999999999997</v>
      </c>
      <c r="H130">
        <v>5.7430000000000003</v>
      </c>
      <c r="I130">
        <v>10001</v>
      </c>
      <c r="J130">
        <v>30000</v>
      </c>
    </row>
    <row r="131" spans="2:10" x14ac:dyDescent="0.25">
      <c r="B131" t="s">
        <v>515</v>
      </c>
      <c r="C131">
        <v>1.1679999999999999</v>
      </c>
      <c r="D131">
        <v>1.4610000000000001</v>
      </c>
      <c r="E131">
        <v>1.136E-2</v>
      </c>
      <c r="F131">
        <v>1.371E-3</v>
      </c>
      <c r="G131">
        <v>0.62039999999999995</v>
      </c>
      <c r="H131">
        <v>5.24</v>
      </c>
      <c r="I131">
        <v>10001</v>
      </c>
      <c r="J131">
        <v>30000</v>
      </c>
    </row>
    <row r="132" spans="2:10" x14ac:dyDescent="0.25">
      <c r="B132" t="s">
        <v>516</v>
      </c>
      <c r="C132">
        <v>0.96989999999999998</v>
      </c>
      <c r="D132">
        <v>1.3149999999999999</v>
      </c>
      <c r="E132">
        <v>8.0809999999999996E-3</v>
      </c>
      <c r="F132" s="13">
        <v>9.0720000000000004E-4</v>
      </c>
      <c r="G132">
        <v>0.4541</v>
      </c>
      <c r="H132">
        <v>4.7009999999999996</v>
      </c>
      <c r="I132">
        <v>10001</v>
      </c>
      <c r="J132">
        <v>30000</v>
      </c>
    </row>
    <row r="133" spans="2:10" x14ac:dyDescent="0.25">
      <c r="B133" t="s">
        <v>517</v>
      </c>
      <c r="C133">
        <v>0.59660000000000002</v>
      </c>
      <c r="D133">
        <v>0.87380000000000002</v>
      </c>
      <c r="E133">
        <v>6.28E-3</v>
      </c>
      <c r="F133" s="13">
        <v>5.6780000000000003E-4</v>
      </c>
      <c r="G133">
        <v>0.26100000000000001</v>
      </c>
      <c r="H133">
        <v>3.07</v>
      </c>
      <c r="I133">
        <v>10001</v>
      </c>
      <c r="J133">
        <v>30000</v>
      </c>
    </row>
    <row r="134" spans="2:10" x14ac:dyDescent="0.25">
      <c r="B134" t="s">
        <v>518</v>
      </c>
      <c r="C134">
        <v>0.97360000000000002</v>
      </c>
      <c r="D134">
        <v>1.3480000000000001</v>
      </c>
      <c r="E134">
        <v>7.8059999999999996E-3</v>
      </c>
      <c r="F134" s="13">
        <v>9.7830000000000009E-4</v>
      </c>
      <c r="G134">
        <v>0.4516</v>
      </c>
      <c r="H134">
        <v>4.8490000000000002</v>
      </c>
      <c r="I134">
        <v>10001</v>
      </c>
      <c r="J134">
        <v>30000</v>
      </c>
    </row>
    <row r="135" spans="2:10" x14ac:dyDescent="0.25">
      <c r="B135" t="s">
        <v>519</v>
      </c>
      <c r="C135">
        <v>0.6139</v>
      </c>
      <c r="D135">
        <v>0.89129999999999998</v>
      </c>
      <c r="E135">
        <v>6.1830000000000001E-3</v>
      </c>
      <c r="F135" s="13">
        <v>5.2360000000000004E-4</v>
      </c>
      <c r="G135">
        <v>0.26989999999999997</v>
      </c>
      <c r="H135">
        <v>3.1669999999999998</v>
      </c>
      <c r="I135">
        <v>10001</v>
      </c>
      <c r="J135">
        <v>30000</v>
      </c>
    </row>
    <row r="136" spans="2:10" x14ac:dyDescent="0.25">
      <c r="B136" t="s">
        <v>520</v>
      </c>
      <c r="C136">
        <v>0.74880000000000002</v>
      </c>
      <c r="D136">
        <v>1.0489999999999999</v>
      </c>
      <c r="E136">
        <v>6.8399999999999997E-3</v>
      </c>
      <c r="F136" s="13">
        <v>6.7630000000000001E-4</v>
      </c>
      <c r="G136">
        <v>0.3488</v>
      </c>
      <c r="H136">
        <v>3.7240000000000002</v>
      </c>
      <c r="I136">
        <v>10001</v>
      </c>
      <c r="J136">
        <v>30000</v>
      </c>
    </row>
    <row r="137" spans="2:10" x14ac:dyDescent="0.25">
      <c r="B137" t="s">
        <v>521</v>
      </c>
      <c r="C137">
        <v>1.2210000000000001</v>
      </c>
      <c r="D137">
        <v>1.64</v>
      </c>
      <c r="E137">
        <v>1.669E-2</v>
      </c>
      <c r="F137">
        <v>1.49E-3</v>
      </c>
      <c r="G137">
        <v>0.58760000000000001</v>
      </c>
      <c r="H137">
        <v>5.9240000000000004</v>
      </c>
      <c r="I137">
        <v>10001</v>
      </c>
      <c r="J137">
        <v>30000</v>
      </c>
    </row>
    <row r="138" spans="2:10" x14ac:dyDescent="0.25">
      <c r="B138" t="s">
        <v>522</v>
      </c>
      <c r="C138">
        <v>1.226</v>
      </c>
      <c r="D138">
        <v>1.6339999999999999</v>
      </c>
      <c r="E138">
        <v>1.4449999999999999E-2</v>
      </c>
      <c r="F138">
        <v>1.158E-3</v>
      </c>
      <c r="G138">
        <v>0.5978</v>
      </c>
      <c r="H138">
        <v>5.907</v>
      </c>
      <c r="I138">
        <v>10001</v>
      </c>
      <c r="J138">
        <v>30000</v>
      </c>
    </row>
    <row r="139" spans="2:10" x14ac:dyDescent="0.25">
      <c r="B139" t="s">
        <v>523</v>
      </c>
      <c r="C139">
        <v>1.673</v>
      </c>
      <c r="D139">
        <v>1.863</v>
      </c>
      <c r="E139">
        <v>2.264E-2</v>
      </c>
      <c r="F139">
        <v>2.8549999999999999E-3</v>
      </c>
      <c r="G139">
        <v>1.046</v>
      </c>
      <c r="H139">
        <v>6.718</v>
      </c>
      <c r="I139">
        <v>10001</v>
      </c>
      <c r="J139">
        <v>30000</v>
      </c>
    </row>
    <row r="140" spans="2:10" x14ac:dyDescent="0.25">
      <c r="B140" t="s">
        <v>524</v>
      </c>
      <c r="C140">
        <v>1.2390000000000001</v>
      </c>
      <c r="D140">
        <v>1.645</v>
      </c>
      <c r="E140">
        <v>1.009E-2</v>
      </c>
      <c r="F140">
        <v>1.3960000000000001E-3</v>
      </c>
      <c r="G140">
        <v>0.60350000000000004</v>
      </c>
      <c r="H140">
        <v>5.8680000000000003</v>
      </c>
      <c r="I140">
        <v>10001</v>
      </c>
      <c r="J140">
        <v>30000</v>
      </c>
    </row>
    <row r="141" spans="2:10" x14ac:dyDescent="0.25">
      <c r="B141" t="s">
        <v>525</v>
      </c>
      <c r="C141">
        <v>1.071</v>
      </c>
      <c r="D141">
        <v>1.42</v>
      </c>
      <c r="E141">
        <v>1.2200000000000001E-2</v>
      </c>
      <c r="F141">
        <v>1.3140000000000001E-3</v>
      </c>
      <c r="G141">
        <v>0.52449999999999997</v>
      </c>
      <c r="H141">
        <v>5.0250000000000004</v>
      </c>
      <c r="I141">
        <v>10001</v>
      </c>
      <c r="J141">
        <v>30000</v>
      </c>
    </row>
    <row r="142" spans="2:10" x14ac:dyDescent="0.25">
      <c r="B142" t="s">
        <v>526</v>
      </c>
      <c r="C142">
        <v>0.97609999999999997</v>
      </c>
      <c r="D142">
        <v>1.3640000000000001</v>
      </c>
      <c r="E142">
        <v>9.1970000000000003E-3</v>
      </c>
      <c r="F142">
        <v>1.047E-3</v>
      </c>
      <c r="G142">
        <v>0.44990000000000002</v>
      </c>
      <c r="H142">
        <v>4.8789999999999996</v>
      </c>
      <c r="I142">
        <v>10001</v>
      </c>
      <c r="J142">
        <v>30000</v>
      </c>
    </row>
    <row r="143" spans="2:10" x14ac:dyDescent="0.25">
      <c r="B143" t="s">
        <v>527</v>
      </c>
      <c r="C143">
        <v>1.4059999999999999</v>
      </c>
      <c r="D143">
        <v>1.849</v>
      </c>
      <c r="E143">
        <v>2.461E-2</v>
      </c>
      <c r="F143">
        <v>1.578E-3</v>
      </c>
      <c r="G143">
        <v>0.69920000000000004</v>
      </c>
      <c r="H143">
        <v>6.5940000000000003</v>
      </c>
      <c r="I143">
        <v>10001</v>
      </c>
      <c r="J143">
        <v>30000</v>
      </c>
    </row>
    <row r="144" spans="2:10" x14ac:dyDescent="0.25">
      <c r="B144" t="s">
        <v>528</v>
      </c>
      <c r="C144">
        <v>1.2969999999999999</v>
      </c>
      <c r="D144">
        <v>1.7210000000000001</v>
      </c>
      <c r="E144">
        <v>1.7829999999999999E-2</v>
      </c>
      <c r="F144">
        <v>1.2229999999999999E-3</v>
      </c>
      <c r="G144">
        <v>0.62649999999999995</v>
      </c>
      <c r="H144">
        <v>6.125</v>
      </c>
      <c r="I144">
        <v>10001</v>
      </c>
      <c r="J144">
        <v>30000</v>
      </c>
    </row>
    <row r="145" spans="2:10" x14ac:dyDescent="0.25">
      <c r="B145" t="s">
        <v>529</v>
      </c>
      <c r="C145">
        <v>0.98870000000000002</v>
      </c>
      <c r="D145">
        <v>1.379</v>
      </c>
      <c r="E145">
        <v>1.528E-2</v>
      </c>
      <c r="F145" s="13">
        <v>9.8109999999999994E-4</v>
      </c>
      <c r="G145">
        <v>0.45319999999999999</v>
      </c>
      <c r="H145">
        <v>4.907</v>
      </c>
      <c r="I145">
        <v>10001</v>
      </c>
      <c r="J145">
        <v>30000</v>
      </c>
    </row>
    <row r="146" spans="2:10" x14ac:dyDescent="0.25">
      <c r="B146" t="s">
        <v>530</v>
      </c>
      <c r="C146">
        <v>0.94569999999999999</v>
      </c>
      <c r="D146">
        <v>1.323</v>
      </c>
      <c r="E146">
        <v>1.6910000000000001E-2</v>
      </c>
      <c r="F146" s="13">
        <v>8.2240000000000004E-4</v>
      </c>
      <c r="G146">
        <v>0.43890000000000001</v>
      </c>
      <c r="H146">
        <v>4.7069999999999999</v>
      </c>
      <c r="I146">
        <v>10001</v>
      </c>
      <c r="J146">
        <v>30000</v>
      </c>
    </row>
    <row r="147" spans="2:10" x14ac:dyDescent="0.25">
      <c r="B147" t="s">
        <v>531</v>
      </c>
      <c r="C147">
        <v>0.84279999999999999</v>
      </c>
      <c r="D147">
        <v>1.1839999999999999</v>
      </c>
      <c r="E147">
        <v>8.2819999999999994E-3</v>
      </c>
      <c r="F147" s="13">
        <v>9.2659999999999997E-4</v>
      </c>
      <c r="G147">
        <v>0.38140000000000002</v>
      </c>
      <c r="H147">
        <v>4.2270000000000003</v>
      </c>
      <c r="I147">
        <v>10001</v>
      </c>
      <c r="J147">
        <v>30000</v>
      </c>
    </row>
    <row r="148" spans="2:10" x14ac:dyDescent="0.25">
      <c r="B148" t="s">
        <v>532</v>
      </c>
      <c r="C148">
        <v>0.75739999999999996</v>
      </c>
      <c r="D148">
        <v>1.0740000000000001</v>
      </c>
      <c r="E148">
        <v>6.8479999999999999E-3</v>
      </c>
      <c r="F148" s="13">
        <v>6.5760000000000005E-4</v>
      </c>
      <c r="G148">
        <v>0.34139999999999998</v>
      </c>
      <c r="H148">
        <v>3.802</v>
      </c>
      <c r="I148">
        <v>10001</v>
      </c>
      <c r="J148">
        <v>30000</v>
      </c>
    </row>
    <row r="149" spans="2:10" x14ac:dyDescent="0.25">
      <c r="B149" t="s">
        <v>533</v>
      </c>
      <c r="C149">
        <v>0.62609999999999999</v>
      </c>
      <c r="D149">
        <v>0.91390000000000005</v>
      </c>
      <c r="E149">
        <v>6.1469999999999997E-3</v>
      </c>
      <c r="F149" s="13">
        <v>6.1359999999999995E-4</v>
      </c>
      <c r="G149">
        <v>0.27950000000000003</v>
      </c>
      <c r="H149">
        <v>3.2189999999999999</v>
      </c>
      <c r="I149">
        <v>10001</v>
      </c>
      <c r="J149">
        <v>30000</v>
      </c>
    </row>
    <row r="150" spans="2:10" x14ac:dyDescent="0.25">
      <c r="B150" t="s">
        <v>534</v>
      </c>
      <c r="C150">
        <v>0.81459999999999999</v>
      </c>
      <c r="D150">
        <v>1.135</v>
      </c>
      <c r="E150">
        <v>6.4640000000000001E-3</v>
      </c>
      <c r="F150" s="13">
        <v>8.1150000000000005E-4</v>
      </c>
      <c r="G150">
        <v>0.37859999999999999</v>
      </c>
      <c r="H150">
        <v>4.077</v>
      </c>
      <c r="I150">
        <v>10001</v>
      </c>
      <c r="J150">
        <v>30000</v>
      </c>
    </row>
    <row r="151" spans="2:10" x14ac:dyDescent="0.25">
      <c r="B151" t="s">
        <v>535</v>
      </c>
      <c r="C151">
        <v>0.66920000000000002</v>
      </c>
      <c r="D151">
        <v>0.94779999999999998</v>
      </c>
      <c r="E151">
        <v>7.6189999999999999E-3</v>
      </c>
      <c r="F151" s="13">
        <v>6.4789999999999997E-4</v>
      </c>
      <c r="G151">
        <v>0.30430000000000001</v>
      </c>
      <c r="H151">
        <v>3.3239999999999998</v>
      </c>
      <c r="I151">
        <v>10001</v>
      </c>
      <c r="J151">
        <v>30000</v>
      </c>
    </row>
    <row r="152" spans="2:10" x14ac:dyDescent="0.25">
      <c r="B152" t="s">
        <v>536</v>
      </c>
      <c r="C152">
        <v>0.82620000000000005</v>
      </c>
      <c r="D152">
        <v>1.1639999999999999</v>
      </c>
      <c r="E152">
        <v>6.6769999999999998E-3</v>
      </c>
      <c r="F152" s="13">
        <v>9.01E-4</v>
      </c>
      <c r="G152">
        <v>0.37480000000000002</v>
      </c>
      <c r="H152">
        <v>4.1340000000000003</v>
      </c>
      <c r="I152">
        <v>10001</v>
      </c>
      <c r="J152">
        <v>30000</v>
      </c>
    </row>
    <row r="153" spans="2:10" x14ac:dyDescent="0.25">
      <c r="B153" t="s">
        <v>537</v>
      </c>
      <c r="C153">
        <v>0.64839999999999998</v>
      </c>
      <c r="D153">
        <v>0.89339999999999997</v>
      </c>
      <c r="E153">
        <v>6.489E-3</v>
      </c>
      <c r="F153" s="13">
        <v>5.9400000000000002E-4</v>
      </c>
      <c r="G153">
        <v>0.30530000000000002</v>
      </c>
      <c r="H153">
        <v>3.1749999999999998</v>
      </c>
      <c r="I153">
        <v>10001</v>
      </c>
      <c r="J153">
        <v>30000</v>
      </c>
    </row>
    <row r="154" spans="2:10" x14ac:dyDescent="0.25">
      <c r="B154" t="s">
        <v>538</v>
      </c>
      <c r="C154">
        <v>0.70720000000000005</v>
      </c>
      <c r="D154">
        <v>1.004</v>
      </c>
      <c r="E154">
        <v>5.8529999999999997E-3</v>
      </c>
      <c r="F154" s="13">
        <v>6.5890000000000002E-4</v>
      </c>
      <c r="G154">
        <v>0.32240000000000002</v>
      </c>
      <c r="H154">
        <v>3.5379999999999998</v>
      </c>
      <c r="I154">
        <v>10001</v>
      </c>
      <c r="J154">
        <v>30000</v>
      </c>
    </row>
    <row r="155" spans="2:10" x14ac:dyDescent="0.25">
      <c r="B155" t="s">
        <v>539</v>
      </c>
      <c r="C155">
        <v>0.65380000000000005</v>
      </c>
      <c r="D155">
        <v>0.92179999999999995</v>
      </c>
      <c r="E155">
        <v>6.3769999999999999E-3</v>
      </c>
      <c r="F155" s="13">
        <v>6.089E-4</v>
      </c>
      <c r="G155">
        <v>0.29599999999999999</v>
      </c>
      <c r="H155">
        <v>3.2719999999999998</v>
      </c>
      <c r="I155">
        <v>10001</v>
      </c>
      <c r="J155">
        <v>30000</v>
      </c>
    </row>
    <row r="156" spans="2:10" x14ac:dyDescent="0.25">
      <c r="B156" t="s">
        <v>540</v>
      </c>
      <c r="C156">
        <v>0.68240000000000001</v>
      </c>
      <c r="D156">
        <v>0.97130000000000005</v>
      </c>
      <c r="E156">
        <v>5.94E-3</v>
      </c>
      <c r="F156" s="13">
        <v>6.6239999999999995E-4</v>
      </c>
      <c r="G156">
        <v>0.30919999999999997</v>
      </c>
      <c r="H156">
        <v>3.4550000000000001</v>
      </c>
      <c r="I156">
        <v>10001</v>
      </c>
      <c r="J156">
        <v>30000</v>
      </c>
    </row>
    <row r="157" spans="2:10" x14ac:dyDescent="0.25">
      <c r="B157" t="s">
        <v>541</v>
      </c>
      <c r="C157">
        <v>0.65590000000000004</v>
      </c>
      <c r="D157">
        <v>0.94389999999999996</v>
      </c>
      <c r="E157">
        <v>5.8799999999999998E-3</v>
      </c>
      <c r="F157" s="13">
        <v>6.4479999999999995E-4</v>
      </c>
      <c r="G157">
        <v>0.2913</v>
      </c>
      <c r="H157">
        <v>3.3290000000000002</v>
      </c>
      <c r="I157">
        <v>10001</v>
      </c>
      <c r="J157">
        <v>30000</v>
      </c>
    </row>
    <row r="158" spans="2:10" x14ac:dyDescent="0.25">
      <c r="B158" t="s">
        <v>542</v>
      </c>
      <c r="C158">
        <v>0.70440000000000003</v>
      </c>
      <c r="D158">
        <v>0.9506</v>
      </c>
      <c r="E158">
        <v>6.1450000000000003E-3</v>
      </c>
      <c r="F158" s="13">
        <v>8.1450000000000001E-4</v>
      </c>
      <c r="G158">
        <v>0.33500000000000002</v>
      </c>
      <c r="H158">
        <v>3.415</v>
      </c>
      <c r="I158">
        <v>10001</v>
      </c>
      <c r="J158">
        <v>30000</v>
      </c>
    </row>
    <row r="159" spans="2:10" x14ac:dyDescent="0.25">
      <c r="B159" t="s">
        <v>543</v>
      </c>
      <c r="C159">
        <v>1.159</v>
      </c>
      <c r="D159">
        <v>1.593</v>
      </c>
      <c r="E159">
        <v>1.678E-2</v>
      </c>
      <c r="F159">
        <v>1.1900000000000001E-3</v>
      </c>
      <c r="G159">
        <v>0.53690000000000004</v>
      </c>
      <c r="H159">
        <v>5.7240000000000002</v>
      </c>
      <c r="I159">
        <v>10001</v>
      </c>
      <c r="J159">
        <v>30000</v>
      </c>
    </row>
    <row r="160" spans="2:10" x14ac:dyDescent="0.25">
      <c r="B160" t="s">
        <v>544</v>
      </c>
      <c r="C160">
        <v>1.294</v>
      </c>
      <c r="D160">
        <v>1.7370000000000001</v>
      </c>
      <c r="E160">
        <v>1.6E-2</v>
      </c>
      <c r="F160">
        <v>1.224E-3</v>
      </c>
      <c r="G160">
        <v>0.628</v>
      </c>
      <c r="H160">
        <v>6.226</v>
      </c>
      <c r="I160">
        <v>10001</v>
      </c>
      <c r="J160">
        <v>30000</v>
      </c>
    </row>
    <row r="161" spans="2:10" x14ac:dyDescent="0.25">
      <c r="B161" t="s">
        <v>545</v>
      </c>
      <c r="C161">
        <v>0.87929999999999997</v>
      </c>
      <c r="D161">
        <v>1.2390000000000001</v>
      </c>
      <c r="E161">
        <v>9.7040000000000008E-3</v>
      </c>
      <c r="F161" s="13">
        <v>7.871E-4</v>
      </c>
      <c r="G161">
        <v>0.40079999999999999</v>
      </c>
      <c r="H161">
        <v>4.3849999999999998</v>
      </c>
      <c r="I161">
        <v>10001</v>
      </c>
      <c r="J161">
        <v>30000</v>
      </c>
    </row>
    <row r="162" spans="2:10" x14ac:dyDescent="0.25">
      <c r="B162" t="s">
        <v>546</v>
      </c>
      <c r="C162">
        <v>0.86180000000000001</v>
      </c>
      <c r="D162">
        <v>1.2310000000000001</v>
      </c>
      <c r="E162">
        <v>7.9950000000000004E-3</v>
      </c>
      <c r="F162" s="13">
        <v>8.8329999999999995E-4</v>
      </c>
      <c r="G162">
        <v>0.38290000000000002</v>
      </c>
      <c r="H162">
        <v>4.3289999999999997</v>
      </c>
      <c r="I162">
        <v>10001</v>
      </c>
      <c r="J162">
        <v>30000</v>
      </c>
    </row>
    <row r="163" spans="2:10" x14ac:dyDescent="0.25">
      <c r="B163" t="s">
        <v>547</v>
      </c>
      <c r="C163">
        <v>0.74380000000000002</v>
      </c>
      <c r="D163">
        <v>1.05</v>
      </c>
      <c r="E163">
        <v>6.5680000000000001E-3</v>
      </c>
      <c r="F163" s="13">
        <v>8.0349999999999996E-4</v>
      </c>
      <c r="G163">
        <v>0.34139999999999998</v>
      </c>
      <c r="H163">
        <v>3.7010000000000001</v>
      </c>
      <c r="I163">
        <v>10001</v>
      </c>
      <c r="J163">
        <v>30000</v>
      </c>
    </row>
    <row r="164" spans="2:10" x14ac:dyDescent="0.25">
      <c r="B164" t="s">
        <v>548</v>
      </c>
      <c r="C164">
        <v>0.52480000000000004</v>
      </c>
      <c r="D164">
        <v>0.7248</v>
      </c>
      <c r="E164">
        <v>4.9810000000000002E-3</v>
      </c>
      <c r="F164" s="13">
        <v>6.489E-4</v>
      </c>
      <c r="G164">
        <v>0.2437</v>
      </c>
      <c r="H164">
        <v>2.5870000000000002</v>
      </c>
      <c r="I164">
        <v>10001</v>
      </c>
      <c r="J164">
        <v>30000</v>
      </c>
    </row>
    <row r="165" spans="2:10" x14ac:dyDescent="0.25">
      <c r="B165" t="s">
        <v>549</v>
      </c>
      <c r="C165">
        <v>0.72250000000000003</v>
      </c>
      <c r="D165">
        <v>1.0429999999999999</v>
      </c>
      <c r="E165">
        <v>6.5900000000000004E-3</v>
      </c>
      <c r="F165" s="13">
        <v>6.9609999999999995E-4</v>
      </c>
      <c r="G165">
        <v>0.32719999999999999</v>
      </c>
      <c r="H165">
        <v>3.657</v>
      </c>
      <c r="I165">
        <v>10001</v>
      </c>
      <c r="J165">
        <v>30000</v>
      </c>
    </row>
    <row r="166" spans="2:10" x14ac:dyDescent="0.25">
      <c r="B166" t="s">
        <v>550</v>
      </c>
      <c r="C166">
        <v>0.622</v>
      </c>
      <c r="D166">
        <v>0.90869999999999995</v>
      </c>
      <c r="E166">
        <v>5.5649999999999996E-3</v>
      </c>
      <c r="F166" s="13">
        <v>5.3700000000000004E-4</v>
      </c>
      <c r="G166">
        <v>0.27650000000000002</v>
      </c>
      <c r="H166">
        <v>3.2170000000000001</v>
      </c>
      <c r="I166">
        <v>10001</v>
      </c>
      <c r="J166">
        <v>30000</v>
      </c>
    </row>
    <row r="167" spans="2:10" x14ac:dyDescent="0.25">
      <c r="B167" t="s">
        <v>551</v>
      </c>
      <c r="C167">
        <v>1.073</v>
      </c>
      <c r="D167">
        <v>1.5049999999999999</v>
      </c>
      <c r="E167">
        <v>1.021E-2</v>
      </c>
      <c r="F167">
        <v>1.1709999999999999E-3</v>
      </c>
      <c r="G167">
        <v>0.4995</v>
      </c>
      <c r="H167">
        <v>5.2649999999999997</v>
      </c>
      <c r="I167">
        <v>10001</v>
      </c>
      <c r="J167">
        <v>30000</v>
      </c>
    </row>
    <row r="168" spans="2:10" x14ac:dyDescent="0.25">
      <c r="B168" t="s">
        <v>552</v>
      </c>
      <c r="C168">
        <v>1.03</v>
      </c>
      <c r="D168">
        <v>1.23</v>
      </c>
      <c r="E168">
        <v>1.468E-2</v>
      </c>
      <c r="F168">
        <v>1.503E-3</v>
      </c>
      <c r="G168">
        <v>0.5998</v>
      </c>
      <c r="H168">
        <v>4.3890000000000002</v>
      </c>
      <c r="I168">
        <v>10001</v>
      </c>
      <c r="J168">
        <v>30000</v>
      </c>
    </row>
    <row r="169" spans="2:10" x14ac:dyDescent="0.25">
      <c r="B169" t="s">
        <v>553</v>
      </c>
      <c r="C169">
        <v>2.1349999999999998</v>
      </c>
      <c r="D169">
        <v>2.5070000000000001</v>
      </c>
      <c r="E169">
        <v>4.0309999999999999E-2</v>
      </c>
      <c r="F169">
        <v>2.9129999999999998E-3</v>
      </c>
      <c r="G169">
        <v>1.256</v>
      </c>
      <c r="H169">
        <v>8.9429999999999996</v>
      </c>
      <c r="I169">
        <v>10001</v>
      </c>
      <c r="J169">
        <v>30000</v>
      </c>
    </row>
    <row r="170" spans="2:10" x14ac:dyDescent="0.25">
      <c r="B170" t="s">
        <v>554</v>
      </c>
      <c r="C170">
        <v>2.0720000000000001</v>
      </c>
      <c r="D170">
        <v>2.4700000000000002</v>
      </c>
      <c r="E170">
        <v>3.3739999999999999E-2</v>
      </c>
      <c r="F170">
        <v>2.6800000000000001E-3</v>
      </c>
      <c r="G170">
        <v>1.18</v>
      </c>
      <c r="H170">
        <v>8.9239999999999995</v>
      </c>
      <c r="I170">
        <v>10001</v>
      </c>
      <c r="J170">
        <v>30000</v>
      </c>
    </row>
    <row r="171" spans="2:10" x14ac:dyDescent="0.25">
      <c r="B171" t="s">
        <v>555</v>
      </c>
      <c r="C171">
        <v>1.2470000000000001</v>
      </c>
      <c r="D171">
        <v>1.5489999999999999</v>
      </c>
      <c r="E171">
        <v>1.6820000000000002E-2</v>
      </c>
      <c r="F171">
        <v>1.5709999999999999E-3</v>
      </c>
      <c r="G171">
        <v>0.67320000000000002</v>
      </c>
      <c r="H171">
        <v>5.5419999999999998</v>
      </c>
      <c r="I171">
        <v>10001</v>
      </c>
      <c r="J171">
        <v>30000</v>
      </c>
    </row>
    <row r="172" spans="2:10" x14ac:dyDescent="0.25">
      <c r="B172" t="s">
        <v>556</v>
      </c>
      <c r="C172">
        <v>1.212</v>
      </c>
      <c r="D172">
        <v>1.58</v>
      </c>
      <c r="E172">
        <v>1.3129999999999999E-2</v>
      </c>
      <c r="F172">
        <v>1.358E-3</v>
      </c>
      <c r="G172">
        <v>0.6139</v>
      </c>
      <c r="H172">
        <v>5.6870000000000003</v>
      </c>
      <c r="I172">
        <v>10001</v>
      </c>
      <c r="J172">
        <v>30000</v>
      </c>
    </row>
    <row r="173" spans="2:10" x14ac:dyDescent="0.25">
      <c r="B173" t="s">
        <v>557</v>
      </c>
      <c r="C173">
        <v>0.77900000000000003</v>
      </c>
      <c r="D173">
        <v>1.107</v>
      </c>
      <c r="E173">
        <v>8.5710000000000005E-3</v>
      </c>
      <c r="F173" s="13">
        <v>6.7290000000000004E-4</v>
      </c>
      <c r="G173">
        <v>0.35570000000000002</v>
      </c>
      <c r="H173">
        <v>3.9239999999999999</v>
      </c>
      <c r="I173">
        <v>10001</v>
      </c>
      <c r="J173">
        <v>30000</v>
      </c>
    </row>
    <row r="174" spans="2:10" x14ac:dyDescent="0.25">
      <c r="B174" t="s">
        <v>558</v>
      </c>
      <c r="C174">
        <v>0.78310000000000002</v>
      </c>
      <c r="D174">
        <v>1.1000000000000001</v>
      </c>
      <c r="E174">
        <v>7.7559999999999999E-3</v>
      </c>
      <c r="F174" s="13">
        <v>7.6990000000000001E-4</v>
      </c>
      <c r="G174">
        <v>0.35539999999999999</v>
      </c>
      <c r="H174">
        <v>3.8980000000000001</v>
      </c>
      <c r="I174">
        <v>10001</v>
      </c>
      <c r="J174">
        <v>30000</v>
      </c>
    </row>
    <row r="175" spans="2:10" x14ac:dyDescent="0.25">
      <c r="B175" t="s">
        <v>559</v>
      </c>
      <c r="C175">
        <v>0.62450000000000006</v>
      </c>
      <c r="D175">
        <v>0.89629999999999999</v>
      </c>
      <c r="E175">
        <v>5.9890000000000004E-3</v>
      </c>
      <c r="F175" s="13">
        <v>5.8909999999999995E-4</v>
      </c>
      <c r="G175">
        <v>0.27879999999999999</v>
      </c>
      <c r="H175">
        <v>3.161</v>
      </c>
      <c r="I175">
        <v>10001</v>
      </c>
      <c r="J175">
        <v>30000</v>
      </c>
    </row>
    <row r="176" spans="2:10" x14ac:dyDescent="0.25">
      <c r="B176" t="s">
        <v>560</v>
      </c>
      <c r="C176">
        <v>0.77739999999999998</v>
      </c>
      <c r="D176">
        <v>1.0669999999999999</v>
      </c>
      <c r="E176">
        <v>6.8170000000000001E-3</v>
      </c>
      <c r="F176" s="13">
        <v>7.3820000000000005E-4</v>
      </c>
      <c r="G176">
        <v>0.3614</v>
      </c>
      <c r="H176">
        <v>3.8149999999999999</v>
      </c>
      <c r="I176">
        <v>10001</v>
      </c>
      <c r="J176">
        <v>30000</v>
      </c>
    </row>
    <row r="177" spans="2:10" x14ac:dyDescent="0.25">
      <c r="B177" t="s">
        <v>561</v>
      </c>
      <c r="C177">
        <v>2.5330000000000001E-3</v>
      </c>
      <c r="D177">
        <v>5.0270000000000002E-2</v>
      </c>
      <c r="E177" s="13">
        <v>4.2470000000000002E-4</v>
      </c>
      <c r="F177">
        <v>0</v>
      </c>
      <c r="G177">
        <v>0</v>
      </c>
      <c r="H177">
        <v>0</v>
      </c>
      <c r="I177">
        <v>10001</v>
      </c>
      <c r="J177">
        <v>30000</v>
      </c>
    </row>
    <row r="178" spans="2:10" x14ac:dyDescent="0.25">
      <c r="B178" t="s">
        <v>562</v>
      </c>
      <c r="C178">
        <v>1.44E-2</v>
      </c>
      <c r="D178">
        <v>0.1191</v>
      </c>
      <c r="E178" s="13">
        <v>9.0260000000000004E-4</v>
      </c>
      <c r="F178">
        <v>0</v>
      </c>
      <c r="G178">
        <v>0</v>
      </c>
      <c r="H178">
        <v>0</v>
      </c>
      <c r="I178">
        <v>10001</v>
      </c>
      <c r="J178">
        <v>30000</v>
      </c>
    </row>
    <row r="179" spans="2:10" x14ac:dyDescent="0.25">
      <c r="B179" t="s">
        <v>563</v>
      </c>
      <c r="C179">
        <v>4.6699999999999998E-2</v>
      </c>
      <c r="D179">
        <v>0.21099999999999999</v>
      </c>
      <c r="E179">
        <v>1.9980000000000002E-3</v>
      </c>
      <c r="F179">
        <v>0</v>
      </c>
      <c r="G179">
        <v>0</v>
      </c>
      <c r="H179">
        <v>1</v>
      </c>
      <c r="I179">
        <v>10001</v>
      </c>
      <c r="J179">
        <v>30000</v>
      </c>
    </row>
    <row r="180" spans="2:10" x14ac:dyDescent="0.25">
      <c r="B180" t="s">
        <v>564</v>
      </c>
      <c r="C180">
        <v>0.12620000000000001</v>
      </c>
      <c r="D180">
        <v>0.33200000000000002</v>
      </c>
      <c r="E180">
        <v>3.2950000000000002E-3</v>
      </c>
      <c r="F180">
        <v>0</v>
      </c>
      <c r="G180">
        <v>0</v>
      </c>
      <c r="H180">
        <v>1</v>
      </c>
      <c r="I180">
        <v>10001</v>
      </c>
      <c r="J180">
        <v>30000</v>
      </c>
    </row>
    <row r="181" spans="2:10" x14ac:dyDescent="0.25">
      <c r="B181" t="s">
        <v>565</v>
      </c>
      <c r="C181">
        <v>0.28910000000000002</v>
      </c>
      <c r="D181">
        <v>0.45340000000000003</v>
      </c>
      <c r="E181">
        <v>5.7780000000000001E-3</v>
      </c>
      <c r="F181">
        <v>0</v>
      </c>
      <c r="G181">
        <v>0</v>
      </c>
      <c r="H181">
        <v>1</v>
      </c>
      <c r="I181">
        <v>10001</v>
      </c>
      <c r="J181">
        <v>30000</v>
      </c>
    </row>
    <row r="182" spans="2:10" x14ac:dyDescent="0.25">
      <c r="B182" t="s">
        <v>566</v>
      </c>
      <c r="C182">
        <v>0.3725</v>
      </c>
      <c r="D182">
        <v>0.48349999999999999</v>
      </c>
      <c r="E182">
        <v>5.2630000000000003E-3</v>
      </c>
      <c r="F182">
        <v>0</v>
      </c>
      <c r="G182">
        <v>0</v>
      </c>
      <c r="H182">
        <v>1</v>
      </c>
      <c r="I182">
        <v>10001</v>
      </c>
      <c r="J182">
        <v>30000</v>
      </c>
    </row>
    <row r="183" spans="2:10" x14ac:dyDescent="0.25">
      <c r="B183" t="s">
        <v>567</v>
      </c>
      <c r="C183">
        <v>0.1351</v>
      </c>
      <c r="D183">
        <v>0.34179999999999999</v>
      </c>
      <c r="E183">
        <v>3.7069999999999998E-3</v>
      </c>
      <c r="F183">
        <v>0</v>
      </c>
      <c r="G183">
        <v>0</v>
      </c>
      <c r="H183">
        <v>1</v>
      </c>
      <c r="I183">
        <v>10001</v>
      </c>
      <c r="J183">
        <v>30000</v>
      </c>
    </row>
    <row r="184" spans="2:10" x14ac:dyDescent="0.25">
      <c r="B184" t="s">
        <v>568</v>
      </c>
      <c r="C184">
        <v>1.2999999999999999E-2</v>
      </c>
      <c r="D184">
        <v>0.1133</v>
      </c>
      <c r="E184" s="13">
        <v>7.5429999999999996E-4</v>
      </c>
      <c r="F184">
        <v>0</v>
      </c>
      <c r="G184">
        <v>0</v>
      </c>
      <c r="H184">
        <v>0</v>
      </c>
      <c r="I184">
        <v>10001</v>
      </c>
      <c r="J184">
        <v>30000</v>
      </c>
    </row>
    <row r="185" spans="2:10" x14ac:dyDescent="0.25">
      <c r="B185" t="s">
        <v>569</v>
      </c>
      <c r="C185" s="13">
        <v>5.0000000000000001E-4</v>
      </c>
      <c r="D185">
        <v>2.2360000000000001E-2</v>
      </c>
      <c r="E185" s="13">
        <v>1.35E-4</v>
      </c>
      <c r="F185">
        <v>0</v>
      </c>
      <c r="G185">
        <v>0</v>
      </c>
      <c r="H185">
        <v>0</v>
      </c>
      <c r="I185">
        <v>10001</v>
      </c>
      <c r="J185">
        <v>30000</v>
      </c>
    </row>
    <row r="186" spans="2:10" x14ac:dyDescent="0.25">
      <c r="B186" t="s">
        <v>570</v>
      </c>
      <c r="C186">
        <v>0</v>
      </c>
      <c r="D186">
        <v>0</v>
      </c>
      <c r="E186" s="13">
        <v>3.333E-13</v>
      </c>
      <c r="F186">
        <v>0</v>
      </c>
      <c r="G186">
        <v>0</v>
      </c>
      <c r="H186">
        <v>0</v>
      </c>
      <c r="I186">
        <v>10001</v>
      </c>
      <c r="J186">
        <v>30000</v>
      </c>
    </row>
    <row r="187" spans="2:10" x14ac:dyDescent="0.25">
      <c r="B187" t="s">
        <v>571</v>
      </c>
      <c r="C187">
        <v>0</v>
      </c>
      <c r="D187">
        <v>0</v>
      </c>
      <c r="E187" s="13">
        <v>3.333E-13</v>
      </c>
      <c r="F187">
        <v>0</v>
      </c>
      <c r="G187">
        <v>0</v>
      </c>
      <c r="H187">
        <v>0</v>
      </c>
      <c r="I187">
        <v>10001</v>
      </c>
      <c r="J187">
        <v>30000</v>
      </c>
    </row>
    <row r="188" spans="2:10" x14ac:dyDescent="0.25">
      <c r="B188" t="s">
        <v>572</v>
      </c>
      <c r="C188">
        <v>0</v>
      </c>
      <c r="D188">
        <v>0</v>
      </c>
      <c r="E188" s="13">
        <v>3.333E-13</v>
      </c>
      <c r="F188">
        <v>0</v>
      </c>
      <c r="G188">
        <v>0</v>
      </c>
      <c r="H188">
        <v>0</v>
      </c>
      <c r="I188">
        <v>10001</v>
      </c>
      <c r="J188">
        <v>30000</v>
      </c>
    </row>
    <row r="189" spans="2:10" x14ac:dyDescent="0.25">
      <c r="B189" t="s">
        <v>573</v>
      </c>
      <c r="C189">
        <v>0</v>
      </c>
      <c r="D189">
        <v>0</v>
      </c>
      <c r="E189" s="13">
        <v>3.333E-13</v>
      </c>
      <c r="F189">
        <v>0</v>
      </c>
      <c r="G189">
        <v>0</v>
      </c>
      <c r="H189">
        <v>0</v>
      </c>
      <c r="I189">
        <v>10001</v>
      </c>
      <c r="J189">
        <v>30000</v>
      </c>
    </row>
    <row r="190" spans="2:10" x14ac:dyDescent="0.25">
      <c r="B190" t="s">
        <v>574</v>
      </c>
      <c r="C190" s="13">
        <v>2.9999999999999997E-4</v>
      </c>
      <c r="D190">
        <v>1.7319999999999999E-2</v>
      </c>
      <c r="E190" s="13">
        <v>1.097E-4</v>
      </c>
      <c r="F190">
        <v>0</v>
      </c>
      <c r="G190">
        <v>0</v>
      </c>
      <c r="H190">
        <v>0</v>
      </c>
      <c r="I190">
        <v>10001</v>
      </c>
      <c r="J190">
        <v>30000</v>
      </c>
    </row>
    <row r="191" spans="2:10" x14ac:dyDescent="0.25">
      <c r="B191" t="s">
        <v>575</v>
      </c>
      <c r="C191">
        <v>1.567E-3</v>
      </c>
      <c r="D191">
        <v>3.9550000000000002E-2</v>
      </c>
      <c r="E191" s="13">
        <v>2.499E-4</v>
      </c>
      <c r="F191">
        <v>0</v>
      </c>
      <c r="G191">
        <v>0</v>
      </c>
      <c r="H191">
        <v>0</v>
      </c>
      <c r="I191">
        <v>10001</v>
      </c>
      <c r="J191">
        <v>30000</v>
      </c>
    </row>
    <row r="192" spans="2:10" x14ac:dyDescent="0.25">
      <c r="B192" t="s">
        <v>576</v>
      </c>
      <c r="C192">
        <v>1.7500000000000002E-2</v>
      </c>
      <c r="D192">
        <v>0.13109999999999999</v>
      </c>
      <c r="E192" s="13">
        <v>9.7570000000000003E-4</v>
      </c>
      <c r="F192">
        <v>0</v>
      </c>
      <c r="G192">
        <v>0</v>
      </c>
      <c r="H192">
        <v>0</v>
      </c>
      <c r="I192">
        <v>10001</v>
      </c>
      <c r="J192">
        <v>30000</v>
      </c>
    </row>
    <row r="193" spans="2:10" x14ac:dyDescent="0.25">
      <c r="B193" t="s">
        <v>577</v>
      </c>
      <c r="C193">
        <v>0.2354</v>
      </c>
      <c r="D193">
        <v>0.42420000000000002</v>
      </c>
      <c r="E193">
        <v>5.6090000000000003E-3</v>
      </c>
      <c r="F193">
        <v>0</v>
      </c>
      <c r="G193">
        <v>0</v>
      </c>
      <c r="H193">
        <v>1</v>
      </c>
      <c r="I193">
        <v>10001</v>
      </c>
      <c r="J193">
        <v>30000</v>
      </c>
    </row>
    <row r="194" spans="2:10" x14ac:dyDescent="0.25">
      <c r="B194" t="s">
        <v>578</v>
      </c>
      <c r="C194">
        <v>0.55449999999999999</v>
      </c>
      <c r="D194">
        <v>0.497</v>
      </c>
      <c r="E194">
        <v>5.097E-3</v>
      </c>
      <c r="F194">
        <v>0</v>
      </c>
      <c r="G194">
        <v>1</v>
      </c>
      <c r="H194">
        <v>1</v>
      </c>
      <c r="I194">
        <v>10001</v>
      </c>
      <c r="J194">
        <v>30000</v>
      </c>
    </row>
    <row r="195" spans="2:10" x14ac:dyDescent="0.25">
      <c r="B195" t="s">
        <v>579</v>
      </c>
      <c r="C195">
        <v>0.19070000000000001</v>
      </c>
      <c r="D195">
        <v>0.39290000000000003</v>
      </c>
      <c r="E195">
        <v>3.5660000000000002E-3</v>
      </c>
      <c r="F195">
        <v>0</v>
      </c>
      <c r="G195">
        <v>0</v>
      </c>
      <c r="H195">
        <v>1</v>
      </c>
      <c r="I195">
        <v>10001</v>
      </c>
      <c r="J195">
        <v>30000</v>
      </c>
    </row>
    <row r="196" spans="2:10" x14ac:dyDescent="0.25">
      <c r="B196" t="s">
        <v>580</v>
      </c>
      <c r="C196" s="13">
        <v>3.3330000000000001E-5</v>
      </c>
      <c r="D196">
        <v>5.7730000000000004E-3</v>
      </c>
      <c r="E196" s="13">
        <v>3.345E-5</v>
      </c>
      <c r="F196">
        <v>0</v>
      </c>
      <c r="G196">
        <v>0</v>
      </c>
      <c r="H196">
        <v>0</v>
      </c>
      <c r="I196">
        <v>10001</v>
      </c>
      <c r="J196">
        <v>30000</v>
      </c>
    </row>
    <row r="197" spans="2:10" x14ac:dyDescent="0.25">
      <c r="B197" t="s">
        <v>581</v>
      </c>
      <c r="C197">
        <v>4.333E-3</v>
      </c>
      <c r="D197">
        <v>6.5689999999999998E-2</v>
      </c>
      <c r="E197" s="13">
        <v>4.8040000000000002E-4</v>
      </c>
      <c r="F197">
        <v>0</v>
      </c>
      <c r="G197">
        <v>0</v>
      </c>
      <c r="H197">
        <v>0</v>
      </c>
      <c r="I197">
        <v>10001</v>
      </c>
      <c r="J197">
        <v>30000</v>
      </c>
    </row>
    <row r="198" spans="2:10" x14ac:dyDescent="0.25">
      <c r="B198" t="s">
        <v>582</v>
      </c>
      <c r="C198">
        <v>3.6330000000000001E-2</v>
      </c>
      <c r="D198">
        <v>0.18709999999999999</v>
      </c>
      <c r="E198">
        <v>1.8879999999999999E-3</v>
      </c>
      <c r="F198">
        <v>0</v>
      </c>
      <c r="G198">
        <v>0</v>
      </c>
      <c r="H198">
        <v>1</v>
      </c>
      <c r="I198">
        <v>10001</v>
      </c>
      <c r="J198">
        <v>30000</v>
      </c>
    </row>
    <row r="199" spans="2:10" x14ac:dyDescent="0.25">
      <c r="B199" t="s">
        <v>583</v>
      </c>
      <c r="C199">
        <v>0.2145</v>
      </c>
      <c r="D199">
        <v>0.41049999999999998</v>
      </c>
      <c r="E199">
        <v>4.496E-3</v>
      </c>
      <c r="F199">
        <v>0</v>
      </c>
      <c r="G199">
        <v>0</v>
      </c>
      <c r="H199">
        <v>1</v>
      </c>
      <c r="I199">
        <v>10001</v>
      </c>
      <c r="J199">
        <v>30000</v>
      </c>
    </row>
    <row r="200" spans="2:10" x14ac:dyDescent="0.25">
      <c r="B200" t="s">
        <v>584</v>
      </c>
      <c r="C200">
        <v>0.3911</v>
      </c>
      <c r="D200">
        <v>0.48799999999999999</v>
      </c>
      <c r="E200">
        <v>6.0369999999999998E-3</v>
      </c>
      <c r="F200">
        <v>0</v>
      </c>
      <c r="G200">
        <v>0</v>
      </c>
      <c r="H200">
        <v>1</v>
      </c>
      <c r="I200">
        <v>10001</v>
      </c>
      <c r="J200">
        <v>30000</v>
      </c>
    </row>
    <row r="201" spans="2:10" x14ac:dyDescent="0.25">
      <c r="B201" t="s">
        <v>585</v>
      </c>
      <c r="C201">
        <v>0.2001</v>
      </c>
      <c r="D201">
        <v>0.4</v>
      </c>
      <c r="E201">
        <v>3.8999999999999998E-3</v>
      </c>
      <c r="F201">
        <v>0</v>
      </c>
      <c r="G201">
        <v>0</v>
      </c>
      <c r="H201">
        <v>1</v>
      </c>
      <c r="I201">
        <v>10001</v>
      </c>
      <c r="J201">
        <v>30000</v>
      </c>
    </row>
    <row r="202" spans="2:10" x14ac:dyDescent="0.25">
      <c r="B202" t="s">
        <v>586</v>
      </c>
      <c r="C202">
        <v>0.106</v>
      </c>
      <c r="D202">
        <v>0.30780000000000002</v>
      </c>
      <c r="E202">
        <v>3.0730000000000002E-3</v>
      </c>
      <c r="F202">
        <v>0</v>
      </c>
      <c r="G202">
        <v>0</v>
      </c>
      <c r="H202">
        <v>1</v>
      </c>
      <c r="I202">
        <v>10001</v>
      </c>
      <c r="J202">
        <v>30000</v>
      </c>
    </row>
    <row r="203" spans="2:10" x14ac:dyDescent="0.25">
      <c r="B203" t="s">
        <v>587</v>
      </c>
      <c r="C203">
        <v>4.1570000000000003E-2</v>
      </c>
      <c r="D203">
        <v>0.1996</v>
      </c>
      <c r="E203">
        <v>1.9599999999999999E-3</v>
      </c>
      <c r="F203">
        <v>0</v>
      </c>
      <c r="G203">
        <v>0</v>
      </c>
      <c r="H203">
        <v>1</v>
      </c>
      <c r="I203">
        <v>10001</v>
      </c>
      <c r="J203">
        <v>30000</v>
      </c>
    </row>
    <row r="204" spans="2:10" x14ac:dyDescent="0.25">
      <c r="B204" t="s">
        <v>588</v>
      </c>
      <c r="C204">
        <v>5.5999999999999999E-3</v>
      </c>
      <c r="D204">
        <v>7.4620000000000006E-2</v>
      </c>
      <c r="E204" s="13">
        <v>5.442E-4</v>
      </c>
      <c r="F204">
        <v>0</v>
      </c>
      <c r="G204">
        <v>0</v>
      </c>
      <c r="H204">
        <v>0</v>
      </c>
      <c r="I204">
        <v>10001</v>
      </c>
      <c r="J204">
        <v>30000</v>
      </c>
    </row>
    <row r="205" spans="2:10" x14ac:dyDescent="0.25">
      <c r="B205" t="s">
        <v>589</v>
      </c>
      <c r="C205" s="13">
        <v>5.6669999999999995E-4</v>
      </c>
      <c r="D205">
        <v>2.3800000000000002E-2</v>
      </c>
      <c r="E205" s="13">
        <v>1.3420000000000001E-4</v>
      </c>
      <c r="F205">
        <v>0</v>
      </c>
      <c r="G205">
        <v>0</v>
      </c>
      <c r="H205">
        <v>0</v>
      </c>
      <c r="I205">
        <v>10001</v>
      </c>
      <c r="J205">
        <v>30000</v>
      </c>
    </row>
    <row r="206" spans="2:10" x14ac:dyDescent="0.25">
      <c r="B206" t="s">
        <v>590</v>
      </c>
      <c r="C206">
        <v>0</v>
      </c>
      <c r="D206">
        <v>0</v>
      </c>
      <c r="E206" s="13">
        <v>3.333E-13</v>
      </c>
      <c r="F206">
        <v>0</v>
      </c>
      <c r="G206">
        <v>0</v>
      </c>
      <c r="H206">
        <v>0</v>
      </c>
      <c r="I206">
        <v>10001</v>
      </c>
      <c r="J206">
        <v>30000</v>
      </c>
    </row>
    <row r="207" spans="2:10" x14ac:dyDescent="0.25">
      <c r="B207" t="s">
        <v>591</v>
      </c>
      <c r="C207">
        <v>0.2029</v>
      </c>
      <c r="D207">
        <v>0.4022</v>
      </c>
      <c r="E207">
        <v>4.365E-3</v>
      </c>
      <c r="F207">
        <v>0</v>
      </c>
      <c r="G207">
        <v>0</v>
      </c>
      <c r="H207">
        <v>1</v>
      </c>
      <c r="I207">
        <v>10001</v>
      </c>
      <c r="J207">
        <v>30000</v>
      </c>
    </row>
    <row r="208" spans="2:10" x14ac:dyDescent="0.25">
      <c r="B208" t="s">
        <v>592</v>
      </c>
      <c r="C208">
        <v>0.37930000000000003</v>
      </c>
      <c r="D208">
        <v>0.48520000000000002</v>
      </c>
      <c r="E208">
        <v>4.5909999999999996E-3</v>
      </c>
      <c r="F208">
        <v>0</v>
      </c>
      <c r="G208">
        <v>0</v>
      </c>
      <c r="H208">
        <v>1</v>
      </c>
      <c r="I208">
        <v>10001</v>
      </c>
      <c r="J208">
        <v>30000</v>
      </c>
    </row>
    <row r="209" spans="2:10" x14ac:dyDescent="0.25">
      <c r="B209" t="s">
        <v>593</v>
      </c>
      <c r="C209">
        <v>0.26119999999999999</v>
      </c>
      <c r="D209">
        <v>0.43930000000000002</v>
      </c>
      <c r="E209">
        <v>4.5770000000000003E-3</v>
      </c>
      <c r="F209">
        <v>0</v>
      </c>
      <c r="G209">
        <v>0</v>
      </c>
      <c r="H209">
        <v>1</v>
      </c>
      <c r="I209">
        <v>10001</v>
      </c>
      <c r="J209">
        <v>30000</v>
      </c>
    </row>
    <row r="210" spans="2:10" x14ac:dyDescent="0.25">
      <c r="B210" t="s">
        <v>594</v>
      </c>
      <c r="C210">
        <v>7.5999999999999998E-2</v>
      </c>
      <c r="D210">
        <v>0.26500000000000001</v>
      </c>
      <c r="E210">
        <v>2.1949999999999999E-3</v>
      </c>
      <c r="F210">
        <v>0</v>
      </c>
      <c r="G210">
        <v>0</v>
      </c>
      <c r="H210">
        <v>1</v>
      </c>
      <c r="I210">
        <v>10001</v>
      </c>
      <c r="J210">
        <v>30000</v>
      </c>
    </row>
    <row r="211" spans="2:10" x14ac:dyDescent="0.25">
      <c r="B211" t="s">
        <v>595</v>
      </c>
      <c r="C211">
        <v>3.7499999999999999E-2</v>
      </c>
      <c r="D211">
        <v>0.19</v>
      </c>
      <c r="E211">
        <v>1.554E-3</v>
      </c>
      <c r="F211">
        <v>0</v>
      </c>
      <c r="G211">
        <v>0</v>
      </c>
      <c r="H211">
        <v>1</v>
      </c>
      <c r="I211">
        <v>10001</v>
      </c>
      <c r="J211">
        <v>30000</v>
      </c>
    </row>
    <row r="212" spans="2:10" x14ac:dyDescent="0.25">
      <c r="B212" t="s">
        <v>596</v>
      </c>
      <c r="C212">
        <v>2.6429999999999999E-2</v>
      </c>
      <c r="D212">
        <v>0.16039999999999999</v>
      </c>
      <c r="E212">
        <v>1.2440000000000001E-3</v>
      </c>
      <c r="F212">
        <v>0</v>
      </c>
      <c r="G212">
        <v>0</v>
      </c>
      <c r="H212">
        <v>1</v>
      </c>
      <c r="I212">
        <v>10001</v>
      </c>
      <c r="J212">
        <v>30000</v>
      </c>
    </row>
    <row r="213" spans="2:10" x14ac:dyDescent="0.25">
      <c r="B213" t="s">
        <v>597</v>
      </c>
      <c r="C213">
        <v>1.23E-2</v>
      </c>
      <c r="D213">
        <v>0.11020000000000001</v>
      </c>
      <c r="E213" s="13">
        <v>8.7560000000000003E-4</v>
      </c>
      <c r="F213">
        <v>0</v>
      </c>
      <c r="G213">
        <v>0</v>
      </c>
      <c r="H213">
        <v>0</v>
      </c>
      <c r="I213">
        <v>10001</v>
      </c>
      <c r="J213">
        <v>30000</v>
      </c>
    </row>
    <row r="214" spans="2:10" x14ac:dyDescent="0.25">
      <c r="B214" t="s">
        <v>598</v>
      </c>
      <c r="C214">
        <v>3.3E-3</v>
      </c>
      <c r="D214">
        <v>5.7349999999999998E-2</v>
      </c>
      <c r="E214" s="13">
        <v>3.7050000000000001E-4</v>
      </c>
      <c r="F214">
        <v>0</v>
      </c>
      <c r="G214">
        <v>0</v>
      </c>
      <c r="H214">
        <v>0</v>
      </c>
      <c r="I214">
        <v>10001</v>
      </c>
      <c r="J214">
        <v>30000</v>
      </c>
    </row>
    <row r="215" spans="2:10" x14ac:dyDescent="0.25">
      <c r="B215" t="s">
        <v>599</v>
      </c>
      <c r="C215">
        <v>1.0330000000000001E-3</v>
      </c>
      <c r="D215">
        <v>3.2129999999999999E-2</v>
      </c>
      <c r="E215" s="13">
        <v>2.2169999999999999E-4</v>
      </c>
      <c r="F215">
        <v>0</v>
      </c>
      <c r="G215">
        <v>0</v>
      </c>
      <c r="H215">
        <v>0</v>
      </c>
      <c r="I215">
        <v>10001</v>
      </c>
      <c r="J215">
        <v>30000</v>
      </c>
    </row>
    <row r="216" spans="2:10" x14ac:dyDescent="0.25">
      <c r="B216" t="s">
        <v>600</v>
      </c>
      <c r="C216">
        <v>0</v>
      </c>
      <c r="D216">
        <v>0</v>
      </c>
      <c r="E216" s="13">
        <v>3.333E-13</v>
      </c>
      <c r="F216">
        <v>0</v>
      </c>
      <c r="G216">
        <v>0</v>
      </c>
      <c r="H216">
        <v>0</v>
      </c>
      <c r="I216">
        <v>10001</v>
      </c>
      <c r="J216">
        <v>30000</v>
      </c>
    </row>
    <row r="217" spans="2:10" x14ac:dyDescent="0.25">
      <c r="B217" t="s">
        <v>601</v>
      </c>
      <c r="C217">
        <v>0.37959999999999999</v>
      </c>
      <c r="D217">
        <v>0.48530000000000001</v>
      </c>
      <c r="E217">
        <v>6.3720000000000001E-3</v>
      </c>
      <c r="F217">
        <v>0</v>
      </c>
      <c r="G217">
        <v>0</v>
      </c>
      <c r="H217">
        <v>1</v>
      </c>
      <c r="I217">
        <v>10001</v>
      </c>
      <c r="J217">
        <v>30000</v>
      </c>
    </row>
    <row r="218" spans="2:10" x14ac:dyDescent="0.25">
      <c r="B218" t="s">
        <v>602</v>
      </c>
      <c r="C218">
        <v>0.1459</v>
      </c>
      <c r="D218">
        <v>0.35299999999999998</v>
      </c>
      <c r="E218">
        <v>3.0300000000000001E-3</v>
      </c>
      <c r="F218">
        <v>0</v>
      </c>
      <c r="G218">
        <v>0</v>
      </c>
      <c r="H218">
        <v>1</v>
      </c>
      <c r="I218">
        <v>10001</v>
      </c>
      <c r="J218">
        <v>30000</v>
      </c>
    </row>
    <row r="219" spans="2:10" x14ac:dyDescent="0.25">
      <c r="B219" t="s">
        <v>603</v>
      </c>
      <c r="C219">
        <v>0.153</v>
      </c>
      <c r="D219">
        <v>0.36</v>
      </c>
      <c r="E219">
        <v>3.261E-3</v>
      </c>
      <c r="F219">
        <v>0</v>
      </c>
      <c r="G219">
        <v>0</v>
      </c>
      <c r="H219">
        <v>1</v>
      </c>
      <c r="I219">
        <v>10001</v>
      </c>
      <c r="J219">
        <v>30000</v>
      </c>
    </row>
    <row r="220" spans="2:10" x14ac:dyDescent="0.25">
      <c r="B220" t="s">
        <v>604</v>
      </c>
      <c r="C220">
        <v>8.5569999999999993E-2</v>
      </c>
      <c r="D220">
        <v>0.2797</v>
      </c>
      <c r="E220">
        <v>2.421E-3</v>
      </c>
      <c r="F220">
        <v>0</v>
      </c>
      <c r="G220">
        <v>0</v>
      </c>
      <c r="H220">
        <v>1</v>
      </c>
      <c r="I220">
        <v>10001</v>
      </c>
      <c r="J220">
        <v>30000</v>
      </c>
    </row>
    <row r="221" spans="2:10" x14ac:dyDescent="0.25">
      <c r="B221" t="s">
        <v>605</v>
      </c>
      <c r="C221">
        <v>6.123E-2</v>
      </c>
      <c r="D221">
        <v>0.23980000000000001</v>
      </c>
      <c r="E221">
        <v>1.7639999999999999E-3</v>
      </c>
      <c r="F221">
        <v>0</v>
      </c>
      <c r="G221">
        <v>0</v>
      </c>
      <c r="H221">
        <v>1</v>
      </c>
      <c r="I221">
        <v>10001</v>
      </c>
      <c r="J221">
        <v>30000</v>
      </c>
    </row>
    <row r="222" spans="2:10" x14ac:dyDescent="0.25">
      <c r="B222" t="s">
        <v>606</v>
      </c>
      <c r="C222">
        <v>7.1370000000000003E-2</v>
      </c>
      <c r="D222">
        <v>0.25740000000000002</v>
      </c>
      <c r="E222">
        <v>2.5460000000000001E-3</v>
      </c>
      <c r="F222">
        <v>0</v>
      </c>
      <c r="G222">
        <v>0</v>
      </c>
      <c r="H222">
        <v>1</v>
      </c>
      <c r="I222">
        <v>10001</v>
      </c>
      <c r="J222">
        <v>30000</v>
      </c>
    </row>
    <row r="223" spans="2:10" x14ac:dyDescent="0.25">
      <c r="B223" t="s">
        <v>607</v>
      </c>
      <c r="C223">
        <v>5.7529999999999998E-2</v>
      </c>
      <c r="D223">
        <v>0.2329</v>
      </c>
      <c r="E223">
        <v>2.019E-3</v>
      </c>
      <c r="F223">
        <v>0</v>
      </c>
      <c r="G223">
        <v>0</v>
      </c>
      <c r="H223">
        <v>1</v>
      </c>
      <c r="I223">
        <v>10001</v>
      </c>
      <c r="J223">
        <v>30000</v>
      </c>
    </row>
    <row r="224" spans="2:10" x14ac:dyDescent="0.25">
      <c r="B224" t="s">
        <v>608</v>
      </c>
      <c r="C224">
        <v>2.8799999999999999E-2</v>
      </c>
      <c r="D224">
        <v>0.16719999999999999</v>
      </c>
      <c r="E224">
        <v>1.361E-3</v>
      </c>
      <c r="F224">
        <v>0</v>
      </c>
      <c r="G224">
        <v>0</v>
      </c>
      <c r="H224">
        <v>1</v>
      </c>
      <c r="I224">
        <v>10001</v>
      </c>
      <c r="J224">
        <v>30000</v>
      </c>
    </row>
    <row r="225" spans="2:10" x14ac:dyDescent="0.25">
      <c r="B225" t="s">
        <v>609</v>
      </c>
      <c r="C225">
        <v>1.6199999999999999E-2</v>
      </c>
      <c r="D225">
        <v>0.12620000000000001</v>
      </c>
      <c r="E225" s="13">
        <v>9.8060000000000009E-4</v>
      </c>
      <c r="F225">
        <v>0</v>
      </c>
      <c r="G225">
        <v>0</v>
      </c>
      <c r="H225">
        <v>0</v>
      </c>
      <c r="I225">
        <v>10001</v>
      </c>
      <c r="J225">
        <v>30000</v>
      </c>
    </row>
    <row r="226" spans="2:10" x14ac:dyDescent="0.25">
      <c r="B226" t="s">
        <v>610</v>
      </c>
      <c r="C226" s="13">
        <v>8.3330000000000003E-4</v>
      </c>
      <c r="D226">
        <v>2.886E-2</v>
      </c>
      <c r="E226" s="13">
        <v>1.9799999999999999E-4</v>
      </c>
      <c r="F226">
        <v>0</v>
      </c>
      <c r="G226">
        <v>0</v>
      </c>
      <c r="H226">
        <v>0</v>
      </c>
      <c r="I226">
        <v>10001</v>
      </c>
      <c r="J226">
        <v>30000</v>
      </c>
    </row>
    <row r="227" spans="2:10" x14ac:dyDescent="0.25">
      <c r="B227" t="s">
        <v>611</v>
      </c>
      <c r="C227">
        <v>0.38350000000000001</v>
      </c>
      <c r="D227">
        <v>0.48620000000000002</v>
      </c>
      <c r="E227">
        <v>6.2859999999999999E-3</v>
      </c>
      <c r="F227">
        <v>0</v>
      </c>
      <c r="G227">
        <v>0</v>
      </c>
      <c r="H227">
        <v>1</v>
      </c>
      <c r="I227">
        <v>10001</v>
      </c>
      <c r="J227">
        <v>30000</v>
      </c>
    </row>
    <row r="228" spans="2:10" x14ac:dyDescent="0.25">
      <c r="B228" t="s">
        <v>612</v>
      </c>
      <c r="C228">
        <v>0.34289999999999998</v>
      </c>
      <c r="D228">
        <v>0.47470000000000001</v>
      </c>
      <c r="E228">
        <v>4.3169999999999997E-3</v>
      </c>
      <c r="F228">
        <v>0</v>
      </c>
      <c r="G228">
        <v>0</v>
      </c>
      <c r="H228">
        <v>1</v>
      </c>
      <c r="I228">
        <v>10001</v>
      </c>
      <c r="J228">
        <v>30000</v>
      </c>
    </row>
    <row r="229" spans="2:10" x14ac:dyDescent="0.25">
      <c r="B229" t="s">
        <v>613</v>
      </c>
      <c r="C229">
        <v>0.1641</v>
      </c>
      <c r="D229">
        <v>0.37040000000000001</v>
      </c>
      <c r="E229">
        <v>5.1929999999999997E-3</v>
      </c>
      <c r="F229">
        <v>0</v>
      </c>
      <c r="G229">
        <v>0</v>
      </c>
      <c r="H229">
        <v>1</v>
      </c>
      <c r="I229">
        <v>10001</v>
      </c>
      <c r="J229">
        <v>30000</v>
      </c>
    </row>
    <row r="230" spans="2:10" x14ac:dyDescent="0.25">
      <c r="B230" t="s">
        <v>614</v>
      </c>
      <c r="C230">
        <v>4.7300000000000002E-2</v>
      </c>
      <c r="D230">
        <v>0.21229999999999999</v>
      </c>
      <c r="E230">
        <v>1.5740000000000001E-3</v>
      </c>
      <c r="F230">
        <v>0</v>
      </c>
      <c r="G230">
        <v>0</v>
      </c>
      <c r="H230">
        <v>1</v>
      </c>
      <c r="I230">
        <v>10001</v>
      </c>
      <c r="J230">
        <v>30000</v>
      </c>
    </row>
    <row r="231" spans="2:10" x14ac:dyDescent="0.25">
      <c r="B231" t="s">
        <v>615</v>
      </c>
      <c r="C231">
        <v>2.7830000000000001E-2</v>
      </c>
      <c r="D231">
        <v>0.16450000000000001</v>
      </c>
      <c r="E231">
        <v>1.1900000000000001E-3</v>
      </c>
      <c r="F231">
        <v>0</v>
      </c>
      <c r="G231">
        <v>0</v>
      </c>
      <c r="H231">
        <v>1</v>
      </c>
      <c r="I231">
        <v>10001</v>
      </c>
      <c r="J231">
        <v>30000</v>
      </c>
    </row>
    <row r="232" spans="2:10" x14ac:dyDescent="0.25">
      <c r="B232" t="s">
        <v>616</v>
      </c>
      <c r="C232">
        <v>2.043E-2</v>
      </c>
      <c r="D232">
        <v>0.14149999999999999</v>
      </c>
      <c r="E232">
        <v>1.1310000000000001E-3</v>
      </c>
      <c r="F232">
        <v>0</v>
      </c>
      <c r="G232">
        <v>0</v>
      </c>
      <c r="H232">
        <v>0</v>
      </c>
      <c r="I232">
        <v>10001</v>
      </c>
      <c r="J232">
        <v>30000</v>
      </c>
    </row>
    <row r="233" spans="2:10" x14ac:dyDescent="0.25">
      <c r="B233" t="s">
        <v>617</v>
      </c>
      <c r="C233">
        <v>9.7999999999999997E-3</v>
      </c>
      <c r="D233">
        <v>9.851E-2</v>
      </c>
      <c r="E233" s="13">
        <v>6.9939999999999998E-4</v>
      </c>
      <c r="F233">
        <v>0</v>
      </c>
      <c r="G233">
        <v>0</v>
      </c>
      <c r="H233">
        <v>0</v>
      </c>
      <c r="I233">
        <v>10001</v>
      </c>
      <c r="J233">
        <v>30000</v>
      </c>
    </row>
    <row r="234" spans="2:10" x14ac:dyDescent="0.25">
      <c r="B234" t="s">
        <v>618</v>
      </c>
      <c r="C234">
        <v>3.1670000000000001E-3</v>
      </c>
      <c r="D234">
        <v>5.6180000000000001E-2</v>
      </c>
      <c r="E234" s="13">
        <v>3.3990000000000002E-4</v>
      </c>
      <c r="F234">
        <v>0</v>
      </c>
      <c r="G234">
        <v>0</v>
      </c>
      <c r="H234">
        <v>0</v>
      </c>
      <c r="I234">
        <v>10001</v>
      </c>
      <c r="J234">
        <v>30000</v>
      </c>
    </row>
    <row r="235" spans="2:10" x14ac:dyDescent="0.25">
      <c r="B235" t="s">
        <v>619</v>
      </c>
      <c r="C235">
        <v>1E-3</v>
      </c>
      <c r="D235">
        <v>3.1609999999999999E-2</v>
      </c>
      <c r="E235" s="13">
        <v>2.0379999999999999E-4</v>
      </c>
      <c r="F235">
        <v>0</v>
      </c>
      <c r="G235">
        <v>0</v>
      </c>
      <c r="H235">
        <v>0</v>
      </c>
      <c r="I235">
        <v>10001</v>
      </c>
      <c r="J235">
        <v>30000</v>
      </c>
    </row>
    <row r="236" spans="2:10" x14ac:dyDescent="0.25">
      <c r="B236" t="s">
        <v>620</v>
      </c>
      <c r="C236">
        <v>0</v>
      </c>
      <c r="D236">
        <v>0</v>
      </c>
      <c r="E236" s="13">
        <v>3.333E-13</v>
      </c>
      <c r="F236">
        <v>0</v>
      </c>
      <c r="G236">
        <v>0</v>
      </c>
      <c r="H236">
        <v>0</v>
      </c>
      <c r="I236">
        <v>10001</v>
      </c>
      <c r="J236">
        <v>30000</v>
      </c>
    </row>
    <row r="237" spans="2:10" x14ac:dyDescent="0.25">
      <c r="B237" t="s">
        <v>621</v>
      </c>
      <c r="C237">
        <v>2.5000000000000001E-3</v>
      </c>
      <c r="D237">
        <v>4.9939999999999998E-2</v>
      </c>
      <c r="E237" s="13">
        <v>2.8479999999999998E-4</v>
      </c>
      <c r="F237">
        <v>0</v>
      </c>
      <c r="G237">
        <v>0</v>
      </c>
      <c r="H237">
        <v>0</v>
      </c>
      <c r="I237">
        <v>10001</v>
      </c>
      <c r="J237">
        <v>30000</v>
      </c>
    </row>
    <row r="238" spans="2:10" x14ac:dyDescent="0.25">
      <c r="B238" t="s">
        <v>622</v>
      </c>
      <c r="C238">
        <v>6.8669999999999998E-3</v>
      </c>
      <c r="D238">
        <v>8.2580000000000001E-2</v>
      </c>
      <c r="E238" s="13">
        <v>5.174E-4</v>
      </c>
      <c r="F238">
        <v>0</v>
      </c>
      <c r="G238">
        <v>0</v>
      </c>
      <c r="H238">
        <v>0</v>
      </c>
      <c r="I238">
        <v>10001</v>
      </c>
      <c r="J238">
        <v>30000</v>
      </c>
    </row>
    <row r="239" spans="2:10" x14ac:dyDescent="0.25">
      <c r="B239" t="s">
        <v>623</v>
      </c>
      <c r="C239">
        <v>1.0500000000000001E-2</v>
      </c>
      <c r="D239">
        <v>0.1019</v>
      </c>
      <c r="E239" s="13">
        <v>6.7020000000000003E-4</v>
      </c>
      <c r="F239">
        <v>0</v>
      </c>
      <c r="G239">
        <v>0</v>
      </c>
      <c r="H239">
        <v>0</v>
      </c>
      <c r="I239">
        <v>10001</v>
      </c>
      <c r="J239">
        <v>30000</v>
      </c>
    </row>
    <row r="240" spans="2:10" x14ac:dyDescent="0.25">
      <c r="B240" t="s">
        <v>624</v>
      </c>
      <c r="C240">
        <v>1.66E-2</v>
      </c>
      <c r="D240">
        <v>0.1278</v>
      </c>
      <c r="E240" s="13">
        <v>8.497E-4</v>
      </c>
      <c r="F240">
        <v>0</v>
      </c>
      <c r="G240">
        <v>0</v>
      </c>
      <c r="H240">
        <v>0</v>
      </c>
      <c r="I240">
        <v>10001</v>
      </c>
      <c r="J240">
        <v>30000</v>
      </c>
    </row>
    <row r="241" spans="2:10" x14ac:dyDescent="0.25">
      <c r="B241" t="s">
        <v>625</v>
      </c>
      <c r="C241">
        <v>2.257E-2</v>
      </c>
      <c r="D241">
        <v>0.14849999999999999</v>
      </c>
      <c r="E241" s="13">
        <v>9.8769999999999999E-4</v>
      </c>
      <c r="F241">
        <v>0</v>
      </c>
      <c r="G241">
        <v>0</v>
      </c>
      <c r="H241">
        <v>0</v>
      </c>
      <c r="I241">
        <v>10001</v>
      </c>
      <c r="J241">
        <v>30000</v>
      </c>
    </row>
    <row r="242" spans="2:10" x14ac:dyDescent="0.25">
      <c r="B242" t="s">
        <v>626</v>
      </c>
      <c r="C242">
        <v>3.5830000000000001E-2</v>
      </c>
      <c r="D242">
        <v>0.18590000000000001</v>
      </c>
      <c r="E242">
        <v>1.279E-3</v>
      </c>
      <c r="F242">
        <v>0</v>
      </c>
      <c r="G242">
        <v>0</v>
      </c>
      <c r="H242">
        <v>1</v>
      </c>
      <c r="I242">
        <v>10001</v>
      </c>
      <c r="J242">
        <v>30000</v>
      </c>
    </row>
    <row r="243" spans="2:10" x14ac:dyDescent="0.25">
      <c r="B243" t="s">
        <v>627</v>
      </c>
      <c r="C243">
        <v>9.7170000000000006E-2</v>
      </c>
      <c r="D243">
        <v>0.29620000000000002</v>
      </c>
      <c r="E243">
        <v>2.3379999999999998E-3</v>
      </c>
      <c r="F243">
        <v>0</v>
      </c>
      <c r="G243">
        <v>0</v>
      </c>
      <c r="H243">
        <v>1</v>
      </c>
      <c r="I243">
        <v>10001</v>
      </c>
      <c r="J243">
        <v>30000</v>
      </c>
    </row>
    <row r="244" spans="2:10" x14ac:dyDescent="0.25">
      <c r="B244" t="s">
        <v>628</v>
      </c>
      <c r="C244">
        <v>0.17</v>
      </c>
      <c r="D244">
        <v>0.37569999999999998</v>
      </c>
      <c r="E244">
        <v>2.9629999999999999E-3</v>
      </c>
      <c r="F244">
        <v>0</v>
      </c>
      <c r="G244">
        <v>0</v>
      </c>
      <c r="H244">
        <v>1</v>
      </c>
      <c r="I244">
        <v>10001</v>
      </c>
      <c r="J244">
        <v>30000</v>
      </c>
    </row>
    <row r="245" spans="2:10" x14ac:dyDescent="0.25">
      <c r="B245" t="s">
        <v>629</v>
      </c>
      <c r="C245">
        <v>0.56000000000000005</v>
      </c>
      <c r="D245">
        <v>0.49640000000000001</v>
      </c>
      <c r="E245">
        <v>4.9069999999999999E-3</v>
      </c>
      <c r="F245">
        <v>0</v>
      </c>
      <c r="G245">
        <v>1</v>
      </c>
      <c r="H245">
        <v>1</v>
      </c>
      <c r="I245">
        <v>10001</v>
      </c>
      <c r="J245">
        <v>30000</v>
      </c>
    </row>
    <row r="246" spans="2:10" x14ac:dyDescent="0.25">
      <c r="B246" t="s">
        <v>630</v>
      </c>
      <c r="C246">
        <v>7.7899999999999997E-2</v>
      </c>
      <c r="D246">
        <v>0.26800000000000002</v>
      </c>
      <c r="E246">
        <v>2.552E-3</v>
      </c>
      <c r="F246">
        <v>0</v>
      </c>
      <c r="G246">
        <v>0</v>
      </c>
      <c r="H246">
        <v>1</v>
      </c>
      <c r="I246">
        <v>10001</v>
      </c>
      <c r="J246">
        <v>30000</v>
      </c>
    </row>
    <row r="247" spans="2:10" x14ac:dyDescent="0.25">
      <c r="B247" t="s">
        <v>631</v>
      </c>
      <c r="C247">
        <v>1.2670000000000001E-2</v>
      </c>
      <c r="D247">
        <v>0.1118</v>
      </c>
      <c r="E247">
        <v>1.088E-3</v>
      </c>
      <c r="F247">
        <v>0</v>
      </c>
      <c r="G247">
        <v>0</v>
      </c>
      <c r="H247">
        <v>0</v>
      </c>
      <c r="I247">
        <v>10001</v>
      </c>
      <c r="J247">
        <v>30000</v>
      </c>
    </row>
    <row r="248" spans="2:10" x14ac:dyDescent="0.25">
      <c r="B248" t="s">
        <v>632</v>
      </c>
      <c r="C248">
        <v>3.0970000000000001E-2</v>
      </c>
      <c r="D248">
        <v>0.17319999999999999</v>
      </c>
      <c r="E248">
        <v>2.062E-3</v>
      </c>
      <c r="F248">
        <v>0</v>
      </c>
      <c r="G248">
        <v>0</v>
      </c>
      <c r="H248">
        <v>1</v>
      </c>
      <c r="I248">
        <v>10001</v>
      </c>
      <c r="J248">
        <v>30000</v>
      </c>
    </row>
    <row r="249" spans="2:10" x14ac:dyDescent="0.25">
      <c r="B249" t="s">
        <v>633</v>
      </c>
      <c r="C249">
        <v>5.04E-2</v>
      </c>
      <c r="D249">
        <v>0.21879999999999999</v>
      </c>
      <c r="E249">
        <v>2.153E-3</v>
      </c>
      <c r="F249">
        <v>0</v>
      </c>
      <c r="G249">
        <v>0</v>
      </c>
      <c r="H249">
        <v>1</v>
      </c>
      <c r="I249">
        <v>10001</v>
      </c>
      <c r="J249">
        <v>30000</v>
      </c>
    </row>
    <row r="250" spans="2:10" x14ac:dyDescent="0.25">
      <c r="B250" t="s">
        <v>634</v>
      </c>
      <c r="C250">
        <v>6.6699999999999995E-2</v>
      </c>
      <c r="D250">
        <v>0.2495</v>
      </c>
      <c r="E250">
        <v>2.4299999999999999E-3</v>
      </c>
      <c r="F250">
        <v>0</v>
      </c>
      <c r="G250">
        <v>0</v>
      </c>
      <c r="H250">
        <v>1</v>
      </c>
      <c r="I250">
        <v>10001</v>
      </c>
      <c r="J250">
        <v>30000</v>
      </c>
    </row>
    <row r="251" spans="2:10" x14ac:dyDescent="0.25">
      <c r="B251" t="s">
        <v>635</v>
      </c>
      <c r="C251">
        <v>8.8569999999999996E-2</v>
      </c>
      <c r="D251">
        <v>0.28410000000000002</v>
      </c>
      <c r="E251">
        <v>2.6480000000000002E-3</v>
      </c>
      <c r="F251">
        <v>0</v>
      </c>
      <c r="G251">
        <v>0</v>
      </c>
      <c r="H251">
        <v>1</v>
      </c>
      <c r="I251">
        <v>10001</v>
      </c>
      <c r="J251">
        <v>30000</v>
      </c>
    </row>
    <row r="252" spans="2:10" x14ac:dyDescent="0.25">
      <c r="B252" t="s">
        <v>636</v>
      </c>
      <c r="C252">
        <v>0.1217</v>
      </c>
      <c r="D252">
        <v>0.32690000000000002</v>
      </c>
      <c r="E252">
        <v>3.8180000000000002E-3</v>
      </c>
      <c r="F252">
        <v>0</v>
      </c>
      <c r="G252">
        <v>0</v>
      </c>
      <c r="H252">
        <v>1</v>
      </c>
      <c r="I252">
        <v>10001</v>
      </c>
      <c r="J252">
        <v>30000</v>
      </c>
    </row>
    <row r="253" spans="2:10" x14ac:dyDescent="0.25">
      <c r="B253" t="s">
        <v>637</v>
      </c>
      <c r="C253">
        <v>0.28399999999999997</v>
      </c>
      <c r="D253">
        <v>0.45090000000000002</v>
      </c>
      <c r="E253">
        <v>4.6730000000000001E-3</v>
      </c>
      <c r="F253">
        <v>0</v>
      </c>
      <c r="G253">
        <v>0</v>
      </c>
      <c r="H253">
        <v>1</v>
      </c>
      <c r="I253">
        <v>10001</v>
      </c>
      <c r="J253">
        <v>30000</v>
      </c>
    </row>
    <row r="254" spans="2:10" x14ac:dyDescent="0.25">
      <c r="B254" t="s">
        <v>638</v>
      </c>
      <c r="C254">
        <v>0.19600000000000001</v>
      </c>
      <c r="D254">
        <v>0.39700000000000002</v>
      </c>
      <c r="E254">
        <v>4.1679999999999998E-3</v>
      </c>
      <c r="F254">
        <v>0</v>
      </c>
      <c r="G254">
        <v>0</v>
      </c>
      <c r="H254">
        <v>1</v>
      </c>
      <c r="I254">
        <v>10001</v>
      </c>
      <c r="J254">
        <v>30000</v>
      </c>
    </row>
    <row r="255" spans="2:10" x14ac:dyDescent="0.25">
      <c r="B255" t="s">
        <v>639</v>
      </c>
      <c r="C255">
        <v>0.14360000000000001</v>
      </c>
      <c r="D255">
        <v>0.35070000000000001</v>
      </c>
      <c r="E255">
        <v>4.2839999999999996E-3</v>
      </c>
      <c r="F255">
        <v>0</v>
      </c>
      <c r="G255">
        <v>0</v>
      </c>
      <c r="H255">
        <v>1</v>
      </c>
      <c r="I255">
        <v>10001</v>
      </c>
      <c r="J255">
        <v>30000</v>
      </c>
    </row>
    <row r="256" spans="2:10" x14ac:dyDescent="0.25">
      <c r="B256" t="s">
        <v>640</v>
      </c>
      <c r="C256">
        <v>5.4330000000000003E-3</v>
      </c>
      <c r="D256">
        <v>7.3510000000000006E-2</v>
      </c>
      <c r="E256" s="13">
        <v>6.0709999999999996E-4</v>
      </c>
      <c r="F256">
        <v>0</v>
      </c>
      <c r="G256">
        <v>0</v>
      </c>
      <c r="H256">
        <v>0</v>
      </c>
      <c r="I256">
        <v>10001</v>
      </c>
      <c r="J256">
        <v>30000</v>
      </c>
    </row>
    <row r="257" spans="2:10" x14ac:dyDescent="0.25">
      <c r="B257" t="s">
        <v>641</v>
      </c>
      <c r="C257">
        <v>1.2E-2</v>
      </c>
      <c r="D257">
        <v>0.1089</v>
      </c>
      <c r="E257" s="13">
        <v>8.8380000000000002E-4</v>
      </c>
      <c r="F257">
        <v>0</v>
      </c>
      <c r="G257">
        <v>0</v>
      </c>
      <c r="H257">
        <v>0</v>
      </c>
      <c r="I257">
        <v>10001</v>
      </c>
      <c r="J257">
        <v>30000</v>
      </c>
    </row>
    <row r="258" spans="2:10" x14ac:dyDescent="0.25">
      <c r="B258" t="s">
        <v>642</v>
      </c>
      <c r="C258">
        <v>4.3400000000000001E-2</v>
      </c>
      <c r="D258">
        <v>0.20380000000000001</v>
      </c>
      <c r="E258">
        <v>1.6570000000000001E-3</v>
      </c>
      <c r="F258">
        <v>0</v>
      </c>
      <c r="G258">
        <v>0</v>
      </c>
      <c r="H258">
        <v>1</v>
      </c>
      <c r="I258">
        <v>10001</v>
      </c>
      <c r="J258">
        <v>30000</v>
      </c>
    </row>
    <row r="259" spans="2:10" x14ac:dyDescent="0.25">
      <c r="B259" t="s">
        <v>643</v>
      </c>
      <c r="C259">
        <v>9.9570000000000006E-2</v>
      </c>
      <c r="D259">
        <v>0.2994</v>
      </c>
      <c r="E259">
        <v>2.728E-3</v>
      </c>
      <c r="F259">
        <v>0</v>
      </c>
      <c r="G259">
        <v>0</v>
      </c>
      <c r="H259">
        <v>1</v>
      </c>
      <c r="I259">
        <v>10001</v>
      </c>
      <c r="J259">
        <v>30000</v>
      </c>
    </row>
    <row r="260" spans="2:10" x14ac:dyDescent="0.25">
      <c r="B260" t="s">
        <v>644</v>
      </c>
      <c r="C260">
        <v>0.1903</v>
      </c>
      <c r="D260">
        <v>0.39250000000000002</v>
      </c>
      <c r="E260">
        <v>3.7759999999999998E-3</v>
      </c>
      <c r="F260">
        <v>0</v>
      </c>
      <c r="G260">
        <v>0</v>
      </c>
      <c r="H260">
        <v>1</v>
      </c>
      <c r="I260">
        <v>10001</v>
      </c>
      <c r="J260">
        <v>30000</v>
      </c>
    </row>
    <row r="261" spans="2:10" x14ac:dyDescent="0.25">
      <c r="B261" t="s">
        <v>645</v>
      </c>
      <c r="C261">
        <v>0.27150000000000002</v>
      </c>
      <c r="D261">
        <v>0.44479999999999997</v>
      </c>
      <c r="E261">
        <v>4.359E-3</v>
      </c>
      <c r="F261">
        <v>0</v>
      </c>
      <c r="G261">
        <v>0</v>
      </c>
      <c r="H261">
        <v>1</v>
      </c>
      <c r="I261">
        <v>10001</v>
      </c>
      <c r="J261">
        <v>30000</v>
      </c>
    </row>
    <row r="262" spans="2:10" x14ac:dyDescent="0.25">
      <c r="B262" t="s">
        <v>646</v>
      </c>
      <c r="C262">
        <v>0.2283</v>
      </c>
      <c r="D262">
        <v>0.41980000000000001</v>
      </c>
      <c r="E262">
        <v>4.6979999999999999E-3</v>
      </c>
      <c r="F262">
        <v>0</v>
      </c>
      <c r="G262">
        <v>0</v>
      </c>
      <c r="H262">
        <v>1</v>
      </c>
      <c r="I262">
        <v>10001</v>
      </c>
      <c r="J262">
        <v>30000</v>
      </c>
    </row>
    <row r="263" spans="2:10" x14ac:dyDescent="0.25">
      <c r="B263" t="s">
        <v>647</v>
      </c>
      <c r="C263">
        <v>0.12709999999999999</v>
      </c>
      <c r="D263">
        <v>0.33310000000000001</v>
      </c>
      <c r="E263">
        <v>5.3270000000000001E-3</v>
      </c>
      <c r="F263">
        <v>0</v>
      </c>
      <c r="G263">
        <v>0</v>
      </c>
      <c r="H263">
        <v>1</v>
      </c>
      <c r="I263">
        <v>10001</v>
      </c>
      <c r="J263">
        <v>30000</v>
      </c>
    </row>
    <row r="264" spans="2:10" x14ac:dyDescent="0.25">
      <c r="B264" t="s">
        <v>648</v>
      </c>
      <c r="C264">
        <v>2.3429999999999999E-2</v>
      </c>
      <c r="D264">
        <v>0.15129999999999999</v>
      </c>
      <c r="E264">
        <v>1.2589999999999999E-3</v>
      </c>
      <c r="F264">
        <v>0</v>
      </c>
      <c r="G264">
        <v>0</v>
      </c>
      <c r="H264">
        <v>0</v>
      </c>
      <c r="I264">
        <v>10001</v>
      </c>
      <c r="J264">
        <v>30000</v>
      </c>
    </row>
    <row r="265" spans="2:10" x14ac:dyDescent="0.25">
      <c r="B265" t="s">
        <v>649</v>
      </c>
      <c r="C265">
        <v>4.3670000000000002E-3</v>
      </c>
      <c r="D265">
        <v>6.5939999999999999E-2</v>
      </c>
      <c r="E265" s="13">
        <v>4.8759999999999998E-4</v>
      </c>
      <c r="F265">
        <v>0</v>
      </c>
      <c r="G265">
        <v>0</v>
      </c>
      <c r="H265">
        <v>0</v>
      </c>
      <c r="I265">
        <v>10001</v>
      </c>
      <c r="J265">
        <v>30000</v>
      </c>
    </row>
    <row r="266" spans="2:10" x14ac:dyDescent="0.25">
      <c r="B266" t="s">
        <v>650</v>
      </c>
      <c r="C266">
        <v>0</v>
      </c>
      <c r="D266">
        <v>0</v>
      </c>
      <c r="E266" s="13">
        <v>3.333E-13</v>
      </c>
      <c r="F266">
        <v>0</v>
      </c>
      <c r="G266">
        <v>0</v>
      </c>
      <c r="H266">
        <v>0</v>
      </c>
      <c r="I266">
        <v>10001</v>
      </c>
      <c r="J266">
        <v>30000</v>
      </c>
    </row>
    <row r="267" spans="2:10" x14ac:dyDescent="0.25">
      <c r="B267" t="s">
        <v>651</v>
      </c>
      <c r="C267">
        <v>0</v>
      </c>
      <c r="D267">
        <v>0</v>
      </c>
      <c r="E267" s="13">
        <v>3.333E-13</v>
      </c>
      <c r="F267">
        <v>0</v>
      </c>
      <c r="G267">
        <v>0</v>
      </c>
      <c r="H267">
        <v>0</v>
      </c>
      <c r="I267">
        <v>10001</v>
      </c>
      <c r="J267">
        <v>30000</v>
      </c>
    </row>
    <row r="268" spans="2:10" x14ac:dyDescent="0.25">
      <c r="B268" t="s">
        <v>652</v>
      </c>
      <c r="C268">
        <v>0</v>
      </c>
      <c r="D268">
        <v>0</v>
      </c>
      <c r="E268" s="13">
        <v>3.333E-13</v>
      </c>
      <c r="F268">
        <v>0</v>
      </c>
      <c r="G268">
        <v>0</v>
      </c>
      <c r="H268">
        <v>0</v>
      </c>
      <c r="I268">
        <v>10001</v>
      </c>
      <c r="J268">
        <v>30000</v>
      </c>
    </row>
    <row r="269" spans="2:10" x14ac:dyDescent="0.25">
      <c r="B269" t="s">
        <v>653</v>
      </c>
      <c r="C269">
        <v>0</v>
      </c>
      <c r="D269">
        <v>0</v>
      </c>
      <c r="E269" s="13">
        <v>3.333E-13</v>
      </c>
      <c r="F269">
        <v>0</v>
      </c>
      <c r="G269">
        <v>0</v>
      </c>
      <c r="H269">
        <v>0</v>
      </c>
      <c r="I269">
        <v>10001</v>
      </c>
      <c r="J269">
        <v>30000</v>
      </c>
    </row>
    <row r="270" spans="2:10" x14ac:dyDescent="0.25">
      <c r="B270" t="s">
        <v>654</v>
      </c>
      <c r="C270">
        <v>0</v>
      </c>
      <c r="D270">
        <v>0</v>
      </c>
      <c r="E270" s="13">
        <v>3.333E-13</v>
      </c>
      <c r="F270">
        <v>0</v>
      </c>
      <c r="G270">
        <v>0</v>
      </c>
      <c r="H270">
        <v>0</v>
      </c>
      <c r="I270">
        <v>10001</v>
      </c>
      <c r="J270">
        <v>30000</v>
      </c>
    </row>
    <row r="271" spans="2:10" x14ac:dyDescent="0.25">
      <c r="B271" t="s">
        <v>655</v>
      </c>
      <c r="C271">
        <v>0</v>
      </c>
      <c r="D271">
        <v>0</v>
      </c>
      <c r="E271" s="13">
        <v>3.333E-13</v>
      </c>
      <c r="F271">
        <v>0</v>
      </c>
      <c r="G271">
        <v>0</v>
      </c>
      <c r="H271">
        <v>0</v>
      </c>
      <c r="I271">
        <v>10001</v>
      </c>
      <c r="J271">
        <v>30000</v>
      </c>
    </row>
    <row r="272" spans="2:10" x14ac:dyDescent="0.25">
      <c r="B272" t="s">
        <v>656</v>
      </c>
      <c r="C272">
        <v>0</v>
      </c>
      <c r="D272">
        <v>0</v>
      </c>
      <c r="E272" s="13">
        <v>3.333E-13</v>
      </c>
      <c r="F272">
        <v>0</v>
      </c>
      <c r="G272">
        <v>0</v>
      </c>
      <c r="H272">
        <v>0</v>
      </c>
      <c r="I272">
        <v>10001</v>
      </c>
      <c r="J272">
        <v>30000</v>
      </c>
    </row>
    <row r="273" spans="2:10" x14ac:dyDescent="0.25">
      <c r="B273" t="s">
        <v>657</v>
      </c>
      <c r="C273" s="13">
        <v>6.6669999999999997E-5</v>
      </c>
      <c r="D273">
        <v>8.1650000000000004E-3</v>
      </c>
      <c r="E273" s="13">
        <v>4.7219999999999999E-5</v>
      </c>
      <c r="F273">
        <v>0</v>
      </c>
      <c r="G273">
        <v>0</v>
      </c>
      <c r="H273">
        <v>0</v>
      </c>
      <c r="I273">
        <v>10001</v>
      </c>
      <c r="J273">
        <v>30000</v>
      </c>
    </row>
    <row r="274" spans="2:10" x14ac:dyDescent="0.25">
      <c r="B274" t="s">
        <v>658</v>
      </c>
      <c r="C274">
        <v>2.1329999999999999E-3</v>
      </c>
      <c r="D274">
        <v>4.614E-2</v>
      </c>
      <c r="E274" s="13">
        <v>3.1129999999999998E-4</v>
      </c>
      <c r="F274">
        <v>0</v>
      </c>
      <c r="G274">
        <v>0</v>
      </c>
      <c r="H274">
        <v>0</v>
      </c>
      <c r="I274">
        <v>10001</v>
      </c>
      <c r="J274">
        <v>30000</v>
      </c>
    </row>
    <row r="275" spans="2:10" x14ac:dyDescent="0.25">
      <c r="B275" t="s">
        <v>659</v>
      </c>
      <c r="C275">
        <v>8.2000000000000003E-2</v>
      </c>
      <c r="D275">
        <v>0.27439999999999998</v>
      </c>
      <c r="E275">
        <v>2.637E-3</v>
      </c>
      <c r="F275">
        <v>0</v>
      </c>
      <c r="G275">
        <v>0</v>
      </c>
      <c r="H275">
        <v>1</v>
      </c>
      <c r="I275">
        <v>10001</v>
      </c>
      <c r="J275">
        <v>30000</v>
      </c>
    </row>
    <row r="276" spans="2:10" x14ac:dyDescent="0.25">
      <c r="B276" t="s">
        <v>660</v>
      </c>
      <c r="C276">
        <v>0.91579999999999995</v>
      </c>
      <c r="D276">
        <v>0.2777</v>
      </c>
      <c r="E276">
        <v>2.6949999999999999E-3</v>
      </c>
      <c r="F276">
        <v>0</v>
      </c>
      <c r="G276">
        <v>1</v>
      </c>
      <c r="H276">
        <v>1</v>
      </c>
      <c r="I276">
        <v>10001</v>
      </c>
      <c r="J276">
        <v>30000</v>
      </c>
    </row>
    <row r="277" spans="2:10" x14ac:dyDescent="0.25">
      <c r="B277" t="s">
        <v>661</v>
      </c>
      <c r="C277">
        <v>1.948</v>
      </c>
      <c r="D277">
        <v>1.89</v>
      </c>
      <c r="E277">
        <v>1.6619999999999999E-2</v>
      </c>
      <c r="F277">
        <v>5.1090000000000003E-2</v>
      </c>
      <c r="G277">
        <v>1.3819999999999999</v>
      </c>
      <c r="H277">
        <v>7.024</v>
      </c>
      <c r="I277">
        <v>10001</v>
      </c>
      <c r="J277">
        <v>30000</v>
      </c>
    </row>
    <row r="278" spans="2:10" x14ac:dyDescent="0.25">
      <c r="B278" t="s">
        <v>662</v>
      </c>
      <c r="C278">
        <v>1.2829999999999999</v>
      </c>
      <c r="D278">
        <v>1.5349999999999999</v>
      </c>
      <c r="E278">
        <v>9.3550000000000005E-3</v>
      </c>
      <c r="F278">
        <v>2.598E-2</v>
      </c>
      <c r="G278">
        <v>0.75939999999999996</v>
      </c>
      <c r="H278">
        <v>5.5679999999999996</v>
      </c>
      <c r="I278">
        <v>10001</v>
      </c>
      <c r="J278">
        <v>30000</v>
      </c>
    </row>
    <row r="279" spans="2:10" x14ac:dyDescent="0.25">
      <c r="B279" t="s">
        <v>663</v>
      </c>
      <c r="C279">
        <v>1.601</v>
      </c>
      <c r="D279">
        <v>1.6739999999999999</v>
      </c>
      <c r="E279">
        <v>1.1950000000000001E-2</v>
      </c>
      <c r="F279">
        <v>3.721E-2</v>
      </c>
      <c r="G279">
        <v>1.081</v>
      </c>
      <c r="H279">
        <v>6.0970000000000004</v>
      </c>
      <c r="I279">
        <v>10001</v>
      </c>
      <c r="J279">
        <v>30000</v>
      </c>
    </row>
    <row r="280" spans="2:10" x14ac:dyDescent="0.25">
      <c r="B280" t="s">
        <v>664</v>
      </c>
      <c r="C280">
        <v>2.153</v>
      </c>
      <c r="D280">
        <v>1.968</v>
      </c>
      <c r="E280">
        <v>1.848E-2</v>
      </c>
      <c r="F280">
        <v>6.6619999999999999E-2</v>
      </c>
      <c r="G280">
        <v>1.6</v>
      </c>
      <c r="H280">
        <v>7.2539999999999996</v>
      </c>
      <c r="I280">
        <v>10001</v>
      </c>
      <c r="J280">
        <v>30000</v>
      </c>
    </row>
    <row r="281" spans="2:10" x14ac:dyDescent="0.25">
      <c r="B281" t="s">
        <v>665</v>
      </c>
      <c r="C281">
        <v>1.59</v>
      </c>
      <c r="D281">
        <v>1.6479999999999999</v>
      </c>
      <c r="E281">
        <v>1.167E-2</v>
      </c>
      <c r="F281">
        <v>3.952E-2</v>
      </c>
      <c r="G281">
        <v>1.07</v>
      </c>
      <c r="H281">
        <v>6.0439999999999996</v>
      </c>
      <c r="I281">
        <v>10001</v>
      </c>
      <c r="J281">
        <v>30000</v>
      </c>
    </row>
    <row r="282" spans="2:10" x14ac:dyDescent="0.25">
      <c r="B282" t="s">
        <v>666</v>
      </c>
      <c r="C282">
        <v>1.9950000000000001</v>
      </c>
      <c r="D282">
        <v>1.9870000000000001</v>
      </c>
      <c r="E282">
        <v>2.3699999999999999E-2</v>
      </c>
      <c r="F282">
        <v>5.0319999999999997E-2</v>
      </c>
      <c r="G282">
        <v>1.387</v>
      </c>
      <c r="H282">
        <v>7.3659999999999997</v>
      </c>
      <c r="I282">
        <v>10001</v>
      </c>
      <c r="J282">
        <v>30000</v>
      </c>
    </row>
    <row r="283" spans="2:10" x14ac:dyDescent="0.25">
      <c r="B283" t="s">
        <v>667</v>
      </c>
      <c r="C283">
        <v>2.0179999999999998</v>
      </c>
      <c r="D283">
        <v>2.024</v>
      </c>
      <c r="E283">
        <v>1.908E-2</v>
      </c>
      <c r="F283">
        <v>5.0380000000000001E-2</v>
      </c>
      <c r="G283">
        <v>1.399</v>
      </c>
      <c r="H283">
        <v>7.4850000000000003</v>
      </c>
      <c r="I283">
        <v>10001</v>
      </c>
      <c r="J283">
        <v>30000</v>
      </c>
    </row>
    <row r="284" spans="2:10" x14ac:dyDescent="0.25">
      <c r="B284" t="s">
        <v>668</v>
      </c>
      <c r="C284">
        <v>1.8440000000000001</v>
      </c>
      <c r="D284">
        <v>1.861</v>
      </c>
      <c r="E284">
        <v>1.6979999999999999E-2</v>
      </c>
      <c r="F284">
        <v>4.6370000000000001E-2</v>
      </c>
      <c r="G284">
        <v>1.2709999999999999</v>
      </c>
      <c r="H284">
        <v>6.8049999999999997</v>
      </c>
      <c r="I284">
        <v>10001</v>
      </c>
      <c r="J284">
        <v>30000</v>
      </c>
    </row>
    <row r="285" spans="2:10" x14ac:dyDescent="0.25">
      <c r="B285" t="s">
        <v>669</v>
      </c>
      <c r="C285">
        <v>2.02</v>
      </c>
      <c r="D285">
        <v>2.0470000000000002</v>
      </c>
      <c r="E285">
        <v>1.6840000000000001E-2</v>
      </c>
      <c r="F285">
        <v>4.8500000000000001E-2</v>
      </c>
      <c r="G285">
        <v>1.381</v>
      </c>
      <c r="H285">
        <v>7.5069999999999997</v>
      </c>
      <c r="I285">
        <v>10001</v>
      </c>
      <c r="J285">
        <v>30000</v>
      </c>
    </row>
    <row r="286" spans="2:10" x14ac:dyDescent="0.25">
      <c r="B286" t="s">
        <v>670</v>
      </c>
      <c r="C286">
        <v>1.69</v>
      </c>
      <c r="D286">
        <v>1.7669999999999999</v>
      </c>
      <c r="E286">
        <v>1.44E-2</v>
      </c>
      <c r="F286">
        <v>3.7870000000000001E-2</v>
      </c>
      <c r="G286">
        <v>1.1279999999999999</v>
      </c>
      <c r="H286">
        <v>6.4989999999999997</v>
      </c>
      <c r="I286">
        <v>10001</v>
      </c>
      <c r="J286">
        <v>30000</v>
      </c>
    </row>
    <row r="287" spans="2:10" x14ac:dyDescent="0.25">
      <c r="B287" t="s">
        <v>671</v>
      </c>
      <c r="C287">
        <v>1.2669999999999999</v>
      </c>
      <c r="D287">
        <v>1.5289999999999999</v>
      </c>
      <c r="E287">
        <v>9.6419999999999995E-3</v>
      </c>
      <c r="F287">
        <v>2.214E-2</v>
      </c>
      <c r="G287">
        <v>0.73360000000000003</v>
      </c>
      <c r="H287">
        <v>5.5810000000000004</v>
      </c>
      <c r="I287">
        <v>10001</v>
      </c>
      <c r="J287">
        <v>30000</v>
      </c>
    </row>
    <row r="288" spans="2:10" x14ac:dyDescent="0.25">
      <c r="B288" t="s">
        <v>672</v>
      </c>
      <c r="C288">
        <v>1.843</v>
      </c>
      <c r="D288">
        <v>1.835</v>
      </c>
      <c r="E288">
        <v>1.3469999999999999E-2</v>
      </c>
      <c r="F288">
        <v>4.5319999999999999E-2</v>
      </c>
      <c r="G288">
        <v>1.2789999999999999</v>
      </c>
      <c r="H288">
        <v>6.7309999999999999</v>
      </c>
      <c r="I288">
        <v>10001</v>
      </c>
      <c r="J288">
        <v>30000</v>
      </c>
    </row>
    <row r="289" spans="2:10" x14ac:dyDescent="0.25">
      <c r="B289" t="s">
        <v>673</v>
      </c>
      <c r="C289">
        <v>2.0499999999999998</v>
      </c>
      <c r="D289">
        <v>1.9</v>
      </c>
      <c r="E289">
        <v>2.2519999999999998E-2</v>
      </c>
      <c r="F289">
        <v>6.1269999999999998E-2</v>
      </c>
      <c r="G289">
        <v>1.522</v>
      </c>
      <c r="H289">
        <v>7.0049999999999999</v>
      </c>
      <c r="I289">
        <v>10001</v>
      </c>
      <c r="J289">
        <v>30000</v>
      </c>
    </row>
    <row r="290" spans="2:10" x14ac:dyDescent="0.25">
      <c r="B290" t="s">
        <v>674</v>
      </c>
      <c r="C290">
        <v>1.6890000000000001</v>
      </c>
      <c r="D290">
        <v>1.6060000000000001</v>
      </c>
      <c r="E290">
        <v>1.2359999999999999E-2</v>
      </c>
      <c r="F290">
        <v>6.7369999999999999E-2</v>
      </c>
      <c r="G290">
        <v>1.2270000000000001</v>
      </c>
      <c r="H290">
        <v>6.0449999999999999</v>
      </c>
      <c r="I290">
        <v>10001</v>
      </c>
      <c r="J290">
        <v>30000</v>
      </c>
    </row>
    <row r="291" spans="2:10" x14ac:dyDescent="0.25">
      <c r="B291" t="s">
        <v>675</v>
      </c>
      <c r="C291">
        <v>1.3180000000000001</v>
      </c>
      <c r="D291">
        <v>1.5609999999999999</v>
      </c>
      <c r="E291">
        <v>9.6069999999999992E-3</v>
      </c>
      <c r="F291">
        <v>2.6210000000000001E-2</v>
      </c>
      <c r="G291">
        <v>0.78639999999999999</v>
      </c>
      <c r="H291">
        <v>5.6989999999999998</v>
      </c>
      <c r="I291">
        <v>10001</v>
      </c>
      <c r="J291">
        <v>30000</v>
      </c>
    </row>
    <row r="292" spans="2:10" x14ac:dyDescent="0.25">
      <c r="B292" t="s">
        <v>676</v>
      </c>
      <c r="C292">
        <v>2.2810000000000001</v>
      </c>
      <c r="D292">
        <v>2.0750000000000002</v>
      </c>
      <c r="E292">
        <v>2.232E-2</v>
      </c>
      <c r="F292">
        <v>6.5769999999999995E-2</v>
      </c>
      <c r="G292">
        <v>1.722</v>
      </c>
      <c r="H292">
        <v>7.6639999999999997</v>
      </c>
      <c r="I292">
        <v>10001</v>
      </c>
      <c r="J292">
        <v>30000</v>
      </c>
    </row>
    <row r="293" spans="2:10" x14ac:dyDescent="0.25">
      <c r="B293" t="s">
        <v>677</v>
      </c>
      <c r="C293">
        <v>2.1379999999999999</v>
      </c>
      <c r="D293">
        <v>1.802</v>
      </c>
      <c r="E293">
        <v>1.519E-2</v>
      </c>
      <c r="F293">
        <v>9.8360000000000003E-2</v>
      </c>
      <c r="G293">
        <v>1.7</v>
      </c>
      <c r="H293">
        <v>6.8140000000000001</v>
      </c>
      <c r="I293">
        <v>10001</v>
      </c>
      <c r="J293">
        <v>30000</v>
      </c>
    </row>
    <row r="294" spans="2:10" x14ac:dyDescent="0.25">
      <c r="B294" t="s">
        <v>678</v>
      </c>
      <c r="C294">
        <v>1.57</v>
      </c>
      <c r="D294">
        <v>1.6040000000000001</v>
      </c>
      <c r="E294">
        <v>9.887E-3</v>
      </c>
      <c r="F294">
        <v>5.8299999999999998E-2</v>
      </c>
      <c r="G294">
        <v>1.073</v>
      </c>
      <c r="H294">
        <v>5.9829999999999997</v>
      </c>
      <c r="I294">
        <v>10001</v>
      </c>
      <c r="J294">
        <v>30000</v>
      </c>
    </row>
    <row r="295" spans="2:10" x14ac:dyDescent="0.25">
      <c r="B295" t="s">
        <v>679</v>
      </c>
      <c r="C295">
        <v>1.363</v>
      </c>
      <c r="D295">
        <v>1.5509999999999999</v>
      </c>
      <c r="E295">
        <v>1.11E-2</v>
      </c>
      <c r="F295">
        <v>2.937E-2</v>
      </c>
      <c r="G295">
        <v>0.85750000000000004</v>
      </c>
      <c r="H295">
        <v>5.734</v>
      </c>
      <c r="I295">
        <v>10001</v>
      </c>
      <c r="J295">
        <v>30000</v>
      </c>
    </row>
    <row r="296" spans="2:10" x14ac:dyDescent="0.25">
      <c r="B296" t="s">
        <v>680</v>
      </c>
      <c r="C296">
        <v>2.4470000000000001</v>
      </c>
      <c r="D296">
        <v>2.1970000000000001</v>
      </c>
      <c r="E296">
        <v>2.818E-2</v>
      </c>
      <c r="F296">
        <v>7.6759999999999995E-2</v>
      </c>
      <c r="G296">
        <v>1.847</v>
      </c>
      <c r="H296">
        <v>8.1</v>
      </c>
      <c r="I296">
        <v>10001</v>
      </c>
      <c r="J296">
        <v>30000</v>
      </c>
    </row>
    <row r="297" spans="2:10" x14ac:dyDescent="0.25">
      <c r="B297" t="s">
        <v>681</v>
      </c>
      <c r="C297">
        <v>2.9119999999999999</v>
      </c>
      <c r="D297">
        <v>2.2519999999999998</v>
      </c>
      <c r="E297">
        <v>2.8029999999999999E-2</v>
      </c>
      <c r="F297">
        <v>0.1321</v>
      </c>
      <c r="G297">
        <v>2.44</v>
      </c>
      <c r="H297">
        <v>8.5500000000000007</v>
      </c>
      <c r="I297">
        <v>10001</v>
      </c>
      <c r="J297">
        <v>30000</v>
      </c>
    </row>
    <row r="298" spans="2:10" x14ac:dyDescent="0.25">
      <c r="B298" t="s">
        <v>682</v>
      </c>
      <c r="C298">
        <v>2.0470000000000002</v>
      </c>
      <c r="D298">
        <v>1.907</v>
      </c>
      <c r="E298">
        <v>1.7760000000000001E-2</v>
      </c>
      <c r="F298">
        <v>6.0380000000000003E-2</v>
      </c>
      <c r="G298">
        <v>1.5069999999999999</v>
      </c>
      <c r="H298">
        <v>7.1</v>
      </c>
      <c r="I298">
        <v>10001</v>
      </c>
      <c r="J298">
        <v>30000</v>
      </c>
    </row>
    <row r="299" spans="2:10" x14ac:dyDescent="0.25">
      <c r="B299" t="s">
        <v>683</v>
      </c>
      <c r="C299">
        <v>2.7029999999999998</v>
      </c>
      <c r="D299">
        <v>2.4079999999999999</v>
      </c>
      <c r="E299">
        <v>4.0239999999999998E-2</v>
      </c>
      <c r="F299">
        <v>7.9269999999999993E-2</v>
      </c>
      <c r="G299">
        <v>2.0510000000000002</v>
      </c>
      <c r="H299">
        <v>8.8379999999999992</v>
      </c>
      <c r="I299">
        <v>10001</v>
      </c>
      <c r="J299">
        <v>30000</v>
      </c>
    </row>
    <row r="300" spans="2:10" x14ac:dyDescent="0.25">
      <c r="B300" t="s">
        <v>684</v>
      </c>
      <c r="C300">
        <v>1.9339999999999999</v>
      </c>
      <c r="D300">
        <v>1.887</v>
      </c>
      <c r="E300">
        <v>3.0120000000000001E-2</v>
      </c>
      <c r="F300">
        <v>5.0950000000000002E-2</v>
      </c>
      <c r="G300">
        <v>1.371</v>
      </c>
      <c r="H300">
        <v>6.9130000000000003</v>
      </c>
      <c r="I300">
        <v>10001</v>
      </c>
      <c r="J300">
        <v>30000</v>
      </c>
    </row>
    <row r="301" spans="2:10" x14ac:dyDescent="0.25">
      <c r="B301" t="s">
        <v>685</v>
      </c>
      <c r="C301">
        <v>1.6</v>
      </c>
      <c r="D301">
        <v>1.667</v>
      </c>
      <c r="E301">
        <v>1.234E-2</v>
      </c>
      <c r="F301">
        <v>3.705E-2</v>
      </c>
      <c r="G301">
        <v>1.0780000000000001</v>
      </c>
      <c r="H301">
        <v>6.1079999999999997</v>
      </c>
      <c r="I301">
        <v>10001</v>
      </c>
      <c r="J301">
        <v>30000</v>
      </c>
    </row>
    <row r="302" spans="2:10" x14ac:dyDescent="0.25">
      <c r="B302" t="s">
        <v>686</v>
      </c>
      <c r="C302">
        <v>1.4410000000000001</v>
      </c>
      <c r="D302">
        <v>1.5660000000000001</v>
      </c>
      <c r="E302">
        <v>1.0279999999999999E-2</v>
      </c>
      <c r="F302">
        <v>3.3320000000000002E-2</v>
      </c>
      <c r="G302">
        <v>0.94669999999999999</v>
      </c>
      <c r="H302">
        <v>5.7350000000000003</v>
      </c>
      <c r="I302">
        <v>10001</v>
      </c>
      <c r="J302">
        <v>30000</v>
      </c>
    </row>
    <row r="303" spans="2:10" x14ac:dyDescent="0.25">
      <c r="B303" t="s">
        <v>687</v>
      </c>
      <c r="C303">
        <v>1.4950000000000001</v>
      </c>
      <c r="D303">
        <v>1.587</v>
      </c>
      <c r="E303">
        <v>1.1429999999999999E-2</v>
      </c>
      <c r="F303">
        <v>3.6749999999999998E-2</v>
      </c>
      <c r="G303">
        <v>0.9829</v>
      </c>
      <c r="H303">
        <v>5.7729999999999997</v>
      </c>
      <c r="I303">
        <v>10001</v>
      </c>
      <c r="J303">
        <v>30000</v>
      </c>
    </row>
    <row r="304" spans="2:10" x14ac:dyDescent="0.25">
      <c r="B304" t="s">
        <v>688</v>
      </c>
      <c r="C304">
        <v>1.3560000000000001</v>
      </c>
      <c r="D304">
        <v>1.536</v>
      </c>
      <c r="E304">
        <v>1.023E-2</v>
      </c>
      <c r="F304">
        <v>2.8799999999999999E-2</v>
      </c>
      <c r="G304">
        <v>0.85199999999999998</v>
      </c>
      <c r="H304">
        <v>5.6790000000000003</v>
      </c>
      <c r="I304">
        <v>10001</v>
      </c>
      <c r="J304">
        <v>30000</v>
      </c>
    </row>
    <row r="305" spans="2:10" x14ac:dyDescent="0.25">
      <c r="B305" t="s">
        <v>689</v>
      </c>
      <c r="C305">
        <v>1.3360000000000001</v>
      </c>
      <c r="D305">
        <v>1.534</v>
      </c>
      <c r="E305">
        <v>1.042E-2</v>
      </c>
      <c r="F305">
        <v>2.6349999999999998E-2</v>
      </c>
      <c r="G305">
        <v>0.82330000000000003</v>
      </c>
      <c r="H305">
        <v>5.609</v>
      </c>
      <c r="I305">
        <v>10001</v>
      </c>
      <c r="J305">
        <v>30000</v>
      </c>
    </row>
    <row r="306" spans="2:10" x14ac:dyDescent="0.25">
      <c r="B306" t="s">
        <v>690</v>
      </c>
      <c r="C306">
        <v>1.36</v>
      </c>
      <c r="D306">
        <v>1.5429999999999999</v>
      </c>
      <c r="E306">
        <v>1.038E-2</v>
      </c>
      <c r="F306">
        <v>3.1060000000000001E-2</v>
      </c>
      <c r="G306">
        <v>0.84719999999999995</v>
      </c>
      <c r="H306">
        <v>5.6719999999999997</v>
      </c>
      <c r="I306">
        <v>10001</v>
      </c>
      <c r="J306">
        <v>30000</v>
      </c>
    </row>
    <row r="307" spans="2:10" x14ac:dyDescent="0.25">
      <c r="B307" t="s">
        <v>691</v>
      </c>
      <c r="C307">
        <v>2.4529999999999998</v>
      </c>
      <c r="D307">
        <v>2.3010000000000002</v>
      </c>
      <c r="E307">
        <v>3.006E-2</v>
      </c>
      <c r="F307">
        <v>6.7610000000000003E-2</v>
      </c>
      <c r="G307">
        <v>1.7769999999999999</v>
      </c>
      <c r="H307">
        <v>8.4570000000000007</v>
      </c>
      <c r="I307">
        <v>10001</v>
      </c>
      <c r="J307">
        <v>30000</v>
      </c>
    </row>
    <row r="308" spans="2:10" x14ac:dyDescent="0.25">
      <c r="B308" t="s">
        <v>692</v>
      </c>
      <c r="C308">
        <v>1.7410000000000001</v>
      </c>
      <c r="D308">
        <v>1.766</v>
      </c>
      <c r="E308">
        <v>1.498E-2</v>
      </c>
      <c r="F308">
        <v>4.1709999999999997E-2</v>
      </c>
      <c r="G308">
        <v>1.1970000000000001</v>
      </c>
      <c r="H308">
        <v>6.51</v>
      </c>
      <c r="I308">
        <v>10001</v>
      </c>
      <c r="J308">
        <v>30000</v>
      </c>
    </row>
    <row r="309" spans="2:10" x14ac:dyDescent="0.25">
      <c r="B309" t="s">
        <v>693</v>
      </c>
      <c r="C309">
        <v>1.2689999999999999</v>
      </c>
      <c r="D309">
        <v>1.4670000000000001</v>
      </c>
      <c r="E309">
        <v>9.6369999999999997E-3</v>
      </c>
      <c r="F309">
        <v>2.5000000000000001E-2</v>
      </c>
      <c r="G309">
        <v>0.77690000000000003</v>
      </c>
      <c r="H309">
        <v>5.3609999999999998</v>
      </c>
      <c r="I309">
        <v>10001</v>
      </c>
      <c r="J309">
        <v>30000</v>
      </c>
    </row>
    <row r="310" spans="2:10" x14ac:dyDescent="0.25">
      <c r="B310" t="s">
        <v>694</v>
      </c>
      <c r="C310">
        <v>1.3440000000000001</v>
      </c>
      <c r="D310">
        <v>1.5009999999999999</v>
      </c>
      <c r="E310">
        <v>1.0149999999999999E-2</v>
      </c>
      <c r="F310">
        <v>3.2590000000000001E-2</v>
      </c>
      <c r="G310">
        <v>0.8609</v>
      </c>
      <c r="H310">
        <v>5.5019999999999998</v>
      </c>
      <c r="I310">
        <v>10001</v>
      </c>
      <c r="J310">
        <v>30000</v>
      </c>
    </row>
    <row r="311" spans="2:10" x14ac:dyDescent="0.25">
      <c r="B311" t="s">
        <v>695</v>
      </c>
      <c r="C311">
        <v>2.1019999999999999</v>
      </c>
      <c r="D311">
        <v>1.786</v>
      </c>
      <c r="E311">
        <v>2.1069999999999998E-2</v>
      </c>
      <c r="F311">
        <v>0.1053</v>
      </c>
      <c r="G311">
        <v>1.661</v>
      </c>
      <c r="H311">
        <v>6.6840000000000002</v>
      </c>
      <c r="I311">
        <v>10001</v>
      </c>
      <c r="J311">
        <v>30000</v>
      </c>
    </row>
    <row r="312" spans="2:10" x14ac:dyDescent="0.25">
      <c r="B312" t="s">
        <v>696</v>
      </c>
      <c r="C312">
        <v>4.2069999999999999</v>
      </c>
      <c r="D312">
        <v>3.4649999999999999</v>
      </c>
      <c r="E312">
        <v>7.1330000000000005E-2</v>
      </c>
      <c r="F312">
        <v>0.1492</v>
      </c>
      <c r="G312">
        <v>3.3450000000000002</v>
      </c>
      <c r="H312">
        <v>13</v>
      </c>
      <c r="I312">
        <v>10001</v>
      </c>
      <c r="J312">
        <v>30000</v>
      </c>
    </row>
    <row r="313" spans="2:10" x14ac:dyDescent="0.25">
      <c r="B313" t="s">
        <v>697</v>
      </c>
      <c r="C313">
        <v>2.4580000000000002</v>
      </c>
      <c r="D313">
        <v>1.897</v>
      </c>
      <c r="E313">
        <v>2.5239999999999999E-2</v>
      </c>
      <c r="F313">
        <v>0.14680000000000001</v>
      </c>
      <c r="G313">
        <v>2.0499999999999998</v>
      </c>
      <c r="H313">
        <v>7.2389999999999999</v>
      </c>
      <c r="I313">
        <v>10001</v>
      </c>
      <c r="J313">
        <v>30000</v>
      </c>
    </row>
    <row r="314" spans="2:10" x14ac:dyDescent="0.25">
      <c r="B314" t="s">
        <v>698</v>
      </c>
      <c r="C314">
        <v>1.5620000000000001</v>
      </c>
      <c r="D314">
        <v>1.593</v>
      </c>
      <c r="E314">
        <v>1.376E-2</v>
      </c>
      <c r="F314">
        <v>4.0570000000000002E-2</v>
      </c>
      <c r="G314">
        <v>1.0720000000000001</v>
      </c>
      <c r="H314">
        <v>5.8609999999999998</v>
      </c>
      <c r="I314">
        <v>10001</v>
      </c>
      <c r="J314">
        <v>30000</v>
      </c>
    </row>
    <row r="315" spans="2:10" x14ac:dyDescent="0.25">
      <c r="B315" t="s">
        <v>699</v>
      </c>
      <c r="C315">
        <v>1.4019999999999999</v>
      </c>
      <c r="D315">
        <v>1.5469999999999999</v>
      </c>
      <c r="E315">
        <v>1.086E-2</v>
      </c>
      <c r="F315">
        <v>3.2939999999999997E-2</v>
      </c>
      <c r="G315">
        <v>0.90459999999999996</v>
      </c>
      <c r="H315">
        <v>5.7270000000000003</v>
      </c>
      <c r="I315">
        <v>10001</v>
      </c>
      <c r="J315">
        <v>30000</v>
      </c>
    </row>
    <row r="316" spans="2:10" x14ac:dyDescent="0.25">
      <c r="B316" t="s">
        <v>700</v>
      </c>
      <c r="C316">
        <v>5.4109999999999996</v>
      </c>
      <c r="D316">
        <v>1.163</v>
      </c>
      <c r="E316">
        <v>1.6029999999999999E-2</v>
      </c>
      <c r="F316">
        <v>3</v>
      </c>
      <c r="G316">
        <v>6</v>
      </c>
      <c r="H316">
        <v>7</v>
      </c>
      <c r="I316">
        <v>10001</v>
      </c>
      <c r="J316">
        <v>30000</v>
      </c>
    </row>
    <row r="317" spans="2:10" x14ac:dyDescent="0.25">
      <c r="B317" t="s">
        <v>701</v>
      </c>
      <c r="C317">
        <v>7.915</v>
      </c>
      <c r="D317">
        <v>0.71260000000000001</v>
      </c>
      <c r="E317">
        <v>8.5489999999999993E-3</v>
      </c>
      <c r="F317">
        <v>7</v>
      </c>
      <c r="G317">
        <v>8</v>
      </c>
      <c r="H317">
        <v>9</v>
      </c>
      <c r="I317">
        <v>10001</v>
      </c>
      <c r="J317">
        <v>30000</v>
      </c>
    </row>
    <row r="318" spans="2:10" x14ac:dyDescent="0.25">
      <c r="B318" t="s">
        <v>702</v>
      </c>
      <c r="C318">
        <v>4.2619999999999996</v>
      </c>
      <c r="D318">
        <v>1.1970000000000001</v>
      </c>
      <c r="E318">
        <v>1.6650000000000002E-2</v>
      </c>
      <c r="F318">
        <v>2</v>
      </c>
      <c r="G318">
        <v>4</v>
      </c>
      <c r="H318">
        <v>7</v>
      </c>
      <c r="I318">
        <v>10001</v>
      </c>
      <c r="J318">
        <v>30000</v>
      </c>
    </row>
    <row r="319" spans="2:10" x14ac:dyDescent="0.25">
      <c r="B319" t="s">
        <v>703</v>
      </c>
      <c r="C319">
        <v>2.5169999999999999</v>
      </c>
      <c r="D319">
        <v>1.3180000000000001</v>
      </c>
      <c r="E319">
        <v>1.6219999999999998E-2</v>
      </c>
      <c r="F319">
        <v>1</v>
      </c>
      <c r="G319">
        <v>2</v>
      </c>
      <c r="H319">
        <v>6</v>
      </c>
      <c r="I319">
        <v>10001</v>
      </c>
      <c r="J319">
        <v>30000</v>
      </c>
    </row>
    <row r="320" spans="2:10" x14ac:dyDescent="0.25">
      <c r="B320" t="s">
        <v>704</v>
      </c>
      <c r="C320">
        <v>2.9940000000000002</v>
      </c>
      <c r="D320">
        <v>2.214</v>
      </c>
      <c r="E320">
        <v>3.109E-2</v>
      </c>
      <c r="F320">
        <v>1</v>
      </c>
      <c r="G320">
        <v>2</v>
      </c>
      <c r="H320">
        <v>8</v>
      </c>
      <c r="I320">
        <v>10001</v>
      </c>
      <c r="J320">
        <v>30000</v>
      </c>
    </row>
    <row r="321" spans="1:10" x14ac:dyDescent="0.25">
      <c r="B321" t="s">
        <v>705</v>
      </c>
      <c r="C321">
        <v>2.1150000000000002</v>
      </c>
      <c r="D321">
        <v>1.3069999999999999</v>
      </c>
      <c r="E321">
        <v>1.6639999999999999E-2</v>
      </c>
      <c r="F321">
        <v>1</v>
      </c>
      <c r="G321">
        <v>2</v>
      </c>
      <c r="H321">
        <v>6</v>
      </c>
      <c r="I321">
        <v>10001</v>
      </c>
      <c r="J321">
        <v>30000</v>
      </c>
    </row>
    <row r="322" spans="1:10" x14ac:dyDescent="0.25">
      <c r="B322" t="s">
        <v>706</v>
      </c>
      <c r="C322">
        <v>8.3019999999999996</v>
      </c>
      <c r="D322">
        <v>1.4570000000000001</v>
      </c>
      <c r="E322">
        <v>1.5010000000000001E-2</v>
      </c>
      <c r="F322">
        <v>4</v>
      </c>
      <c r="G322">
        <v>9</v>
      </c>
      <c r="H322">
        <v>10</v>
      </c>
      <c r="I322">
        <v>10001</v>
      </c>
      <c r="J322">
        <v>30000</v>
      </c>
    </row>
    <row r="323" spans="1:10" x14ac:dyDescent="0.25">
      <c r="B323" t="s">
        <v>707</v>
      </c>
      <c r="C323">
        <v>6.5679999999999996</v>
      </c>
      <c r="D323">
        <v>1.9350000000000001</v>
      </c>
      <c r="E323">
        <v>3.406E-2</v>
      </c>
      <c r="F323">
        <v>2</v>
      </c>
      <c r="G323">
        <v>7</v>
      </c>
      <c r="H323">
        <v>9</v>
      </c>
      <c r="I323">
        <v>10001</v>
      </c>
      <c r="J323">
        <v>30000</v>
      </c>
    </row>
    <row r="324" spans="1:10" x14ac:dyDescent="0.25">
      <c r="B324" t="s">
        <v>708</v>
      </c>
      <c r="C324">
        <v>5.0030000000000001</v>
      </c>
      <c r="D324">
        <v>1.4790000000000001</v>
      </c>
      <c r="E324">
        <v>2.366E-2</v>
      </c>
      <c r="F324">
        <v>2</v>
      </c>
      <c r="G324">
        <v>5</v>
      </c>
      <c r="H324">
        <v>8</v>
      </c>
      <c r="I324">
        <v>10001</v>
      </c>
      <c r="J324">
        <v>30000</v>
      </c>
    </row>
    <row r="325" spans="1:10" x14ac:dyDescent="0.25">
      <c r="B325" t="s">
        <v>709</v>
      </c>
      <c r="C325">
        <v>9.9139999999999997</v>
      </c>
      <c r="D325">
        <v>0.28920000000000001</v>
      </c>
      <c r="E325">
        <v>2.7929999999999999E-3</v>
      </c>
      <c r="F325">
        <v>9</v>
      </c>
      <c r="G325">
        <v>10</v>
      </c>
      <c r="H325">
        <v>10</v>
      </c>
      <c r="I325">
        <v>10001</v>
      </c>
      <c r="J325">
        <v>30000</v>
      </c>
    </row>
    <row r="326" spans="1:10" x14ac:dyDescent="0.25">
      <c r="B326" t="s">
        <v>800</v>
      </c>
      <c r="C326">
        <v>0.45900000000000002</v>
      </c>
      <c r="D326">
        <v>0.16439999999999999</v>
      </c>
      <c r="E326">
        <v>5.071E-3</v>
      </c>
      <c r="F326">
        <v>0.1187</v>
      </c>
      <c r="G326">
        <v>0.45579999999999998</v>
      </c>
      <c r="H326">
        <v>0.79110000000000003</v>
      </c>
      <c r="I326">
        <v>10001</v>
      </c>
      <c r="J326">
        <v>30000</v>
      </c>
    </row>
    <row r="327" spans="1:10" x14ac:dyDescent="0.25">
      <c r="B327" t="s">
        <v>710</v>
      </c>
      <c r="C327">
        <v>72.83</v>
      </c>
      <c r="D327">
        <v>11.98</v>
      </c>
      <c r="E327">
        <v>0.18859999999999999</v>
      </c>
      <c r="F327">
        <v>51.3</v>
      </c>
      <c r="G327">
        <v>72.16</v>
      </c>
      <c r="H327">
        <v>98.11</v>
      </c>
      <c r="I327">
        <v>10001</v>
      </c>
      <c r="J327">
        <v>30000</v>
      </c>
    </row>
    <row r="328" spans="1:10" x14ac:dyDescent="0.25">
      <c r="A328" t="s">
        <v>711</v>
      </c>
    </row>
    <row r="330" spans="1:10" x14ac:dyDescent="0.25">
      <c r="A330" t="s">
        <v>712</v>
      </c>
    </row>
    <row r="331" spans="1:10" x14ac:dyDescent="0.25">
      <c r="A331" t="s">
        <v>713</v>
      </c>
    </row>
    <row r="332" spans="1:10" x14ac:dyDescent="0.25">
      <c r="B332" t="s">
        <v>714</v>
      </c>
      <c r="C332" t="s">
        <v>715</v>
      </c>
      <c r="D332" t="s">
        <v>716</v>
      </c>
      <c r="E332" t="s">
        <v>712</v>
      </c>
    </row>
    <row r="333" spans="1:10" x14ac:dyDescent="0.25">
      <c r="A333" t="s">
        <v>717</v>
      </c>
      <c r="B333">
        <v>344.41500000000002</v>
      </c>
      <c r="C333">
        <v>285.12200000000001</v>
      </c>
      <c r="D333">
        <v>59.292999999999999</v>
      </c>
      <c r="E333">
        <v>403.709</v>
      </c>
    </row>
    <row r="334" spans="1:10" x14ac:dyDescent="0.25">
      <c r="A334" t="s">
        <v>718</v>
      </c>
      <c r="B334">
        <v>344.41500000000002</v>
      </c>
      <c r="C334">
        <v>285.12200000000001</v>
      </c>
      <c r="D334">
        <v>59.292999999999999</v>
      </c>
      <c r="E334">
        <v>403.709</v>
      </c>
    </row>
    <row r="335" spans="1:10" x14ac:dyDescent="0.25">
      <c r="A335" t="s">
        <v>719</v>
      </c>
    </row>
    <row r="337" spans="1:1" x14ac:dyDescent="0.25">
      <c r="A337" t="s">
        <v>720</v>
      </c>
    </row>
    <row r="339" spans="1:1" x14ac:dyDescent="0.25">
      <c r="A339" t="s">
        <v>721</v>
      </c>
    </row>
    <row r="341" spans="1:1" x14ac:dyDescent="0.25">
      <c r="A341" t="s">
        <v>722</v>
      </c>
    </row>
    <row r="343" spans="1:1" x14ac:dyDescent="0.25">
      <c r="A343" t="s">
        <v>873</v>
      </c>
    </row>
  </sheetData>
  <dataConsolidate/>
  <pageMargins left="0.7" right="0.7" top="0.75" bottom="0.75" header="0.3" footer="0.3"/>
  <customProperties>
    <customPr name="SSCSheetTrackingNo"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C00000"/>
  </sheetPr>
  <dimension ref="A1:J343"/>
  <sheetViews>
    <sheetView showGridLines="0" topLeftCell="A31" workbookViewId="0">
      <selection activeCell="L16" sqref="L16"/>
    </sheetView>
  </sheetViews>
  <sheetFormatPr defaultRowHeight="15" x14ac:dyDescent="0.25"/>
  <sheetData>
    <row r="1" spans="1:1" hidden="1" x14ac:dyDescent="0.25">
      <c r="A1" t="s">
        <v>394</v>
      </c>
    </row>
    <row r="2" spans="1:1" hidden="1" x14ac:dyDescent="0.25">
      <c r="A2" t="s">
        <v>794</v>
      </c>
    </row>
    <row r="3" spans="1:1" hidden="1" x14ac:dyDescent="0.25">
      <c r="A3" t="s">
        <v>398</v>
      </c>
    </row>
    <row r="4" spans="1:1" hidden="1" x14ac:dyDescent="0.25">
      <c r="A4" t="s">
        <v>399</v>
      </c>
    </row>
    <row r="5" spans="1:1" hidden="1" x14ac:dyDescent="0.25">
      <c r="A5" t="s">
        <v>400</v>
      </c>
    </row>
    <row r="6" spans="1:1" hidden="1" x14ac:dyDescent="0.25">
      <c r="A6" t="s">
        <v>401</v>
      </c>
    </row>
    <row r="7" spans="1:1" hidden="1" x14ac:dyDescent="0.25">
      <c r="A7" t="s">
        <v>400</v>
      </c>
    </row>
    <row r="8" spans="1:1" hidden="1" x14ac:dyDescent="0.25">
      <c r="A8" t="s">
        <v>21</v>
      </c>
    </row>
    <row r="9" spans="1:1" hidden="1" x14ac:dyDescent="0.25">
      <c r="A9" t="s">
        <v>402</v>
      </c>
    </row>
    <row r="10" spans="1:1" hidden="1" x14ac:dyDescent="0.25">
      <c r="A10" t="s">
        <v>795</v>
      </c>
    </row>
    <row r="11" spans="1:1" hidden="1" x14ac:dyDescent="0.25">
      <c r="A11" t="s">
        <v>796</v>
      </c>
    </row>
    <row r="12" spans="1:1" hidden="1" x14ac:dyDescent="0.25">
      <c r="A12" t="s">
        <v>797</v>
      </c>
    </row>
    <row r="13" spans="1:1" hidden="1" x14ac:dyDescent="0.25">
      <c r="A13" t="s">
        <v>796</v>
      </c>
    </row>
    <row r="14" spans="1:1" hidden="1" x14ac:dyDescent="0.25">
      <c r="A14" t="s">
        <v>798</v>
      </c>
    </row>
    <row r="15" spans="1:1" hidden="1" x14ac:dyDescent="0.25">
      <c r="A15" t="s">
        <v>796</v>
      </c>
    </row>
    <row r="16" spans="1:1" hidden="1" x14ac:dyDescent="0.25">
      <c r="A16" t="s">
        <v>23</v>
      </c>
    </row>
    <row r="17" spans="1:1" hidden="1" x14ac:dyDescent="0.25">
      <c r="A17" t="s">
        <v>799</v>
      </c>
    </row>
    <row r="18" spans="1:1" hidden="1" x14ac:dyDescent="0.25">
      <c r="A18" t="s">
        <v>867</v>
      </c>
    </row>
    <row r="19" spans="1:1" hidden="1" x14ac:dyDescent="0.25">
      <c r="A19" t="s">
        <v>403</v>
      </c>
    </row>
    <row r="20" spans="1:1" hidden="1" x14ac:dyDescent="0.25">
      <c r="A20" t="s">
        <v>404</v>
      </c>
    </row>
    <row r="21" spans="1:1" hidden="1" x14ac:dyDescent="0.25">
      <c r="A21" t="s">
        <v>405</v>
      </c>
    </row>
    <row r="22" spans="1:1" hidden="1" x14ac:dyDescent="0.25">
      <c r="A22" t="s">
        <v>406</v>
      </c>
    </row>
    <row r="23" spans="1:1" hidden="1" x14ac:dyDescent="0.25">
      <c r="A23" t="s">
        <v>407</v>
      </c>
    </row>
    <row r="24" spans="1:1" hidden="1" x14ac:dyDescent="0.25">
      <c r="A24" t="s">
        <v>408</v>
      </c>
    </row>
    <row r="25" spans="1:1" hidden="1" x14ac:dyDescent="0.25">
      <c r="A25" t="s">
        <v>409</v>
      </c>
    </row>
    <row r="26" spans="1:1" hidden="1" x14ac:dyDescent="0.25">
      <c r="A26" t="s">
        <v>197</v>
      </c>
    </row>
    <row r="27" spans="1:1" hidden="1" x14ac:dyDescent="0.25">
      <c r="A27" t="s">
        <v>199</v>
      </c>
    </row>
    <row r="28" spans="1:1" hidden="1" x14ac:dyDescent="0.25">
      <c r="A28" t="s">
        <v>261</v>
      </c>
    </row>
    <row r="29" spans="1:1" hidden="1" x14ac:dyDescent="0.25">
      <c r="A29" t="s">
        <v>867</v>
      </c>
    </row>
    <row r="30" spans="1:1" hidden="1" x14ac:dyDescent="0.25">
      <c r="A30" t="s">
        <v>397</v>
      </c>
    </row>
    <row r="32" spans="1:1" x14ac:dyDescent="0.25">
      <c r="A32" t="s">
        <v>410</v>
      </c>
    </row>
    <row r="33" spans="2:10" x14ac:dyDescent="0.25">
      <c r="B33" t="s">
        <v>411</v>
      </c>
      <c r="C33" t="s">
        <v>412</v>
      </c>
      <c r="D33" t="s">
        <v>413</v>
      </c>
      <c r="E33" t="s">
        <v>414</v>
      </c>
      <c r="F33" s="12">
        <v>2.5000000000000001E-2</v>
      </c>
      <c r="G33" t="s">
        <v>415</v>
      </c>
      <c r="H33" s="12">
        <v>0.97499999999999998</v>
      </c>
      <c r="I33" t="s">
        <v>416</v>
      </c>
      <c r="J33" t="s">
        <v>417</v>
      </c>
    </row>
    <row r="34" spans="2:10" x14ac:dyDescent="0.25">
      <c r="B34" t="s">
        <v>418</v>
      </c>
      <c r="C34">
        <v>0.5625</v>
      </c>
      <c r="D34">
        <v>0.1085</v>
      </c>
      <c r="E34">
        <v>2.529E-3</v>
      </c>
      <c r="F34">
        <v>0.37759999999999999</v>
      </c>
      <c r="G34">
        <v>0.55369999999999997</v>
      </c>
      <c r="H34">
        <v>0.80110000000000003</v>
      </c>
      <c r="I34">
        <v>10001</v>
      </c>
      <c r="J34">
        <v>30000</v>
      </c>
    </row>
    <row r="35" spans="2:10" x14ac:dyDescent="0.25">
      <c r="B35" t="s">
        <v>419</v>
      </c>
      <c r="C35">
        <v>1.3320000000000001</v>
      </c>
      <c r="D35">
        <v>0.37090000000000001</v>
      </c>
      <c r="E35">
        <v>8.8350000000000008E-3</v>
      </c>
      <c r="F35">
        <v>0.75990000000000002</v>
      </c>
      <c r="G35">
        <v>1.2809999999999999</v>
      </c>
      <c r="H35">
        <v>2.194</v>
      </c>
      <c r="I35">
        <v>10001</v>
      </c>
      <c r="J35">
        <v>30000</v>
      </c>
    </row>
    <row r="36" spans="2:10" x14ac:dyDescent="0.25">
      <c r="B36" t="s">
        <v>420</v>
      </c>
      <c r="C36">
        <v>2.1760000000000002</v>
      </c>
      <c r="D36">
        <v>0.91020000000000001</v>
      </c>
      <c r="E36">
        <v>1.9259999999999999E-2</v>
      </c>
      <c r="F36">
        <v>0.93220000000000003</v>
      </c>
      <c r="G36">
        <v>2.0179999999999998</v>
      </c>
      <c r="H36">
        <v>4.3869999999999996</v>
      </c>
      <c r="I36">
        <v>10001</v>
      </c>
      <c r="J36">
        <v>30000</v>
      </c>
    </row>
    <row r="37" spans="2:10" x14ac:dyDescent="0.25">
      <c r="B37" t="s">
        <v>421</v>
      </c>
      <c r="C37">
        <v>2.722</v>
      </c>
      <c r="D37">
        <v>2.4860000000000002</v>
      </c>
      <c r="E37">
        <v>5.6390000000000003E-2</v>
      </c>
      <c r="F37">
        <v>0.5323</v>
      </c>
      <c r="G37">
        <v>2.0510000000000002</v>
      </c>
      <c r="H37">
        <v>9.0500000000000007</v>
      </c>
      <c r="I37">
        <v>10001</v>
      </c>
      <c r="J37">
        <v>30000</v>
      </c>
    </row>
    <row r="38" spans="2:10" x14ac:dyDescent="0.25">
      <c r="B38" t="s">
        <v>422</v>
      </c>
      <c r="C38">
        <v>2.528</v>
      </c>
      <c r="D38">
        <v>1.232</v>
      </c>
      <c r="E38">
        <v>2.7050000000000001E-2</v>
      </c>
      <c r="F38">
        <v>0.94299999999999995</v>
      </c>
      <c r="G38">
        <v>2.27</v>
      </c>
      <c r="H38">
        <v>5.5789999999999997</v>
      </c>
      <c r="I38">
        <v>10001</v>
      </c>
      <c r="J38">
        <v>30000</v>
      </c>
    </row>
    <row r="39" spans="2:10" x14ac:dyDescent="0.25">
      <c r="B39" t="s">
        <v>423</v>
      </c>
      <c r="C39">
        <v>0.44890000000000002</v>
      </c>
      <c r="D39">
        <v>0.25919999999999999</v>
      </c>
      <c r="E39">
        <v>4.2199999999999998E-3</v>
      </c>
      <c r="F39">
        <v>0.1389</v>
      </c>
      <c r="G39">
        <v>0.39250000000000002</v>
      </c>
      <c r="H39">
        <v>1.0940000000000001</v>
      </c>
      <c r="I39">
        <v>10001</v>
      </c>
      <c r="J39">
        <v>30000</v>
      </c>
    </row>
    <row r="40" spans="2:10" x14ac:dyDescent="0.25">
      <c r="B40" t="s">
        <v>424</v>
      </c>
      <c r="C40">
        <v>0.82979999999999998</v>
      </c>
      <c r="D40">
        <v>0.42970000000000003</v>
      </c>
      <c r="E40">
        <v>1.082E-2</v>
      </c>
      <c r="F40">
        <v>0.28270000000000001</v>
      </c>
      <c r="G40">
        <v>0.73640000000000005</v>
      </c>
      <c r="H40">
        <v>1.9259999999999999</v>
      </c>
      <c r="I40">
        <v>10001</v>
      </c>
      <c r="J40">
        <v>30000</v>
      </c>
    </row>
    <row r="41" spans="2:10" x14ac:dyDescent="0.25">
      <c r="B41" t="s">
        <v>425</v>
      </c>
      <c r="C41">
        <v>1.0680000000000001</v>
      </c>
      <c r="D41">
        <v>0.27410000000000001</v>
      </c>
      <c r="E41">
        <v>5.757E-3</v>
      </c>
      <c r="F41">
        <v>0.64710000000000001</v>
      </c>
      <c r="G41">
        <v>1.0289999999999999</v>
      </c>
      <c r="H41">
        <v>1.7070000000000001</v>
      </c>
      <c r="I41">
        <v>10001</v>
      </c>
      <c r="J41">
        <v>30000</v>
      </c>
    </row>
    <row r="42" spans="2:10" x14ac:dyDescent="0.25">
      <c r="B42" t="s">
        <v>426</v>
      </c>
      <c r="C42">
        <v>0.15090000000000001</v>
      </c>
      <c r="D42">
        <v>3.6700000000000003E-2</v>
      </c>
      <c r="E42" s="13">
        <v>7.1290000000000004E-4</v>
      </c>
      <c r="F42">
        <v>9.1619999999999993E-2</v>
      </c>
      <c r="G42">
        <v>0.14660000000000001</v>
      </c>
      <c r="H42">
        <v>0.23519999999999999</v>
      </c>
      <c r="I42">
        <v>10001</v>
      </c>
      <c r="J42">
        <v>30000</v>
      </c>
    </row>
    <row r="43" spans="2:10" x14ac:dyDescent="0.25">
      <c r="B43" t="s">
        <v>427</v>
      </c>
      <c r="C43">
        <v>2.4089999999999998</v>
      </c>
      <c r="D43">
        <v>0.66739999999999999</v>
      </c>
      <c r="E43">
        <v>1.494E-2</v>
      </c>
      <c r="F43">
        <v>1.3939999999999999</v>
      </c>
      <c r="G43">
        <v>2.3109999999999999</v>
      </c>
      <c r="H43">
        <v>3.9620000000000002</v>
      </c>
      <c r="I43">
        <v>10001</v>
      </c>
      <c r="J43">
        <v>30000</v>
      </c>
    </row>
    <row r="44" spans="2:10" x14ac:dyDescent="0.25">
      <c r="B44" t="s">
        <v>428</v>
      </c>
      <c r="C44">
        <v>3.9449999999999998</v>
      </c>
      <c r="D44">
        <v>1.6879999999999999</v>
      </c>
      <c r="E44">
        <v>3.406E-2</v>
      </c>
      <c r="F44">
        <v>1.7050000000000001</v>
      </c>
      <c r="G44">
        <v>3.6259999999999999</v>
      </c>
      <c r="H44">
        <v>8.1050000000000004</v>
      </c>
      <c r="I44">
        <v>10001</v>
      </c>
      <c r="J44">
        <v>30000</v>
      </c>
    </row>
    <row r="45" spans="2:10" x14ac:dyDescent="0.25">
      <c r="B45" t="s">
        <v>429</v>
      </c>
      <c r="C45">
        <v>4.8479999999999999</v>
      </c>
      <c r="D45">
        <v>4.2439999999999998</v>
      </c>
      <c r="E45">
        <v>9.4810000000000005E-2</v>
      </c>
      <c r="F45">
        <v>1.02</v>
      </c>
      <c r="G45">
        <v>3.69</v>
      </c>
      <c r="H45">
        <v>16.059999999999999</v>
      </c>
      <c r="I45">
        <v>10001</v>
      </c>
      <c r="J45">
        <v>30000</v>
      </c>
    </row>
    <row r="46" spans="2:10" x14ac:dyDescent="0.25">
      <c r="B46" t="s">
        <v>430</v>
      </c>
      <c r="C46">
        <v>4.5739999999999998</v>
      </c>
      <c r="D46">
        <v>2.242</v>
      </c>
      <c r="E46">
        <v>4.8379999999999999E-2</v>
      </c>
      <c r="F46">
        <v>1.7390000000000001</v>
      </c>
      <c r="G46">
        <v>4.1050000000000004</v>
      </c>
      <c r="H46">
        <v>10.199999999999999</v>
      </c>
      <c r="I46">
        <v>10001</v>
      </c>
      <c r="J46">
        <v>30000</v>
      </c>
    </row>
    <row r="47" spans="2:10" x14ac:dyDescent="0.25">
      <c r="B47" t="s">
        <v>431</v>
      </c>
      <c r="C47">
        <v>0.79820000000000002</v>
      </c>
      <c r="D47">
        <v>0.42820000000000003</v>
      </c>
      <c r="E47">
        <v>6.2139999999999999E-3</v>
      </c>
      <c r="F47">
        <v>0.27210000000000001</v>
      </c>
      <c r="G47">
        <v>0.70779999999999998</v>
      </c>
      <c r="H47">
        <v>1.855</v>
      </c>
      <c r="I47">
        <v>10001</v>
      </c>
      <c r="J47">
        <v>30000</v>
      </c>
    </row>
    <row r="48" spans="2:10" x14ac:dyDescent="0.25">
      <c r="B48" t="s">
        <v>432</v>
      </c>
      <c r="C48">
        <v>1.4950000000000001</v>
      </c>
      <c r="D48">
        <v>0.76580000000000004</v>
      </c>
      <c r="E48">
        <v>1.9E-2</v>
      </c>
      <c r="F48">
        <v>0.52529999999999999</v>
      </c>
      <c r="G48">
        <v>1.329</v>
      </c>
      <c r="H48">
        <v>3.4289999999999998</v>
      </c>
      <c r="I48">
        <v>10001</v>
      </c>
      <c r="J48">
        <v>30000</v>
      </c>
    </row>
    <row r="49" spans="2:10" x14ac:dyDescent="0.25">
      <c r="B49" t="s">
        <v>433</v>
      </c>
      <c r="C49">
        <v>1.9570000000000001</v>
      </c>
      <c r="D49">
        <v>0.59530000000000005</v>
      </c>
      <c r="E49">
        <v>1.3180000000000001E-2</v>
      </c>
      <c r="F49">
        <v>1.093</v>
      </c>
      <c r="G49">
        <v>1.861</v>
      </c>
      <c r="H49">
        <v>3.387</v>
      </c>
      <c r="I49">
        <v>10001</v>
      </c>
      <c r="J49">
        <v>30000</v>
      </c>
    </row>
    <row r="50" spans="2:10" x14ac:dyDescent="0.25">
      <c r="B50" t="s">
        <v>434</v>
      </c>
      <c r="C50">
        <v>0.27489999999999998</v>
      </c>
      <c r="D50">
        <v>7.3749999999999996E-2</v>
      </c>
      <c r="E50">
        <v>1.542E-3</v>
      </c>
      <c r="F50">
        <v>0.16</v>
      </c>
      <c r="G50">
        <v>0.26550000000000001</v>
      </c>
      <c r="H50">
        <v>0.44829999999999998</v>
      </c>
      <c r="I50">
        <v>10001</v>
      </c>
      <c r="J50">
        <v>30000</v>
      </c>
    </row>
    <row r="51" spans="2:10" x14ac:dyDescent="0.25">
      <c r="B51" t="s">
        <v>435</v>
      </c>
      <c r="C51">
        <v>1.64</v>
      </c>
      <c r="D51">
        <v>0.51770000000000005</v>
      </c>
      <c r="E51">
        <v>8.7760000000000008E-3</v>
      </c>
      <c r="F51">
        <v>0.86819999999999997</v>
      </c>
      <c r="G51">
        <v>1.5660000000000001</v>
      </c>
      <c r="H51">
        <v>2.8519999999999999</v>
      </c>
      <c r="I51">
        <v>10001</v>
      </c>
      <c r="J51">
        <v>30000</v>
      </c>
    </row>
    <row r="52" spans="2:10" x14ac:dyDescent="0.25">
      <c r="B52" t="s">
        <v>436</v>
      </c>
      <c r="C52">
        <v>2.1619999999999999</v>
      </c>
      <c r="D52">
        <v>2.1019999999999999</v>
      </c>
      <c r="E52">
        <v>4.7419999999999997E-2</v>
      </c>
      <c r="F52">
        <v>0.39679999999999999</v>
      </c>
      <c r="G52">
        <v>1.597</v>
      </c>
      <c r="H52">
        <v>7.3259999999999996</v>
      </c>
      <c r="I52">
        <v>10001</v>
      </c>
      <c r="J52">
        <v>30000</v>
      </c>
    </row>
    <row r="53" spans="2:10" x14ac:dyDescent="0.25">
      <c r="B53" t="s">
        <v>437</v>
      </c>
      <c r="C53">
        <v>1.901</v>
      </c>
      <c r="D53">
        <v>0.74099999999999999</v>
      </c>
      <c r="E53">
        <v>1.5740000000000001E-2</v>
      </c>
      <c r="F53">
        <v>0.87390000000000001</v>
      </c>
      <c r="G53">
        <v>1.77</v>
      </c>
      <c r="H53">
        <v>3.71</v>
      </c>
      <c r="I53">
        <v>10001</v>
      </c>
      <c r="J53">
        <v>30000</v>
      </c>
    </row>
    <row r="54" spans="2:10" x14ac:dyDescent="0.25">
      <c r="B54" t="s">
        <v>438</v>
      </c>
      <c r="C54">
        <v>0.3553</v>
      </c>
      <c r="D54">
        <v>0.21790000000000001</v>
      </c>
      <c r="E54">
        <v>3.4510000000000001E-3</v>
      </c>
      <c r="F54">
        <v>0.1008</v>
      </c>
      <c r="G54">
        <v>0.30620000000000003</v>
      </c>
      <c r="H54">
        <v>0.89670000000000005</v>
      </c>
      <c r="I54">
        <v>10001</v>
      </c>
      <c r="J54">
        <v>30000</v>
      </c>
    </row>
    <row r="55" spans="2:10" x14ac:dyDescent="0.25">
      <c r="B55" t="s">
        <v>439</v>
      </c>
      <c r="C55">
        <v>0.66090000000000004</v>
      </c>
      <c r="D55">
        <v>0.3821</v>
      </c>
      <c r="E55">
        <v>9.1640000000000003E-3</v>
      </c>
      <c r="F55">
        <v>0.20369999999999999</v>
      </c>
      <c r="G55">
        <v>0.57450000000000001</v>
      </c>
      <c r="H55">
        <v>1.6160000000000001</v>
      </c>
      <c r="I55">
        <v>10001</v>
      </c>
      <c r="J55">
        <v>30000</v>
      </c>
    </row>
    <row r="56" spans="2:10" x14ac:dyDescent="0.25">
      <c r="B56" t="s">
        <v>440</v>
      </c>
      <c r="C56">
        <v>0.84409999999999996</v>
      </c>
      <c r="D56">
        <v>0.26319999999999999</v>
      </c>
      <c r="E56">
        <v>5.901E-3</v>
      </c>
      <c r="F56">
        <v>0.45569999999999999</v>
      </c>
      <c r="G56">
        <v>0.80179999999999996</v>
      </c>
      <c r="H56">
        <v>1.4730000000000001</v>
      </c>
      <c r="I56">
        <v>10001</v>
      </c>
      <c r="J56">
        <v>30000</v>
      </c>
    </row>
    <row r="57" spans="2:10" x14ac:dyDescent="0.25">
      <c r="B57" t="s">
        <v>441</v>
      </c>
      <c r="C57">
        <v>0.1192</v>
      </c>
      <c r="D57">
        <v>3.5490000000000001E-2</v>
      </c>
      <c r="E57" s="13">
        <v>7.6710000000000005E-4</v>
      </c>
      <c r="F57">
        <v>6.3490000000000005E-2</v>
      </c>
      <c r="G57">
        <v>0.1148</v>
      </c>
      <c r="H57">
        <v>0.2026</v>
      </c>
      <c r="I57">
        <v>10001</v>
      </c>
      <c r="J57">
        <v>30000</v>
      </c>
    </row>
    <row r="58" spans="2:10" x14ac:dyDescent="0.25">
      <c r="B58" t="s">
        <v>442</v>
      </c>
      <c r="C58">
        <v>1.4350000000000001</v>
      </c>
      <c r="D58">
        <v>1.4870000000000001</v>
      </c>
      <c r="E58">
        <v>3.1060000000000001E-2</v>
      </c>
      <c r="F58">
        <v>0.22900000000000001</v>
      </c>
      <c r="G58">
        <v>1.0209999999999999</v>
      </c>
      <c r="H58">
        <v>5.0279999999999996</v>
      </c>
      <c r="I58">
        <v>10001</v>
      </c>
      <c r="J58">
        <v>30000</v>
      </c>
    </row>
    <row r="59" spans="2:10" x14ac:dyDescent="0.25">
      <c r="B59" t="s">
        <v>443</v>
      </c>
      <c r="C59">
        <v>1.22</v>
      </c>
      <c r="D59">
        <v>0.501</v>
      </c>
      <c r="E59">
        <v>9.4090000000000007E-3</v>
      </c>
      <c r="F59">
        <v>0.5413</v>
      </c>
      <c r="G59">
        <v>1.1299999999999999</v>
      </c>
      <c r="H59">
        <v>2.4329999999999998</v>
      </c>
      <c r="I59">
        <v>10001</v>
      </c>
      <c r="J59">
        <v>30000</v>
      </c>
    </row>
    <row r="60" spans="2:10" x14ac:dyDescent="0.25">
      <c r="B60" t="s">
        <v>444</v>
      </c>
      <c r="C60">
        <v>0.23680000000000001</v>
      </c>
      <c r="D60">
        <v>0.1724</v>
      </c>
      <c r="E60">
        <v>2.6809999999999998E-3</v>
      </c>
      <c r="F60">
        <v>5.6079999999999998E-2</v>
      </c>
      <c r="G60">
        <v>0.1948</v>
      </c>
      <c r="H60">
        <v>0.66749999999999998</v>
      </c>
      <c r="I60">
        <v>10001</v>
      </c>
      <c r="J60">
        <v>30000</v>
      </c>
    </row>
    <row r="61" spans="2:10" x14ac:dyDescent="0.25">
      <c r="B61" t="s">
        <v>445</v>
      </c>
      <c r="C61">
        <v>0.44090000000000001</v>
      </c>
      <c r="D61">
        <v>0.2979</v>
      </c>
      <c r="E61">
        <v>6.6880000000000004E-3</v>
      </c>
      <c r="F61">
        <v>0.10879999999999999</v>
      </c>
      <c r="G61">
        <v>0.3659</v>
      </c>
      <c r="H61">
        <v>1.1970000000000001</v>
      </c>
      <c r="I61">
        <v>10001</v>
      </c>
      <c r="J61">
        <v>30000</v>
      </c>
    </row>
    <row r="62" spans="2:10" x14ac:dyDescent="0.25">
      <c r="B62" t="s">
        <v>446</v>
      </c>
      <c r="C62">
        <v>0.56399999999999995</v>
      </c>
      <c r="D62">
        <v>0.25940000000000002</v>
      </c>
      <c r="E62">
        <v>5.2230000000000002E-3</v>
      </c>
      <c r="F62">
        <v>0.2283</v>
      </c>
      <c r="G62">
        <v>0.5131</v>
      </c>
      <c r="H62">
        <v>1.2030000000000001</v>
      </c>
      <c r="I62">
        <v>10001</v>
      </c>
      <c r="J62">
        <v>30000</v>
      </c>
    </row>
    <row r="63" spans="2:10" x14ac:dyDescent="0.25">
      <c r="B63" t="s">
        <v>447</v>
      </c>
      <c r="C63">
        <v>7.9589999999999994E-2</v>
      </c>
      <c r="D63">
        <v>3.5139999999999998E-2</v>
      </c>
      <c r="E63" s="13">
        <v>6.6620000000000004E-4</v>
      </c>
      <c r="F63">
        <v>3.1859999999999999E-2</v>
      </c>
      <c r="G63">
        <v>7.3279999999999998E-2</v>
      </c>
      <c r="H63">
        <v>0.1643</v>
      </c>
      <c r="I63">
        <v>10001</v>
      </c>
      <c r="J63">
        <v>30000</v>
      </c>
    </row>
    <row r="64" spans="2:10" x14ac:dyDescent="0.25">
      <c r="B64" t="s">
        <v>448</v>
      </c>
      <c r="C64">
        <v>1.5409999999999999</v>
      </c>
      <c r="D64">
        <v>1.526</v>
      </c>
      <c r="E64">
        <v>2.946E-2</v>
      </c>
      <c r="F64">
        <v>0.21079999999999999</v>
      </c>
      <c r="G64">
        <v>1.1140000000000001</v>
      </c>
      <c r="H64">
        <v>5.3369999999999997</v>
      </c>
      <c r="I64">
        <v>10001</v>
      </c>
      <c r="J64">
        <v>30000</v>
      </c>
    </row>
    <row r="65" spans="2:10" x14ac:dyDescent="0.25">
      <c r="B65" t="s">
        <v>449</v>
      </c>
      <c r="C65">
        <v>0.27029999999999998</v>
      </c>
      <c r="D65">
        <v>0.28120000000000001</v>
      </c>
      <c r="E65">
        <v>5.0679999999999996E-3</v>
      </c>
      <c r="F65">
        <v>3.2809999999999999E-2</v>
      </c>
      <c r="G65">
        <v>0.19189999999999999</v>
      </c>
      <c r="H65">
        <v>0.97950000000000004</v>
      </c>
      <c r="I65">
        <v>10001</v>
      </c>
      <c r="J65">
        <v>30000</v>
      </c>
    </row>
    <row r="66" spans="2:10" x14ac:dyDescent="0.25">
      <c r="B66" t="s">
        <v>450</v>
      </c>
      <c r="C66">
        <v>0.50239999999999996</v>
      </c>
      <c r="D66">
        <v>0.48530000000000001</v>
      </c>
      <c r="E66">
        <v>1.03E-2</v>
      </c>
      <c r="F66">
        <v>6.343E-2</v>
      </c>
      <c r="G66">
        <v>0.3609</v>
      </c>
      <c r="H66">
        <v>1.768</v>
      </c>
      <c r="I66">
        <v>10001</v>
      </c>
      <c r="J66">
        <v>30000</v>
      </c>
    </row>
    <row r="67" spans="2:10" x14ac:dyDescent="0.25">
      <c r="B67" t="s">
        <v>451</v>
      </c>
      <c r="C67">
        <v>0.65800000000000003</v>
      </c>
      <c r="D67">
        <v>0.56000000000000005</v>
      </c>
      <c r="E67">
        <v>1.136E-2</v>
      </c>
      <c r="F67">
        <v>0.1085</v>
      </c>
      <c r="G67">
        <v>0.50600000000000001</v>
      </c>
      <c r="H67">
        <v>2.1110000000000002</v>
      </c>
      <c r="I67">
        <v>10001</v>
      </c>
      <c r="J67">
        <v>30000</v>
      </c>
    </row>
    <row r="68" spans="2:10" x14ac:dyDescent="0.25">
      <c r="B68" t="s">
        <v>452</v>
      </c>
      <c r="C68">
        <v>9.1850000000000001E-2</v>
      </c>
      <c r="D68">
        <v>7.4639999999999998E-2</v>
      </c>
      <c r="E68">
        <v>1.5150000000000001E-3</v>
      </c>
      <c r="F68">
        <v>1.5389999999999999E-2</v>
      </c>
      <c r="G68">
        <v>7.1819999999999995E-2</v>
      </c>
      <c r="H68">
        <v>0.2802</v>
      </c>
      <c r="I68">
        <v>10001</v>
      </c>
      <c r="J68">
        <v>30000</v>
      </c>
    </row>
    <row r="69" spans="2:10" x14ac:dyDescent="0.25">
      <c r="B69" t="s">
        <v>453</v>
      </c>
      <c r="C69">
        <v>0.214</v>
      </c>
      <c r="D69">
        <v>0.1658</v>
      </c>
      <c r="E69">
        <v>2.777E-3</v>
      </c>
      <c r="F69">
        <v>4.5650000000000003E-2</v>
      </c>
      <c r="G69">
        <v>0.17269999999999999</v>
      </c>
      <c r="H69">
        <v>0.62439999999999996</v>
      </c>
      <c r="I69">
        <v>10001</v>
      </c>
      <c r="J69">
        <v>30000</v>
      </c>
    </row>
    <row r="70" spans="2:10" x14ac:dyDescent="0.25">
      <c r="B70" t="s">
        <v>454</v>
      </c>
      <c r="C70">
        <v>0.39939999999999998</v>
      </c>
      <c r="D70">
        <v>0.28920000000000001</v>
      </c>
      <c r="E70">
        <v>6.607E-3</v>
      </c>
      <c r="F70">
        <v>9.0749999999999997E-2</v>
      </c>
      <c r="G70">
        <v>0.3236</v>
      </c>
      <c r="H70">
        <v>1.169</v>
      </c>
      <c r="I70">
        <v>10001</v>
      </c>
      <c r="J70">
        <v>30000</v>
      </c>
    </row>
    <row r="71" spans="2:10" x14ac:dyDescent="0.25">
      <c r="B71" t="s">
        <v>455</v>
      </c>
      <c r="C71">
        <v>0.50860000000000005</v>
      </c>
      <c r="D71">
        <v>0.25750000000000001</v>
      </c>
      <c r="E71">
        <v>5.3790000000000001E-3</v>
      </c>
      <c r="F71">
        <v>0.18190000000000001</v>
      </c>
      <c r="G71">
        <v>0.4551</v>
      </c>
      <c r="H71">
        <v>1.153</v>
      </c>
      <c r="I71">
        <v>10001</v>
      </c>
      <c r="J71">
        <v>30000</v>
      </c>
    </row>
    <row r="72" spans="2:10" x14ac:dyDescent="0.25">
      <c r="B72" t="s">
        <v>456</v>
      </c>
      <c r="C72">
        <v>7.177E-2</v>
      </c>
      <c r="D72">
        <v>3.5189999999999999E-2</v>
      </c>
      <c r="E72" s="13">
        <v>7.3070000000000003E-4</v>
      </c>
      <c r="F72">
        <v>2.547E-2</v>
      </c>
      <c r="G72">
        <v>6.4600000000000005E-2</v>
      </c>
      <c r="H72">
        <v>0.1575</v>
      </c>
      <c r="I72">
        <v>10001</v>
      </c>
      <c r="J72">
        <v>30000</v>
      </c>
    </row>
    <row r="73" spans="2:10" x14ac:dyDescent="0.25">
      <c r="B73" t="s">
        <v>457</v>
      </c>
      <c r="C73">
        <v>2.3860000000000001</v>
      </c>
      <c r="D73">
        <v>1.9179999999999999</v>
      </c>
      <c r="E73">
        <v>3.916E-2</v>
      </c>
      <c r="F73">
        <v>0.4924</v>
      </c>
      <c r="G73">
        <v>1.877</v>
      </c>
      <c r="H73">
        <v>7.1260000000000003</v>
      </c>
      <c r="I73">
        <v>10001</v>
      </c>
      <c r="J73">
        <v>30000</v>
      </c>
    </row>
    <row r="74" spans="2:10" x14ac:dyDescent="0.25">
      <c r="B74" t="s">
        <v>458</v>
      </c>
      <c r="C74">
        <v>3.121</v>
      </c>
      <c r="D74">
        <v>2.0710000000000002</v>
      </c>
      <c r="E74">
        <v>3.5639999999999998E-2</v>
      </c>
      <c r="F74">
        <v>0.88849999999999996</v>
      </c>
      <c r="G74">
        <v>2.64</v>
      </c>
      <c r="H74">
        <v>8.2379999999999995</v>
      </c>
      <c r="I74">
        <v>10001</v>
      </c>
      <c r="J74">
        <v>30000</v>
      </c>
    </row>
    <row r="75" spans="2:10" x14ac:dyDescent="0.25">
      <c r="B75" t="s">
        <v>459</v>
      </c>
      <c r="C75">
        <v>0.43790000000000001</v>
      </c>
      <c r="D75">
        <v>0.27210000000000001</v>
      </c>
      <c r="E75">
        <v>4.5030000000000001E-3</v>
      </c>
      <c r="F75">
        <v>0.12520000000000001</v>
      </c>
      <c r="G75">
        <v>0.37440000000000001</v>
      </c>
      <c r="H75">
        <v>1.111</v>
      </c>
      <c r="I75">
        <v>10001</v>
      </c>
      <c r="J75">
        <v>30000</v>
      </c>
    </row>
    <row r="76" spans="2:10" x14ac:dyDescent="0.25">
      <c r="B76" t="s">
        <v>460</v>
      </c>
      <c r="C76">
        <v>1.6279999999999999</v>
      </c>
      <c r="D76">
        <v>0.9919</v>
      </c>
      <c r="E76">
        <v>2.256E-2</v>
      </c>
      <c r="F76">
        <v>0.49399999999999999</v>
      </c>
      <c r="G76">
        <v>1.3959999999999999</v>
      </c>
      <c r="H76">
        <v>4.1260000000000003</v>
      </c>
      <c r="I76">
        <v>10001</v>
      </c>
      <c r="J76">
        <v>30000</v>
      </c>
    </row>
    <row r="77" spans="2:10" x14ac:dyDescent="0.25">
      <c r="B77" t="s">
        <v>461</v>
      </c>
      <c r="C77">
        <v>0.2291</v>
      </c>
      <c r="D77">
        <v>0.1361</v>
      </c>
      <c r="E77">
        <v>3.1340000000000001E-3</v>
      </c>
      <c r="F77">
        <v>7.1739999999999998E-2</v>
      </c>
      <c r="G77">
        <v>0.1981</v>
      </c>
      <c r="H77">
        <v>0.56120000000000003</v>
      </c>
      <c r="I77">
        <v>10001</v>
      </c>
      <c r="J77">
        <v>30000</v>
      </c>
    </row>
    <row r="78" spans="2:10" x14ac:dyDescent="0.25">
      <c r="B78" t="s">
        <v>462</v>
      </c>
      <c r="C78">
        <v>0.1467</v>
      </c>
      <c r="D78">
        <v>3.9070000000000001E-2</v>
      </c>
      <c r="E78" s="13">
        <v>8.9499999999999996E-4</v>
      </c>
      <c r="F78">
        <v>8.158E-2</v>
      </c>
      <c r="G78">
        <v>0.14280000000000001</v>
      </c>
      <c r="H78">
        <v>0.23480000000000001</v>
      </c>
      <c r="I78">
        <v>10001</v>
      </c>
      <c r="J78">
        <v>30000</v>
      </c>
    </row>
    <row r="79" spans="2:10" x14ac:dyDescent="0.25">
      <c r="B79" t="s">
        <v>463</v>
      </c>
      <c r="C79">
        <v>0.50539999999999996</v>
      </c>
      <c r="D79">
        <v>0.1168</v>
      </c>
      <c r="E79">
        <v>2.3319999999999999E-3</v>
      </c>
      <c r="F79">
        <v>0.33329999999999999</v>
      </c>
      <c r="G79">
        <v>0.44440000000000002</v>
      </c>
      <c r="H79">
        <v>0.77780000000000005</v>
      </c>
      <c r="I79">
        <v>10001</v>
      </c>
      <c r="J79">
        <v>30000</v>
      </c>
    </row>
    <row r="80" spans="2:10" x14ac:dyDescent="0.25">
      <c r="B80" t="s">
        <v>464</v>
      </c>
      <c r="C80">
        <v>0.23050000000000001</v>
      </c>
      <c r="D80">
        <v>7.1340000000000001E-2</v>
      </c>
      <c r="E80">
        <v>1.217E-3</v>
      </c>
      <c r="F80">
        <v>0.1111</v>
      </c>
      <c r="G80">
        <v>0.22220000000000001</v>
      </c>
      <c r="H80">
        <v>0.33329999999999999</v>
      </c>
      <c r="I80">
        <v>10001</v>
      </c>
      <c r="J80">
        <v>30000</v>
      </c>
    </row>
    <row r="81" spans="2:10" x14ac:dyDescent="0.25">
      <c r="B81" t="s">
        <v>465</v>
      </c>
      <c r="C81">
        <v>0.64610000000000001</v>
      </c>
      <c r="D81">
        <v>0.1191</v>
      </c>
      <c r="E81">
        <v>2.434E-3</v>
      </c>
      <c r="F81">
        <v>0.33329999999999999</v>
      </c>
      <c r="G81">
        <v>0.66669999999999996</v>
      </c>
      <c r="H81">
        <v>0.88890000000000002</v>
      </c>
      <c r="I81">
        <v>10001</v>
      </c>
      <c r="J81">
        <v>30000</v>
      </c>
    </row>
    <row r="82" spans="2:10" x14ac:dyDescent="0.25">
      <c r="B82" t="s">
        <v>466</v>
      </c>
      <c r="C82">
        <v>0.85</v>
      </c>
      <c r="D82">
        <v>0.11890000000000001</v>
      </c>
      <c r="E82">
        <v>2.013E-3</v>
      </c>
      <c r="F82">
        <v>0.55559999999999998</v>
      </c>
      <c r="G82">
        <v>0.88890000000000002</v>
      </c>
      <c r="H82">
        <v>1</v>
      </c>
      <c r="I82">
        <v>10001</v>
      </c>
      <c r="J82">
        <v>30000</v>
      </c>
    </row>
    <row r="83" spans="2:10" x14ac:dyDescent="0.25">
      <c r="B83" t="s">
        <v>467</v>
      </c>
      <c r="C83">
        <v>0.80130000000000001</v>
      </c>
      <c r="D83">
        <v>0.22389999999999999</v>
      </c>
      <c r="E83">
        <v>4.8580000000000003E-3</v>
      </c>
      <c r="F83">
        <v>0.22220000000000001</v>
      </c>
      <c r="G83">
        <v>0.88890000000000002</v>
      </c>
      <c r="H83">
        <v>1</v>
      </c>
      <c r="I83">
        <v>10001</v>
      </c>
      <c r="J83">
        <v>30000</v>
      </c>
    </row>
    <row r="84" spans="2:10" x14ac:dyDescent="0.25">
      <c r="B84" t="s">
        <v>468</v>
      </c>
      <c r="C84">
        <v>0.88819999999999999</v>
      </c>
      <c r="D84">
        <v>0.12470000000000001</v>
      </c>
      <c r="E84">
        <v>2.3149999999999998E-3</v>
      </c>
      <c r="F84">
        <v>0.55559999999999998</v>
      </c>
      <c r="G84">
        <v>0.88890000000000002</v>
      </c>
      <c r="H84">
        <v>1</v>
      </c>
      <c r="I84">
        <v>10001</v>
      </c>
      <c r="J84">
        <v>30000</v>
      </c>
    </row>
    <row r="85" spans="2:10" x14ac:dyDescent="0.25">
      <c r="B85" t="s">
        <v>469</v>
      </c>
      <c r="C85">
        <v>0.16600000000000001</v>
      </c>
      <c r="D85">
        <v>0.1212</v>
      </c>
      <c r="E85">
        <v>1.6949999999999999E-3</v>
      </c>
      <c r="F85">
        <v>0</v>
      </c>
      <c r="G85">
        <v>0.1111</v>
      </c>
      <c r="H85">
        <v>0.55559999999999998</v>
      </c>
      <c r="I85">
        <v>10001</v>
      </c>
      <c r="J85">
        <v>30000</v>
      </c>
    </row>
    <row r="86" spans="2:10" x14ac:dyDescent="0.25">
      <c r="B86" t="s">
        <v>470</v>
      </c>
      <c r="C86">
        <v>0.3805</v>
      </c>
      <c r="D86">
        <v>0.1988</v>
      </c>
      <c r="E86">
        <v>4.8539999999999998E-3</v>
      </c>
      <c r="F86">
        <v>0.1111</v>
      </c>
      <c r="G86">
        <v>0.33329999999999999</v>
      </c>
      <c r="H86">
        <v>0.88890000000000002</v>
      </c>
      <c r="I86">
        <v>10001</v>
      </c>
      <c r="J86">
        <v>30000</v>
      </c>
    </row>
    <row r="87" spans="2:10" x14ac:dyDescent="0.25">
      <c r="B87" t="s">
        <v>471</v>
      </c>
      <c r="C87">
        <v>0.52759999999999996</v>
      </c>
      <c r="D87">
        <v>0.1449</v>
      </c>
      <c r="E87">
        <v>2.9759999999999999E-3</v>
      </c>
      <c r="F87">
        <v>0.33329999999999999</v>
      </c>
      <c r="G87">
        <v>0.55559999999999998</v>
      </c>
      <c r="H87">
        <v>0.88890000000000002</v>
      </c>
      <c r="I87">
        <v>10001</v>
      </c>
      <c r="J87">
        <v>30000</v>
      </c>
    </row>
    <row r="88" spans="2:10" x14ac:dyDescent="0.25">
      <c r="B88" t="s">
        <v>472</v>
      </c>
      <c r="C88">
        <v>4.4590000000000003E-3</v>
      </c>
      <c r="D88">
        <v>2.1999999999999999E-2</v>
      </c>
      <c r="E88" s="13">
        <v>2.4840000000000002E-4</v>
      </c>
      <c r="F88">
        <v>0</v>
      </c>
      <c r="G88">
        <v>0</v>
      </c>
      <c r="H88">
        <v>0.1111</v>
      </c>
      <c r="I88">
        <v>10001</v>
      </c>
      <c r="J88">
        <v>30000</v>
      </c>
    </row>
    <row r="89" spans="2:10" x14ac:dyDescent="0.25">
      <c r="B89" t="s">
        <v>473</v>
      </c>
      <c r="C89">
        <v>1.2329999999999999E-3</v>
      </c>
      <c r="D89">
        <v>3.5099999999999999E-2</v>
      </c>
      <c r="E89" s="13">
        <v>2.9290000000000002E-4</v>
      </c>
      <c r="F89">
        <v>0</v>
      </c>
      <c r="G89">
        <v>0</v>
      </c>
      <c r="H89">
        <v>0</v>
      </c>
      <c r="I89">
        <v>10001</v>
      </c>
      <c r="J89">
        <v>30000</v>
      </c>
    </row>
    <row r="90" spans="2:10" x14ac:dyDescent="0.25">
      <c r="B90" t="s">
        <v>474</v>
      </c>
      <c r="C90">
        <v>0</v>
      </c>
      <c r="D90">
        <v>0</v>
      </c>
      <c r="E90" s="13">
        <v>3.333E-13</v>
      </c>
      <c r="F90">
        <v>0</v>
      </c>
      <c r="G90">
        <v>0</v>
      </c>
      <c r="H90">
        <v>0</v>
      </c>
      <c r="I90">
        <v>10001</v>
      </c>
      <c r="J90">
        <v>30000</v>
      </c>
    </row>
    <row r="91" spans="2:10" x14ac:dyDescent="0.25">
      <c r="B91" t="s">
        <v>475</v>
      </c>
      <c r="C91">
        <v>2.7669999999999999E-3</v>
      </c>
      <c r="D91">
        <v>5.253E-2</v>
      </c>
      <c r="E91" s="13">
        <v>5.2760000000000003E-4</v>
      </c>
      <c r="F91">
        <v>0</v>
      </c>
      <c r="G91">
        <v>0</v>
      </c>
      <c r="H91">
        <v>0</v>
      </c>
      <c r="I91">
        <v>10001</v>
      </c>
      <c r="J91">
        <v>30000</v>
      </c>
    </row>
    <row r="92" spans="2:10" x14ac:dyDescent="0.25">
      <c r="B92" t="s">
        <v>476</v>
      </c>
      <c r="C92">
        <v>0.19550000000000001</v>
      </c>
      <c r="D92">
        <v>0.39660000000000001</v>
      </c>
      <c r="E92">
        <v>6.613E-3</v>
      </c>
      <c r="F92">
        <v>0</v>
      </c>
      <c r="G92">
        <v>0</v>
      </c>
      <c r="H92">
        <v>1</v>
      </c>
      <c r="I92">
        <v>10001</v>
      </c>
      <c r="J92">
        <v>30000</v>
      </c>
    </row>
    <row r="93" spans="2:10" x14ac:dyDescent="0.25">
      <c r="B93" t="s">
        <v>477</v>
      </c>
      <c r="C93">
        <v>0.3957</v>
      </c>
      <c r="D93">
        <v>0.48899999999999999</v>
      </c>
      <c r="E93">
        <v>1.0149999999999999E-2</v>
      </c>
      <c r="F93">
        <v>0</v>
      </c>
      <c r="G93">
        <v>0</v>
      </c>
      <c r="H93">
        <v>1</v>
      </c>
      <c r="I93">
        <v>10001</v>
      </c>
      <c r="J93">
        <v>30000</v>
      </c>
    </row>
    <row r="94" spans="2:10" x14ac:dyDescent="0.25">
      <c r="B94" t="s">
        <v>478</v>
      </c>
      <c r="C94">
        <v>0.3891</v>
      </c>
      <c r="D94">
        <v>0.48759999999999998</v>
      </c>
      <c r="E94">
        <v>8.9820000000000004E-3</v>
      </c>
      <c r="F94">
        <v>0</v>
      </c>
      <c r="G94">
        <v>0</v>
      </c>
      <c r="H94">
        <v>1</v>
      </c>
      <c r="I94">
        <v>10001</v>
      </c>
      <c r="J94">
        <v>30000</v>
      </c>
    </row>
    <row r="95" spans="2:10" x14ac:dyDescent="0.25">
      <c r="B95" t="s">
        <v>479</v>
      </c>
      <c r="C95">
        <v>1.067E-3</v>
      </c>
      <c r="D95">
        <v>3.2640000000000002E-2</v>
      </c>
      <c r="E95" s="13">
        <v>2.429E-4</v>
      </c>
      <c r="F95">
        <v>0</v>
      </c>
      <c r="G95">
        <v>0</v>
      </c>
      <c r="H95">
        <v>0</v>
      </c>
      <c r="I95">
        <v>10001</v>
      </c>
      <c r="J95">
        <v>30000</v>
      </c>
    </row>
    <row r="96" spans="2:10" x14ac:dyDescent="0.25">
      <c r="B96" t="s">
        <v>480</v>
      </c>
      <c r="C96">
        <v>8.933E-3</v>
      </c>
      <c r="D96">
        <v>9.4089999999999993E-2</v>
      </c>
      <c r="E96">
        <v>1.075E-3</v>
      </c>
      <c r="F96">
        <v>0</v>
      </c>
      <c r="G96">
        <v>0</v>
      </c>
      <c r="H96">
        <v>0</v>
      </c>
      <c r="I96">
        <v>10001</v>
      </c>
      <c r="J96">
        <v>30000</v>
      </c>
    </row>
    <row r="97" spans="2:10" x14ac:dyDescent="0.25">
      <c r="B97" t="s">
        <v>481</v>
      </c>
      <c r="C97">
        <v>5.6670000000000002E-3</v>
      </c>
      <c r="D97">
        <v>7.5060000000000002E-2</v>
      </c>
      <c r="E97" s="13">
        <v>8.0239999999999999E-4</v>
      </c>
      <c r="F97">
        <v>0</v>
      </c>
      <c r="G97">
        <v>0</v>
      </c>
      <c r="H97">
        <v>0</v>
      </c>
      <c r="I97">
        <v>10001</v>
      </c>
      <c r="J97">
        <v>30000</v>
      </c>
    </row>
    <row r="98" spans="2:10" x14ac:dyDescent="0.25">
      <c r="B98" t="s">
        <v>482</v>
      </c>
      <c r="C98">
        <v>0</v>
      </c>
      <c r="D98">
        <v>0</v>
      </c>
      <c r="E98" s="13">
        <v>3.333E-13</v>
      </c>
      <c r="F98">
        <v>0</v>
      </c>
      <c r="G98">
        <v>0</v>
      </c>
      <c r="H98">
        <v>0</v>
      </c>
      <c r="I98">
        <v>10001</v>
      </c>
      <c r="J98">
        <v>30000</v>
      </c>
    </row>
    <row r="99" spans="2:10" x14ac:dyDescent="0.25">
      <c r="B99" t="s">
        <v>483</v>
      </c>
      <c r="C99">
        <v>1.131</v>
      </c>
      <c r="D99">
        <v>1.5089999999999999</v>
      </c>
      <c r="E99">
        <v>1.9709999999999998E-2</v>
      </c>
      <c r="F99">
        <v>1.3090000000000001E-3</v>
      </c>
      <c r="G99">
        <v>0.55389999999999995</v>
      </c>
      <c r="H99">
        <v>5.4109999999999996</v>
      </c>
      <c r="I99">
        <v>10001</v>
      </c>
      <c r="J99">
        <v>30000</v>
      </c>
    </row>
    <row r="100" spans="2:10" x14ac:dyDescent="0.25">
      <c r="B100" t="s">
        <v>484</v>
      </c>
      <c r="C100">
        <v>1.0669999999999999</v>
      </c>
      <c r="D100">
        <v>1.46</v>
      </c>
      <c r="E100">
        <v>1.41E-2</v>
      </c>
      <c r="F100">
        <v>1.1479999999999999E-3</v>
      </c>
      <c r="G100">
        <v>0.50970000000000004</v>
      </c>
      <c r="H100">
        <v>5.2329999999999997</v>
      </c>
      <c r="I100">
        <v>10001</v>
      </c>
      <c r="J100">
        <v>30000</v>
      </c>
    </row>
    <row r="101" spans="2:10" x14ac:dyDescent="0.25">
      <c r="B101" t="s">
        <v>485</v>
      </c>
      <c r="C101">
        <v>0.75039999999999996</v>
      </c>
      <c r="D101">
        <v>1.0640000000000001</v>
      </c>
      <c r="E101">
        <v>6.2300000000000003E-3</v>
      </c>
      <c r="F101" s="13">
        <v>7.4299999999999995E-4</v>
      </c>
      <c r="G101">
        <v>0.34499999999999997</v>
      </c>
      <c r="H101">
        <v>3.77</v>
      </c>
      <c r="I101">
        <v>10001</v>
      </c>
      <c r="J101">
        <v>30000</v>
      </c>
    </row>
    <row r="102" spans="2:10" x14ac:dyDescent="0.25">
      <c r="B102" t="s">
        <v>486</v>
      </c>
      <c r="C102">
        <v>0.44629999999999997</v>
      </c>
      <c r="D102">
        <v>0.62309999999999999</v>
      </c>
      <c r="E102">
        <v>4.1370000000000001E-3</v>
      </c>
      <c r="F102" s="13">
        <v>5.1690000000000004E-4</v>
      </c>
      <c r="G102">
        <v>0.20880000000000001</v>
      </c>
      <c r="H102">
        <v>2.1880000000000002</v>
      </c>
      <c r="I102">
        <v>10001</v>
      </c>
      <c r="J102">
        <v>30000</v>
      </c>
    </row>
    <row r="103" spans="2:10" x14ac:dyDescent="0.25">
      <c r="B103" t="s">
        <v>487</v>
      </c>
      <c r="C103">
        <v>0.83120000000000005</v>
      </c>
      <c r="D103">
        <v>1.1679999999999999</v>
      </c>
      <c r="E103">
        <v>7.6420000000000004E-3</v>
      </c>
      <c r="F103" s="13">
        <v>8.2930000000000005E-4</v>
      </c>
      <c r="G103">
        <v>0.38179999999999997</v>
      </c>
      <c r="H103">
        <v>4.1189999999999998</v>
      </c>
      <c r="I103">
        <v>10001</v>
      </c>
      <c r="J103">
        <v>30000</v>
      </c>
    </row>
    <row r="104" spans="2:10" x14ac:dyDescent="0.25">
      <c r="B104" t="s">
        <v>488</v>
      </c>
      <c r="C104">
        <v>0.67130000000000001</v>
      </c>
      <c r="D104">
        <v>0.96860000000000002</v>
      </c>
      <c r="E104">
        <v>7.4700000000000001E-3</v>
      </c>
      <c r="F104" s="13">
        <v>5.978E-4</v>
      </c>
      <c r="G104">
        <v>0.30170000000000002</v>
      </c>
      <c r="H104">
        <v>3.41</v>
      </c>
      <c r="I104">
        <v>10001</v>
      </c>
      <c r="J104">
        <v>30000</v>
      </c>
    </row>
    <row r="105" spans="2:10" x14ac:dyDescent="0.25">
      <c r="B105" t="s">
        <v>489</v>
      </c>
      <c r="C105">
        <v>1.298</v>
      </c>
      <c r="D105">
        <v>1.6930000000000001</v>
      </c>
      <c r="E105">
        <v>1.6039999999999999E-2</v>
      </c>
      <c r="F105">
        <v>1.3829999999999999E-3</v>
      </c>
      <c r="G105">
        <v>0.64380000000000004</v>
      </c>
      <c r="H105">
        <v>6.0880000000000001</v>
      </c>
      <c r="I105">
        <v>10001</v>
      </c>
      <c r="J105">
        <v>30000</v>
      </c>
    </row>
    <row r="106" spans="2:10" x14ac:dyDescent="0.25">
      <c r="B106" t="s">
        <v>490</v>
      </c>
      <c r="C106">
        <v>1.3120000000000001</v>
      </c>
      <c r="D106">
        <v>1.573</v>
      </c>
      <c r="E106">
        <v>1.8669999999999999E-2</v>
      </c>
      <c r="F106">
        <v>2.1930000000000001E-3</v>
      </c>
      <c r="G106">
        <v>0.73980000000000001</v>
      </c>
      <c r="H106">
        <v>5.64</v>
      </c>
      <c r="I106">
        <v>10001</v>
      </c>
      <c r="J106">
        <v>30000</v>
      </c>
    </row>
    <row r="107" spans="2:10" x14ac:dyDescent="0.25">
      <c r="B107" t="s">
        <v>491</v>
      </c>
      <c r="C107">
        <v>0.83699999999999997</v>
      </c>
      <c r="D107">
        <v>1.1739999999999999</v>
      </c>
      <c r="E107">
        <v>8.1130000000000004E-3</v>
      </c>
      <c r="F107" s="13">
        <v>8.5220000000000001E-4</v>
      </c>
      <c r="G107">
        <v>0.38119999999999998</v>
      </c>
      <c r="H107">
        <v>4.165</v>
      </c>
      <c r="I107">
        <v>10001</v>
      </c>
      <c r="J107">
        <v>30000</v>
      </c>
    </row>
    <row r="108" spans="2:10" x14ac:dyDescent="0.25">
      <c r="B108" t="s">
        <v>492</v>
      </c>
      <c r="C108">
        <v>0.68020000000000003</v>
      </c>
      <c r="D108">
        <v>0.9708</v>
      </c>
      <c r="E108">
        <v>7.6610000000000003E-3</v>
      </c>
      <c r="F108" s="13">
        <v>7.0080000000000001E-4</v>
      </c>
      <c r="G108">
        <v>0.31040000000000001</v>
      </c>
      <c r="H108">
        <v>3.4220000000000002</v>
      </c>
      <c r="I108">
        <v>10001</v>
      </c>
      <c r="J108">
        <v>30000</v>
      </c>
    </row>
    <row r="109" spans="2:10" x14ac:dyDescent="0.25">
      <c r="B109" t="s">
        <v>493</v>
      </c>
      <c r="C109">
        <v>1.042</v>
      </c>
      <c r="D109">
        <v>1.444</v>
      </c>
      <c r="E109">
        <v>1.7860000000000001E-2</v>
      </c>
      <c r="F109">
        <v>1.1640000000000001E-3</v>
      </c>
      <c r="G109">
        <v>0.48199999999999998</v>
      </c>
      <c r="H109">
        <v>5.1749999999999998</v>
      </c>
      <c r="I109">
        <v>10001</v>
      </c>
      <c r="J109">
        <v>30000</v>
      </c>
    </row>
    <row r="110" spans="2:10" x14ac:dyDescent="0.25">
      <c r="B110" t="s">
        <v>494</v>
      </c>
      <c r="C110">
        <v>0.95540000000000003</v>
      </c>
      <c r="D110">
        <v>1.337</v>
      </c>
      <c r="E110">
        <v>1.5469999999999999E-2</v>
      </c>
      <c r="F110" s="13">
        <v>9.745E-4</v>
      </c>
      <c r="G110">
        <v>0.442</v>
      </c>
      <c r="H110">
        <v>4.7220000000000004</v>
      </c>
      <c r="I110">
        <v>10001</v>
      </c>
      <c r="J110">
        <v>30000</v>
      </c>
    </row>
    <row r="111" spans="2:10" x14ac:dyDescent="0.25">
      <c r="B111" t="s">
        <v>495</v>
      </c>
      <c r="C111">
        <v>1.024</v>
      </c>
      <c r="D111">
        <v>1.456</v>
      </c>
      <c r="E111">
        <v>1.3480000000000001E-2</v>
      </c>
      <c r="F111" s="13">
        <v>9.1449999999999995E-4</v>
      </c>
      <c r="G111">
        <v>0.46110000000000001</v>
      </c>
      <c r="H111">
        <v>5.1859999999999999</v>
      </c>
      <c r="I111">
        <v>10001</v>
      </c>
      <c r="J111">
        <v>30000</v>
      </c>
    </row>
    <row r="112" spans="2:10" x14ac:dyDescent="0.25">
      <c r="B112" t="s">
        <v>496</v>
      </c>
      <c r="C112">
        <v>1.0509999999999999</v>
      </c>
      <c r="D112">
        <v>1.4930000000000001</v>
      </c>
      <c r="E112">
        <v>2.2040000000000001E-2</v>
      </c>
      <c r="F112">
        <v>1.07E-3</v>
      </c>
      <c r="G112">
        <v>0.47710000000000002</v>
      </c>
      <c r="H112">
        <v>5.29</v>
      </c>
      <c r="I112">
        <v>10001</v>
      </c>
      <c r="J112">
        <v>30000</v>
      </c>
    </row>
    <row r="113" spans="2:10" x14ac:dyDescent="0.25">
      <c r="B113" t="s">
        <v>497</v>
      </c>
      <c r="C113">
        <v>0.77090000000000003</v>
      </c>
      <c r="D113">
        <v>1.1040000000000001</v>
      </c>
      <c r="E113">
        <v>1.179E-2</v>
      </c>
      <c r="F113" s="13">
        <v>8.3589999999999999E-4</v>
      </c>
      <c r="G113">
        <v>0.3463</v>
      </c>
      <c r="H113">
        <v>3.948</v>
      </c>
      <c r="I113">
        <v>10001</v>
      </c>
      <c r="J113">
        <v>30000</v>
      </c>
    </row>
    <row r="114" spans="2:10" x14ac:dyDescent="0.25">
      <c r="B114" t="s">
        <v>498</v>
      </c>
      <c r="C114">
        <v>0.92290000000000005</v>
      </c>
      <c r="D114">
        <v>1.3149999999999999</v>
      </c>
      <c r="E114">
        <v>7.8440000000000003E-3</v>
      </c>
      <c r="F114" s="13">
        <v>9.079E-4</v>
      </c>
      <c r="G114">
        <v>0.41199999999999998</v>
      </c>
      <c r="H114">
        <v>4.6539999999999999</v>
      </c>
      <c r="I114">
        <v>10001</v>
      </c>
      <c r="J114">
        <v>30000</v>
      </c>
    </row>
    <row r="115" spans="2:10" x14ac:dyDescent="0.25">
      <c r="B115" t="s">
        <v>499</v>
      </c>
      <c r="C115">
        <v>1.026</v>
      </c>
      <c r="D115">
        <v>1.448</v>
      </c>
      <c r="E115">
        <v>1.3860000000000001E-2</v>
      </c>
      <c r="F115">
        <v>1.052E-3</v>
      </c>
      <c r="G115">
        <v>0.4637</v>
      </c>
      <c r="H115">
        <v>5.0410000000000004</v>
      </c>
      <c r="I115">
        <v>10001</v>
      </c>
      <c r="J115">
        <v>30000</v>
      </c>
    </row>
    <row r="116" spans="2:10" x14ac:dyDescent="0.25">
      <c r="B116" t="s">
        <v>500</v>
      </c>
      <c r="C116">
        <v>0.99629999999999996</v>
      </c>
      <c r="D116">
        <v>1.4</v>
      </c>
      <c r="E116">
        <v>1.176E-2</v>
      </c>
      <c r="F116">
        <v>1.073E-3</v>
      </c>
      <c r="G116">
        <v>0.45600000000000002</v>
      </c>
      <c r="H116">
        <v>4.9880000000000004</v>
      </c>
      <c r="I116">
        <v>10001</v>
      </c>
      <c r="J116">
        <v>30000</v>
      </c>
    </row>
    <row r="117" spans="2:10" x14ac:dyDescent="0.25">
      <c r="B117" t="s">
        <v>501</v>
      </c>
      <c r="C117">
        <v>0.71230000000000004</v>
      </c>
      <c r="D117">
        <v>1</v>
      </c>
      <c r="E117">
        <v>8.7019999999999997E-3</v>
      </c>
      <c r="F117" s="13">
        <v>8.1189999999999995E-4</v>
      </c>
      <c r="G117">
        <v>0.32519999999999999</v>
      </c>
      <c r="H117">
        <v>3.5459999999999998</v>
      </c>
      <c r="I117">
        <v>10001</v>
      </c>
      <c r="J117">
        <v>30000</v>
      </c>
    </row>
    <row r="118" spans="2:10" x14ac:dyDescent="0.25">
      <c r="B118" t="s">
        <v>502</v>
      </c>
      <c r="C118">
        <v>0.74390000000000001</v>
      </c>
      <c r="D118">
        <v>1.071</v>
      </c>
      <c r="E118">
        <v>7.2420000000000002E-3</v>
      </c>
      <c r="F118" s="13">
        <v>8.3089999999999998E-4</v>
      </c>
      <c r="G118">
        <v>0.3367</v>
      </c>
      <c r="H118">
        <v>3.8039999999999998</v>
      </c>
      <c r="I118">
        <v>10001</v>
      </c>
      <c r="J118">
        <v>30000</v>
      </c>
    </row>
    <row r="119" spans="2:10" x14ac:dyDescent="0.25">
      <c r="B119" t="s">
        <v>503</v>
      </c>
      <c r="C119">
        <v>0.57540000000000002</v>
      </c>
      <c r="D119">
        <v>0.80600000000000005</v>
      </c>
      <c r="E119">
        <v>4.7239999999999999E-3</v>
      </c>
      <c r="F119" s="13">
        <v>6.2509999999999996E-4</v>
      </c>
      <c r="G119">
        <v>0.26650000000000001</v>
      </c>
      <c r="H119">
        <v>2.8519999999999999</v>
      </c>
      <c r="I119">
        <v>10001</v>
      </c>
      <c r="J119">
        <v>30000</v>
      </c>
    </row>
    <row r="120" spans="2:10" x14ac:dyDescent="0.25">
      <c r="B120" t="s">
        <v>504</v>
      </c>
      <c r="C120">
        <v>0.5968</v>
      </c>
      <c r="D120">
        <v>0.83320000000000005</v>
      </c>
      <c r="E120">
        <v>4.7520000000000001E-3</v>
      </c>
      <c r="F120" s="13">
        <v>5.7609999999999996E-4</v>
      </c>
      <c r="G120">
        <v>0.2762</v>
      </c>
      <c r="H120">
        <v>2.9460000000000002</v>
      </c>
      <c r="I120">
        <v>10001</v>
      </c>
      <c r="J120">
        <v>30000</v>
      </c>
    </row>
    <row r="121" spans="2:10" x14ac:dyDescent="0.25">
      <c r="B121" t="s">
        <v>505</v>
      </c>
      <c r="C121">
        <v>0.86280000000000001</v>
      </c>
      <c r="D121">
        <v>1.2150000000000001</v>
      </c>
      <c r="E121">
        <v>1.068E-2</v>
      </c>
      <c r="F121" s="13">
        <v>8.7009999999999995E-4</v>
      </c>
      <c r="G121">
        <v>0.40060000000000001</v>
      </c>
      <c r="H121">
        <v>4.282</v>
      </c>
      <c r="I121">
        <v>10001</v>
      </c>
      <c r="J121">
        <v>30000</v>
      </c>
    </row>
    <row r="122" spans="2:10" x14ac:dyDescent="0.25">
      <c r="B122" t="s">
        <v>506</v>
      </c>
      <c r="C122">
        <v>0.86280000000000001</v>
      </c>
      <c r="D122">
        <v>1.22</v>
      </c>
      <c r="E122">
        <v>8.7220000000000006E-3</v>
      </c>
      <c r="F122" s="13">
        <v>8.8239999999999998E-4</v>
      </c>
      <c r="G122">
        <v>0.39290000000000003</v>
      </c>
      <c r="H122">
        <v>4.3159999999999998</v>
      </c>
      <c r="I122">
        <v>10001</v>
      </c>
      <c r="J122">
        <v>30000</v>
      </c>
    </row>
    <row r="123" spans="2:10" x14ac:dyDescent="0.25">
      <c r="B123" t="s">
        <v>507</v>
      </c>
      <c r="C123">
        <v>1.0680000000000001</v>
      </c>
      <c r="D123">
        <v>1.4179999999999999</v>
      </c>
      <c r="E123">
        <v>1.9789999999999999E-2</v>
      </c>
      <c r="F123">
        <v>1.32E-3</v>
      </c>
      <c r="G123">
        <v>0.52110000000000001</v>
      </c>
      <c r="H123">
        <v>5.08</v>
      </c>
      <c r="I123">
        <v>10001</v>
      </c>
      <c r="J123">
        <v>30000</v>
      </c>
    </row>
    <row r="124" spans="2:10" x14ac:dyDescent="0.25">
      <c r="B124" t="s">
        <v>508</v>
      </c>
      <c r="C124">
        <v>1.147</v>
      </c>
      <c r="D124">
        <v>1.5309999999999999</v>
      </c>
      <c r="E124">
        <v>1.545E-2</v>
      </c>
      <c r="F124">
        <v>1.408E-3</v>
      </c>
      <c r="G124">
        <v>0.56430000000000002</v>
      </c>
      <c r="H124">
        <v>5.4539999999999997</v>
      </c>
      <c r="I124">
        <v>10001</v>
      </c>
      <c r="J124">
        <v>30000</v>
      </c>
    </row>
    <row r="125" spans="2:10" x14ac:dyDescent="0.25">
      <c r="B125" t="s">
        <v>509</v>
      </c>
      <c r="C125">
        <v>0.79849999999999999</v>
      </c>
      <c r="D125">
        <v>0.89339999999999997</v>
      </c>
      <c r="E125">
        <v>7.9480000000000002E-3</v>
      </c>
      <c r="F125">
        <v>1.305E-3</v>
      </c>
      <c r="G125">
        <v>0.497</v>
      </c>
      <c r="H125">
        <v>3.2080000000000002</v>
      </c>
      <c r="I125">
        <v>10001</v>
      </c>
      <c r="J125">
        <v>30000</v>
      </c>
    </row>
    <row r="126" spans="2:10" x14ac:dyDescent="0.25">
      <c r="B126" t="s">
        <v>510</v>
      </c>
      <c r="C126">
        <v>0.86529999999999996</v>
      </c>
      <c r="D126">
        <v>1.2170000000000001</v>
      </c>
      <c r="E126">
        <v>6.5139999999999998E-3</v>
      </c>
      <c r="F126" s="13">
        <v>8.8949999999999999E-4</v>
      </c>
      <c r="G126">
        <v>0.39489999999999997</v>
      </c>
      <c r="H126">
        <v>4.4089999999999998</v>
      </c>
      <c r="I126">
        <v>10001</v>
      </c>
      <c r="J126">
        <v>30000</v>
      </c>
    </row>
    <row r="127" spans="2:10" x14ac:dyDescent="0.25">
      <c r="B127" t="s">
        <v>511</v>
      </c>
      <c r="C127">
        <v>0.6381</v>
      </c>
      <c r="D127">
        <v>0.86329999999999996</v>
      </c>
      <c r="E127">
        <v>6.1190000000000003E-3</v>
      </c>
      <c r="F127" s="13">
        <v>6.6299999999999996E-4</v>
      </c>
      <c r="G127">
        <v>0.30680000000000002</v>
      </c>
      <c r="H127">
        <v>3.0619999999999998</v>
      </c>
      <c r="I127">
        <v>10001</v>
      </c>
      <c r="J127">
        <v>30000</v>
      </c>
    </row>
    <row r="128" spans="2:10" x14ac:dyDescent="0.25">
      <c r="B128" t="s">
        <v>512</v>
      </c>
      <c r="C128">
        <v>0.60319999999999996</v>
      </c>
      <c r="D128">
        <v>0.84619999999999995</v>
      </c>
      <c r="E128">
        <v>4.7320000000000001E-3</v>
      </c>
      <c r="F128" s="13">
        <v>5.4029999999999996E-4</v>
      </c>
      <c r="G128">
        <v>0.28110000000000002</v>
      </c>
      <c r="H128">
        <v>2.9990000000000001</v>
      </c>
      <c r="I128">
        <v>10001</v>
      </c>
      <c r="J128">
        <v>30000</v>
      </c>
    </row>
    <row r="129" spans="2:10" x14ac:dyDescent="0.25">
      <c r="B129" t="s">
        <v>513</v>
      </c>
      <c r="C129">
        <v>1.2170000000000001</v>
      </c>
      <c r="D129">
        <v>1.55</v>
      </c>
      <c r="E129">
        <v>1.355E-2</v>
      </c>
      <c r="F129">
        <v>1.5529999999999999E-3</v>
      </c>
      <c r="G129">
        <v>0.63490000000000002</v>
      </c>
      <c r="H129">
        <v>5.5119999999999996</v>
      </c>
      <c r="I129">
        <v>10001</v>
      </c>
      <c r="J129">
        <v>30000</v>
      </c>
    </row>
    <row r="130" spans="2:10" x14ac:dyDescent="0.25">
      <c r="B130" t="s">
        <v>514</v>
      </c>
      <c r="C130">
        <v>1.3919999999999999</v>
      </c>
      <c r="D130">
        <v>1.6930000000000001</v>
      </c>
      <c r="E130">
        <v>1.512E-2</v>
      </c>
      <c r="F130">
        <v>1.7570000000000001E-3</v>
      </c>
      <c r="G130">
        <v>0.77590000000000003</v>
      </c>
      <c r="H130">
        <v>6.056</v>
      </c>
      <c r="I130">
        <v>10001</v>
      </c>
      <c r="J130">
        <v>30000</v>
      </c>
    </row>
    <row r="131" spans="2:10" x14ac:dyDescent="0.25">
      <c r="B131" t="s">
        <v>515</v>
      </c>
      <c r="C131">
        <v>1.222</v>
      </c>
      <c r="D131">
        <v>1.4430000000000001</v>
      </c>
      <c r="E131">
        <v>1.1730000000000001E-2</v>
      </c>
      <c r="F131">
        <v>1.81E-3</v>
      </c>
      <c r="G131">
        <v>0.70840000000000003</v>
      </c>
      <c r="H131">
        <v>5.1459999999999999</v>
      </c>
      <c r="I131">
        <v>10001</v>
      </c>
      <c r="J131">
        <v>30000</v>
      </c>
    </row>
    <row r="132" spans="2:10" x14ac:dyDescent="0.25">
      <c r="B132" t="s">
        <v>516</v>
      </c>
      <c r="C132">
        <v>1.02</v>
      </c>
      <c r="D132">
        <v>1.325</v>
      </c>
      <c r="E132">
        <v>8.1700000000000002E-3</v>
      </c>
      <c r="F132">
        <v>1.09E-3</v>
      </c>
      <c r="G132">
        <v>0.51890000000000003</v>
      </c>
      <c r="H132">
        <v>4.7690000000000001</v>
      </c>
      <c r="I132">
        <v>10001</v>
      </c>
      <c r="J132">
        <v>30000</v>
      </c>
    </row>
    <row r="133" spans="2:10" x14ac:dyDescent="0.25">
      <c r="B133" t="s">
        <v>517</v>
      </c>
      <c r="C133">
        <v>0.60589999999999999</v>
      </c>
      <c r="D133">
        <v>0.83460000000000001</v>
      </c>
      <c r="E133">
        <v>6.3090000000000004E-3</v>
      </c>
      <c r="F133" s="13">
        <v>6.6520000000000001E-4</v>
      </c>
      <c r="G133">
        <v>0.28560000000000002</v>
      </c>
      <c r="H133">
        <v>2.9849999999999999</v>
      </c>
      <c r="I133">
        <v>10001</v>
      </c>
      <c r="J133">
        <v>30000</v>
      </c>
    </row>
    <row r="134" spans="2:10" x14ac:dyDescent="0.25">
      <c r="B134" t="s">
        <v>518</v>
      </c>
      <c r="C134">
        <v>0.95609999999999995</v>
      </c>
      <c r="D134">
        <v>1.3149999999999999</v>
      </c>
      <c r="E134">
        <v>7.5449999999999996E-3</v>
      </c>
      <c r="F134" s="13">
        <v>9.7300000000000002E-4</v>
      </c>
      <c r="G134">
        <v>0.44729999999999998</v>
      </c>
      <c r="H134">
        <v>4.6619999999999999</v>
      </c>
      <c r="I134">
        <v>10001</v>
      </c>
      <c r="J134">
        <v>30000</v>
      </c>
    </row>
    <row r="135" spans="2:10" x14ac:dyDescent="0.25">
      <c r="B135" t="s">
        <v>519</v>
      </c>
      <c r="C135">
        <v>0.55900000000000005</v>
      </c>
      <c r="D135">
        <v>0.80120000000000002</v>
      </c>
      <c r="E135">
        <v>5.4089999999999997E-3</v>
      </c>
      <c r="F135" s="13">
        <v>5.0639999999999995E-4</v>
      </c>
      <c r="G135">
        <v>0.247</v>
      </c>
      <c r="H135">
        <v>2.8620000000000001</v>
      </c>
      <c r="I135">
        <v>10001</v>
      </c>
      <c r="J135">
        <v>30000</v>
      </c>
    </row>
    <row r="136" spans="2:10" x14ac:dyDescent="0.25">
      <c r="B136" t="s">
        <v>520</v>
      </c>
      <c r="C136">
        <v>0.69769999999999999</v>
      </c>
      <c r="D136">
        <v>0.97719999999999996</v>
      </c>
      <c r="E136">
        <v>6.4819999999999999E-3</v>
      </c>
      <c r="F136" s="13">
        <v>6.5970000000000004E-4</v>
      </c>
      <c r="G136">
        <v>0.32240000000000002</v>
      </c>
      <c r="H136">
        <v>3.4729999999999999</v>
      </c>
      <c r="I136">
        <v>10001</v>
      </c>
      <c r="J136">
        <v>30000</v>
      </c>
    </row>
    <row r="137" spans="2:10" x14ac:dyDescent="0.25">
      <c r="B137" t="s">
        <v>521</v>
      </c>
      <c r="C137">
        <v>1.518</v>
      </c>
      <c r="D137">
        <v>1.8620000000000001</v>
      </c>
      <c r="E137">
        <v>2.5059999999999999E-2</v>
      </c>
      <c r="F137">
        <v>1.9589999999999998E-3</v>
      </c>
      <c r="G137">
        <v>0.84379999999999999</v>
      </c>
      <c r="H137">
        <v>6.67</v>
      </c>
      <c r="I137">
        <v>10001</v>
      </c>
      <c r="J137">
        <v>30000</v>
      </c>
    </row>
    <row r="138" spans="2:10" x14ac:dyDescent="0.25">
      <c r="B138" t="s">
        <v>522</v>
      </c>
      <c r="C138">
        <v>1.5049999999999999</v>
      </c>
      <c r="D138">
        <v>1.837</v>
      </c>
      <c r="E138">
        <v>2.172E-2</v>
      </c>
      <c r="F138">
        <v>2.2070000000000002E-3</v>
      </c>
      <c r="G138">
        <v>0.83440000000000003</v>
      </c>
      <c r="H138">
        <v>6.5579999999999998</v>
      </c>
      <c r="I138">
        <v>10001</v>
      </c>
      <c r="J138">
        <v>30000</v>
      </c>
    </row>
    <row r="139" spans="2:10" x14ac:dyDescent="0.25">
      <c r="B139" t="s">
        <v>523</v>
      </c>
      <c r="C139">
        <v>2.0619999999999998</v>
      </c>
      <c r="D139">
        <v>1.9390000000000001</v>
      </c>
      <c r="E139">
        <v>2.7900000000000001E-2</v>
      </c>
      <c r="F139">
        <v>7.4679999999999998E-3</v>
      </c>
      <c r="G139">
        <v>1.5489999999999999</v>
      </c>
      <c r="H139">
        <v>7.0460000000000003</v>
      </c>
      <c r="I139">
        <v>10001</v>
      </c>
      <c r="J139">
        <v>30000</v>
      </c>
    </row>
    <row r="140" spans="2:10" x14ac:dyDescent="0.25">
      <c r="B140" t="s">
        <v>524</v>
      </c>
      <c r="C140">
        <v>1.458</v>
      </c>
      <c r="D140">
        <v>1.83</v>
      </c>
      <c r="E140">
        <v>1.456E-2</v>
      </c>
      <c r="F140">
        <v>1.8979999999999999E-3</v>
      </c>
      <c r="G140">
        <v>0.77629999999999999</v>
      </c>
      <c r="H140">
        <v>6.508</v>
      </c>
      <c r="I140">
        <v>10001</v>
      </c>
      <c r="J140">
        <v>30000</v>
      </c>
    </row>
    <row r="141" spans="2:10" x14ac:dyDescent="0.25">
      <c r="B141" t="s">
        <v>525</v>
      </c>
      <c r="C141">
        <v>1.151</v>
      </c>
      <c r="D141">
        <v>1.4610000000000001</v>
      </c>
      <c r="E141">
        <v>1.5820000000000001E-2</v>
      </c>
      <c r="F141">
        <v>1.343E-3</v>
      </c>
      <c r="G141">
        <v>0.60429999999999995</v>
      </c>
      <c r="H141">
        <v>5.2009999999999996</v>
      </c>
      <c r="I141">
        <v>10001</v>
      </c>
      <c r="J141">
        <v>30000</v>
      </c>
    </row>
    <row r="142" spans="2:10" x14ac:dyDescent="0.25">
      <c r="B142" t="s">
        <v>526</v>
      </c>
      <c r="C142">
        <v>1.0409999999999999</v>
      </c>
      <c r="D142">
        <v>1.397</v>
      </c>
      <c r="E142">
        <v>1.0449999999999999E-2</v>
      </c>
      <c r="F142">
        <v>1.1950000000000001E-3</v>
      </c>
      <c r="G142">
        <v>0.50209999999999999</v>
      </c>
      <c r="H142">
        <v>4.9930000000000003</v>
      </c>
      <c r="I142">
        <v>10001</v>
      </c>
      <c r="J142">
        <v>30000</v>
      </c>
    </row>
    <row r="143" spans="2:10" x14ac:dyDescent="0.25">
      <c r="B143" t="s">
        <v>527</v>
      </c>
      <c r="C143">
        <v>1.9339999999999999</v>
      </c>
      <c r="D143">
        <v>2.1640000000000001</v>
      </c>
      <c r="E143">
        <v>3.0460000000000001E-2</v>
      </c>
      <c r="F143">
        <v>3.0569999999999998E-3</v>
      </c>
      <c r="G143">
        <v>1.2110000000000001</v>
      </c>
      <c r="H143">
        <v>7.7069999999999999</v>
      </c>
      <c r="I143">
        <v>10001</v>
      </c>
      <c r="J143">
        <v>30000</v>
      </c>
    </row>
    <row r="144" spans="2:10" x14ac:dyDescent="0.25">
      <c r="B144" t="s">
        <v>528</v>
      </c>
      <c r="C144">
        <v>1.786</v>
      </c>
      <c r="D144">
        <v>2.08</v>
      </c>
      <c r="E144">
        <v>2.4080000000000001E-2</v>
      </c>
      <c r="F144">
        <v>3.052E-3</v>
      </c>
      <c r="G144">
        <v>1.0429999999999999</v>
      </c>
      <c r="H144">
        <v>7.5229999999999997</v>
      </c>
      <c r="I144">
        <v>10001</v>
      </c>
      <c r="J144">
        <v>30000</v>
      </c>
    </row>
    <row r="145" spans="2:10" x14ac:dyDescent="0.25">
      <c r="B145" t="s">
        <v>529</v>
      </c>
      <c r="C145">
        <v>1.0580000000000001</v>
      </c>
      <c r="D145">
        <v>1.423</v>
      </c>
      <c r="E145">
        <v>1.392E-2</v>
      </c>
      <c r="F145">
        <v>1.0709999999999999E-3</v>
      </c>
      <c r="G145">
        <v>0.51600000000000001</v>
      </c>
      <c r="H145">
        <v>5.1260000000000003</v>
      </c>
      <c r="I145">
        <v>10001</v>
      </c>
      <c r="J145">
        <v>30000</v>
      </c>
    </row>
    <row r="146" spans="2:10" x14ac:dyDescent="0.25">
      <c r="B146" t="s">
        <v>530</v>
      </c>
      <c r="C146">
        <v>1.008</v>
      </c>
      <c r="D146">
        <v>1.357</v>
      </c>
      <c r="E146">
        <v>1.4489999999999999E-2</v>
      </c>
      <c r="F146">
        <v>1.157E-3</v>
      </c>
      <c r="G146">
        <v>0.48799999999999999</v>
      </c>
      <c r="H146">
        <v>4.7830000000000004</v>
      </c>
      <c r="I146">
        <v>10001</v>
      </c>
      <c r="J146">
        <v>30000</v>
      </c>
    </row>
    <row r="147" spans="2:10" x14ac:dyDescent="0.25">
      <c r="B147" t="s">
        <v>531</v>
      </c>
      <c r="C147">
        <v>0.7843</v>
      </c>
      <c r="D147">
        <v>1.0980000000000001</v>
      </c>
      <c r="E147">
        <v>7.574E-3</v>
      </c>
      <c r="F147" s="13">
        <v>9.1489999999999996E-4</v>
      </c>
      <c r="G147">
        <v>0.36149999999999999</v>
      </c>
      <c r="H147">
        <v>3.8759999999999999</v>
      </c>
      <c r="I147">
        <v>10001</v>
      </c>
      <c r="J147">
        <v>30000</v>
      </c>
    </row>
    <row r="148" spans="2:10" x14ac:dyDescent="0.25">
      <c r="B148" t="s">
        <v>532</v>
      </c>
      <c r="C148">
        <v>0.67259999999999998</v>
      </c>
      <c r="D148">
        <v>0.9607</v>
      </c>
      <c r="E148">
        <v>6.7790000000000003E-3</v>
      </c>
      <c r="F148" s="13">
        <v>6.1419999999999997E-4</v>
      </c>
      <c r="G148">
        <v>0.30990000000000001</v>
      </c>
      <c r="H148">
        <v>3.3809999999999998</v>
      </c>
      <c r="I148">
        <v>10001</v>
      </c>
      <c r="J148">
        <v>30000</v>
      </c>
    </row>
    <row r="149" spans="2:10" x14ac:dyDescent="0.25">
      <c r="B149" t="s">
        <v>533</v>
      </c>
      <c r="C149">
        <v>0.58840000000000003</v>
      </c>
      <c r="D149">
        <v>0.8448</v>
      </c>
      <c r="E149">
        <v>5.8820000000000001E-3</v>
      </c>
      <c r="F149" s="13">
        <v>5.019E-4</v>
      </c>
      <c r="G149">
        <v>0.26750000000000002</v>
      </c>
      <c r="H149">
        <v>3.008</v>
      </c>
      <c r="I149">
        <v>10001</v>
      </c>
      <c r="J149">
        <v>30000</v>
      </c>
    </row>
    <row r="150" spans="2:10" x14ac:dyDescent="0.25">
      <c r="B150" t="s">
        <v>534</v>
      </c>
      <c r="C150">
        <v>0.79190000000000005</v>
      </c>
      <c r="D150">
        <v>1.105</v>
      </c>
      <c r="E150">
        <v>6.881E-3</v>
      </c>
      <c r="F150" s="13">
        <v>9.4950000000000004E-4</v>
      </c>
      <c r="G150">
        <v>0.36930000000000002</v>
      </c>
      <c r="H150">
        <v>3.9260000000000002</v>
      </c>
      <c r="I150">
        <v>10001</v>
      </c>
      <c r="J150">
        <v>30000</v>
      </c>
    </row>
    <row r="151" spans="2:10" x14ac:dyDescent="0.25">
      <c r="B151" t="s">
        <v>535</v>
      </c>
      <c r="C151">
        <v>0.58120000000000005</v>
      </c>
      <c r="D151">
        <v>0.81910000000000005</v>
      </c>
      <c r="E151">
        <v>7.8329999999999997E-3</v>
      </c>
      <c r="F151" s="13">
        <v>5.8180000000000005E-4</v>
      </c>
      <c r="G151">
        <v>0.2697</v>
      </c>
      <c r="H151">
        <v>2.8690000000000002</v>
      </c>
      <c r="I151">
        <v>10001</v>
      </c>
      <c r="J151">
        <v>30000</v>
      </c>
    </row>
    <row r="152" spans="2:10" x14ac:dyDescent="0.25">
      <c r="B152" t="s">
        <v>536</v>
      </c>
      <c r="C152">
        <v>0.78320000000000001</v>
      </c>
      <c r="D152">
        <v>1.1140000000000001</v>
      </c>
      <c r="E152">
        <v>6.6639999999999998E-3</v>
      </c>
      <c r="F152" s="13">
        <v>7.8450000000000004E-4</v>
      </c>
      <c r="G152">
        <v>0.35399999999999998</v>
      </c>
      <c r="H152">
        <v>3.9209999999999998</v>
      </c>
      <c r="I152">
        <v>10001</v>
      </c>
      <c r="J152">
        <v>30000</v>
      </c>
    </row>
    <row r="153" spans="2:10" x14ac:dyDescent="0.25">
      <c r="B153" t="s">
        <v>537</v>
      </c>
      <c r="C153">
        <v>0.56710000000000005</v>
      </c>
      <c r="D153">
        <v>0.78400000000000003</v>
      </c>
      <c r="E153">
        <v>5.1599999999999997E-3</v>
      </c>
      <c r="F153" s="13">
        <v>5.2209999999999995E-4</v>
      </c>
      <c r="G153">
        <v>0.2646</v>
      </c>
      <c r="H153">
        <v>2.786</v>
      </c>
      <c r="I153">
        <v>10001</v>
      </c>
      <c r="J153">
        <v>30000</v>
      </c>
    </row>
    <row r="154" spans="2:10" x14ac:dyDescent="0.25">
      <c r="B154" t="s">
        <v>538</v>
      </c>
      <c r="C154">
        <v>0.65380000000000005</v>
      </c>
      <c r="D154">
        <v>0.92259999999999998</v>
      </c>
      <c r="E154">
        <v>5.6509999999999998E-3</v>
      </c>
      <c r="F154" s="13">
        <v>7.2729999999999995E-4</v>
      </c>
      <c r="G154">
        <v>0.29580000000000001</v>
      </c>
      <c r="H154">
        <v>3.266</v>
      </c>
      <c r="I154">
        <v>10001</v>
      </c>
      <c r="J154">
        <v>30000</v>
      </c>
    </row>
    <row r="155" spans="2:10" x14ac:dyDescent="0.25">
      <c r="B155" t="s">
        <v>539</v>
      </c>
      <c r="C155">
        <v>0.5726</v>
      </c>
      <c r="D155">
        <v>0.81289999999999996</v>
      </c>
      <c r="E155">
        <v>5.5909999999999996E-3</v>
      </c>
      <c r="F155" s="13">
        <v>5.3580000000000001E-4</v>
      </c>
      <c r="G155">
        <v>0.26029999999999998</v>
      </c>
      <c r="H155">
        <v>2.879</v>
      </c>
      <c r="I155">
        <v>10001</v>
      </c>
      <c r="J155">
        <v>30000</v>
      </c>
    </row>
    <row r="156" spans="2:10" x14ac:dyDescent="0.25">
      <c r="B156" t="s">
        <v>540</v>
      </c>
      <c r="C156">
        <v>0.61019999999999996</v>
      </c>
      <c r="D156">
        <v>0.85270000000000001</v>
      </c>
      <c r="E156">
        <v>5.3740000000000003E-3</v>
      </c>
      <c r="F156" s="13">
        <v>6.2529999999999997E-4</v>
      </c>
      <c r="G156">
        <v>0.28449999999999998</v>
      </c>
      <c r="H156">
        <v>3.016</v>
      </c>
      <c r="I156">
        <v>10001</v>
      </c>
      <c r="J156">
        <v>30000</v>
      </c>
    </row>
    <row r="157" spans="2:10" x14ac:dyDescent="0.25">
      <c r="B157" t="s">
        <v>541</v>
      </c>
      <c r="C157">
        <v>0.62560000000000004</v>
      </c>
      <c r="D157">
        <v>0.88160000000000005</v>
      </c>
      <c r="E157">
        <v>5.4380000000000001E-3</v>
      </c>
      <c r="F157" s="13">
        <v>5.932E-4</v>
      </c>
      <c r="G157">
        <v>0.28620000000000001</v>
      </c>
      <c r="H157">
        <v>3.1309999999999998</v>
      </c>
      <c r="I157">
        <v>10001</v>
      </c>
      <c r="J157">
        <v>30000</v>
      </c>
    </row>
    <row r="158" spans="2:10" x14ac:dyDescent="0.25">
      <c r="B158" t="s">
        <v>542</v>
      </c>
      <c r="C158">
        <v>0.65390000000000004</v>
      </c>
      <c r="D158">
        <v>0.89400000000000002</v>
      </c>
      <c r="E158">
        <v>6.0029999999999997E-3</v>
      </c>
      <c r="F158" s="13">
        <v>6.6029999999999995E-4</v>
      </c>
      <c r="G158">
        <v>0.30709999999999998</v>
      </c>
      <c r="H158">
        <v>3.141</v>
      </c>
      <c r="I158">
        <v>10001</v>
      </c>
      <c r="J158">
        <v>30000</v>
      </c>
    </row>
    <row r="159" spans="2:10" x14ac:dyDescent="0.25">
      <c r="B159" t="s">
        <v>543</v>
      </c>
      <c r="C159">
        <v>1.4179999999999999</v>
      </c>
      <c r="D159">
        <v>1.829</v>
      </c>
      <c r="E159">
        <v>2.4760000000000001E-2</v>
      </c>
      <c r="F159">
        <v>1.6819999999999999E-3</v>
      </c>
      <c r="G159">
        <v>0.73</v>
      </c>
      <c r="H159">
        <v>6.4880000000000004</v>
      </c>
      <c r="I159">
        <v>10001</v>
      </c>
      <c r="J159">
        <v>30000</v>
      </c>
    </row>
    <row r="160" spans="2:10" x14ac:dyDescent="0.25">
      <c r="B160" t="s">
        <v>544</v>
      </c>
      <c r="C160">
        <v>1.615</v>
      </c>
      <c r="D160">
        <v>2.0430000000000001</v>
      </c>
      <c r="E160">
        <v>2.656E-2</v>
      </c>
      <c r="F160">
        <v>1.9870000000000001E-3</v>
      </c>
      <c r="G160">
        <v>0.84519999999999995</v>
      </c>
      <c r="H160">
        <v>7.3339999999999996</v>
      </c>
      <c r="I160">
        <v>10001</v>
      </c>
      <c r="J160">
        <v>30000</v>
      </c>
    </row>
    <row r="161" spans="2:10" x14ac:dyDescent="0.25">
      <c r="B161" t="s">
        <v>545</v>
      </c>
      <c r="C161">
        <v>0.81369999999999998</v>
      </c>
      <c r="D161">
        <v>1.145</v>
      </c>
      <c r="E161">
        <v>9.75E-3</v>
      </c>
      <c r="F161" s="13">
        <v>7.961E-4</v>
      </c>
      <c r="G161">
        <v>0.37669999999999998</v>
      </c>
      <c r="H161">
        <v>4.069</v>
      </c>
      <c r="I161">
        <v>10001</v>
      </c>
      <c r="J161">
        <v>30000</v>
      </c>
    </row>
    <row r="162" spans="2:10" x14ac:dyDescent="0.25">
      <c r="B162" t="s">
        <v>546</v>
      </c>
      <c r="C162">
        <v>0.79459999999999997</v>
      </c>
      <c r="D162">
        <v>1.1200000000000001</v>
      </c>
      <c r="E162">
        <v>7.7860000000000004E-3</v>
      </c>
      <c r="F162" s="13">
        <v>7.9480000000000002E-4</v>
      </c>
      <c r="G162">
        <v>0.35759999999999997</v>
      </c>
      <c r="H162">
        <v>4.0279999999999996</v>
      </c>
      <c r="I162">
        <v>10001</v>
      </c>
      <c r="J162">
        <v>30000</v>
      </c>
    </row>
    <row r="163" spans="2:10" x14ac:dyDescent="0.25">
      <c r="B163" t="s">
        <v>547</v>
      </c>
      <c r="C163">
        <v>0.71350000000000002</v>
      </c>
      <c r="D163">
        <v>1.008</v>
      </c>
      <c r="E163">
        <v>5.9360000000000003E-3</v>
      </c>
      <c r="F163" s="13">
        <v>8.0449999999999999E-4</v>
      </c>
      <c r="G163">
        <v>0.32079999999999997</v>
      </c>
      <c r="H163">
        <v>3.5680000000000001</v>
      </c>
      <c r="I163">
        <v>10001</v>
      </c>
      <c r="J163">
        <v>30000</v>
      </c>
    </row>
    <row r="164" spans="2:10" x14ac:dyDescent="0.25">
      <c r="B164" t="s">
        <v>548</v>
      </c>
      <c r="C164">
        <v>0.45579999999999998</v>
      </c>
      <c r="D164">
        <v>0.63360000000000005</v>
      </c>
      <c r="E164">
        <v>4.0740000000000004E-3</v>
      </c>
      <c r="F164" s="13">
        <v>5.1009999999999998E-4</v>
      </c>
      <c r="G164">
        <v>0.2099</v>
      </c>
      <c r="H164">
        <v>2.2149999999999999</v>
      </c>
      <c r="I164">
        <v>10001</v>
      </c>
      <c r="J164">
        <v>30000</v>
      </c>
    </row>
    <row r="165" spans="2:10" x14ac:dyDescent="0.25">
      <c r="B165" t="s">
        <v>549</v>
      </c>
      <c r="C165">
        <v>0.68759999999999999</v>
      </c>
      <c r="D165">
        <v>1.0049999999999999</v>
      </c>
      <c r="E165">
        <v>5.5989999999999998E-3</v>
      </c>
      <c r="F165" s="13">
        <v>6.8590000000000003E-4</v>
      </c>
      <c r="G165">
        <v>0.3019</v>
      </c>
      <c r="H165">
        <v>3.524</v>
      </c>
      <c r="I165">
        <v>10001</v>
      </c>
      <c r="J165">
        <v>30000</v>
      </c>
    </row>
    <row r="166" spans="2:10" x14ac:dyDescent="0.25">
      <c r="B166" t="s">
        <v>550</v>
      </c>
      <c r="C166">
        <v>0.59470000000000001</v>
      </c>
      <c r="D166">
        <v>0.88239999999999996</v>
      </c>
      <c r="E166">
        <v>5.5970000000000004E-3</v>
      </c>
      <c r="F166" s="13">
        <v>5.4109999999999998E-4</v>
      </c>
      <c r="G166">
        <v>0.2601</v>
      </c>
      <c r="H166">
        <v>3.0739999999999998</v>
      </c>
      <c r="I166">
        <v>10001</v>
      </c>
      <c r="J166">
        <v>30000</v>
      </c>
    </row>
    <row r="167" spans="2:10" x14ac:dyDescent="0.25">
      <c r="B167" t="s">
        <v>551</v>
      </c>
      <c r="C167">
        <v>1.0980000000000001</v>
      </c>
      <c r="D167">
        <v>1.5189999999999999</v>
      </c>
      <c r="E167">
        <v>1.0070000000000001E-2</v>
      </c>
      <c r="F167">
        <v>1.1130000000000001E-3</v>
      </c>
      <c r="G167">
        <v>0.5131</v>
      </c>
      <c r="H167">
        <v>5.3929999999999998</v>
      </c>
      <c r="I167">
        <v>10001</v>
      </c>
      <c r="J167">
        <v>30000</v>
      </c>
    </row>
    <row r="168" spans="2:10" x14ac:dyDescent="0.25">
      <c r="B168" t="s">
        <v>552</v>
      </c>
      <c r="C168">
        <v>1.2130000000000001</v>
      </c>
      <c r="D168">
        <v>1.2270000000000001</v>
      </c>
      <c r="E168">
        <v>1.3679999999999999E-2</v>
      </c>
      <c r="F168">
        <v>4.9789999999999999E-3</v>
      </c>
      <c r="G168">
        <v>0.8609</v>
      </c>
      <c r="H168">
        <v>4.4450000000000003</v>
      </c>
      <c r="I168">
        <v>10001</v>
      </c>
      <c r="J168">
        <v>30000</v>
      </c>
    </row>
    <row r="169" spans="2:10" x14ac:dyDescent="0.25">
      <c r="B169" t="s">
        <v>553</v>
      </c>
      <c r="C169">
        <v>3.5910000000000002</v>
      </c>
      <c r="D169">
        <v>3.246</v>
      </c>
      <c r="E169">
        <v>6.0470000000000003E-2</v>
      </c>
      <c r="F169">
        <v>1.8950000000000002E-2</v>
      </c>
      <c r="G169">
        <v>2.7709999999999999</v>
      </c>
      <c r="H169">
        <v>11.74</v>
      </c>
      <c r="I169">
        <v>10001</v>
      </c>
      <c r="J169">
        <v>30000</v>
      </c>
    </row>
    <row r="170" spans="2:10" x14ac:dyDescent="0.25">
      <c r="B170" t="s">
        <v>554</v>
      </c>
      <c r="C170">
        <v>3.4209999999999998</v>
      </c>
      <c r="D170">
        <v>3.2490000000000001</v>
      </c>
      <c r="E170">
        <v>5.602E-2</v>
      </c>
      <c r="F170">
        <v>1.197E-2</v>
      </c>
      <c r="G170">
        <v>2.5569999999999999</v>
      </c>
      <c r="H170">
        <v>11.71</v>
      </c>
      <c r="I170">
        <v>10001</v>
      </c>
      <c r="J170">
        <v>30000</v>
      </c>
    </row>
    <row r="171" spans="2:10" x14ac:dyDescent="0.25">
      <c r="B171" t="s">
        <v>555</v>
      </c>
      <c r="C171">
        <v>1.4279999999999999</v>
      </c>
      <c r="D171">
        <v>1.5940000000000001</v>
      </c>
      <c r="E171">
        <v>1.5350000000000001E-2</v>
      </c>
      <c r="F171">
        <v>2.6220000000000002E-3</v>
      </c>
      <c r="G171">
        <v>0.90669999999999995</v>
      </c>
      <c r="H171">
        <v>5.718</v>
      </c>
      <c r="I171">
        <v>10001</v>
      </c>
      <c r="J171">
        <v>30000</v>
      </c>
    </row>
    <row r="172" spans="2:10" x14ac:dyDescent="0.25">
      <c r="B172" t="s">
        <v>556</v>
      </c>
      <c r="C172">
        <v>1.373</v>
      </c>
      <c r="D172">
        <v>1.675</v>
      </c>
      <c r="E172">
        <v>1.273E-2</v>
      </c>
      <c r="F172">
        <v>1.835E-3</v>
      </c>
      <c r="G172">
        <v>0.77929999999999999</v>
      </c>
      <c r="H172">
        <v>5.9770000000000003</v>
      </c>
      <c r="I172">
        <v>10001</v>
      </c>
      <c r="J172">
        <v>30000</v>
      </c>
    </row>
    <row r="173" spans="2:10" x14ac:dyDescent="0.25">
      <c r="B173" t="s">
        <v>557</v>
      </c>
      <c r="C173">
        <v>0.76959999999999995</v>
      </c>
      <c r="D173">
        <v>1.111</v>
      </c>
      <c r="E173">
        <v>8.3730000000000002E-3</v>
      </c>
      <c r="F173" s="13">
        <v>8.0130000000000002E-4</v>
      </c>
      <c r="G173">
        <v>0.34660000000000002</v>
      </c>
      <c r="H173">
        <v>3.895</v>
      </c>
      <c r="I173">
        <v>10001</v>
      </c>
      <c r="J173">
        <v>30000</v>
      </c>
    </row>
    <row r="174" spans="2:10" x14ac:dyDescent="0.25">
      <c r="B174" t="s">
        <v>558</v>
      </c>
      <c r="C174">
        <v>0.75519999999999998</v>
      </c>
      <c r="D174">
        <v>1.07</v>
      </c>
      <c r="E174">
        <v>7.6030000000000004E-3</v>
      </c>
      <c r="F174" s="13">
        <v>7.5500000000000003E-4</v>
      </c>
      <c r="G174">
        <v>0.34649999999999997</v>
      </c>
      <c r="H174">
        <v>3.8250000000000002</v>
      </c>
      <c r="I174">
        <v>10001</v>
      </c>
      <c r="J174">
        <v>30000</v>
      </c>
    </row>
    <row r="175" spans="2:10" x14ac:dyDescent="0.25">
      <c r="B175" t="s">
        <v>559</v>
      </c>
      <c r="C175">
        <v>0.57709999999999995</v>
      </c>
      <c r="D175">
        <v>0.82769999999999999</v>
      </c>
      <c r="E175">
        <v>5.2950000000000002E-3</v>
      </c>
      <c r="F175" s="13">
        <v>5.4900000000000001E-4</v>
      </c>
      <c r="G175">
        <v>0.25850000000000001</v>
      </c>
      <c r="H175">
        <v>2.9239999999999999</v>
      </c>
      <c r="I175">
        <v>10001</v>
      </c>
      <c r="J175">
        <v>30000</v>
      </c>
    </row>
    <row r="176" spans="2:10" x14ac:dyDescent="0.25">
      <c r="B176" t="s">
        <v>560</v>
      </c>
      <c r="C176">
        <v>0.71679999999999999</v>
      </c>
      <c r="D176">
        <v>0.99719999999999998</v>
      </c>
      <c r="E176">
        <v>6.5560000000000002E-3</v>
      </c>
      <c r="F176" s="13">
        <v>7.5790000000000005E-4</v>
      </c>
      <c r="G176">
        <v>0.33229999999999998</v>
      </c>
      <c r="H176">
        <v>3.54</v>
      </c>
      <c r="I176">
        <v>10001</v>
      </c>
      <c r="J176">
        <v>30000</v>
      </c>
    </row>
    <row r="177" spans="2:10" x14ac:dyDescent="0.25">
      <c r="B177" t="s">
        <v>561</v>
      </c>
      <c r="C177">
        <v>1.2329999999999999E-3</v>
      </c>
      <c r="D177">
        <v>3.5099999999999999E-2</v>
      </c>
      <c r="E177" s="13">
        <v>2.9290000000000002E-4</v>
      </c>
      <c r="F177">
        <v>0</v>
      </c>
      <c r="G177">
        <v>0</v>
      </c>
      <c r="H177">
        <v>0</v>
      </c>
      <c r="I177">
        <v>10001</v>
      </c>
      <c r="J177">
        <v>30000</v>
      </c>
    </row>
    <row r="178" spans="2:10" x14ac:dyDescent="0.25">
      <c r="B178" t="s">
        <v>562</v>
      </c>
      <c r="C178">
        <v>8.3330000000000001E-3</v>
      </c>
      <c r="D178">
        <v>9.0910000000000005E-2</v>
      </c>
      <c r="E178" s="13">
        <v>9.7190000000000004E-4</v>
      </c>
      <c r="F178">
        <v>0</v>
      </c>
      <c r="G178">
        <v>0</v>
      </c>
      <c r="H178">
        <v>0</v>
      </c>
      <c r="I178">
        <v>10001</v>
      </c>
      <c r="J178">
        <v>30000</v>
      </c>
    </row>
    <row r="179" spans="2:10" x14ac:dyDescent="0.25">
      <c r="B179" t="s">
        <v>563</v>
      </c>
      <c r="C179">
        <v>3.2030000000000003E-2</v>
      </c>
      <c r="D179">
        <v>0.17610000000000001</v>
      </c>
      <c r="E179">
        <v>1.9239999999999999E-3</v>
      </c>
      <c r="F179">
        <v>0</v>
      </c>
      <c r="G179">
        <v>0</v>
      </c>
      <c r="H179">
        <v>1</v>
      </c>
      <c r="I179">
        <v>10001</v>
      </c>
      <c r="J179">
        <v>30000</v>
      </c>
    </row>
    <row r="180" spans="2:10" x14ac:dyDescent="0.25">
      <c r="B180" t="s">
        <v>564</v>
      </c>
      <c r="C180">
        <v>0.12130000000000001</v>
      </c>
      <c r="D180">
        <v>0.32640000000000002</v>
      </c>
      <c r="E180">
        <v>5.1370000000000001E-3</v>
      </c>
      <c r="F180">
        <v>0</v>
      </c>
      <c r="G180">
        <v>0</v>
      </c>
      <c r="H180">
        <v>1</v>
      </c>
      <c r="I180">
        <v>10001</v>
      </c>
      <c r="J180">
        <v>30000</v>
      </c>
    </row>
    <row r="181" spans="2:10" x14ac:dyDescent="0.25">
      <c r="B181" t="s">
        <v>565</v>
      </c>
      <c r="C181">
        <v>0.313</v>
      </c>
      <c r="D181">
        <v>0.4637</v>
      </c>
      <c r="E181">
        <v>6.96E-3</v>
      </c>
      <c r="F181">
        <v>0</v>
      </c>
      <c r="G181">
        <v>0</v>
      </c>
      <c r="H181">
        <v>1</v>
      </c>
      <c r="I181">
        <v>10001</v>
      </c>
      <c r="J181">
        <v>30000</v>
      </c>
    </row>
    <row r="182" spans="2:10" x14ac:dyDescent="0.25">
      <c r="B182" t="s">
        <v>566</v>
      </c>
      <c r="C182">
        <v>0.38779999999999998</v>
      </c>
      <c r="D182">
        <v>0.48720000000000002</v>
      </c>
      <c r="E182">
        <v>6.8840000000000004E-3</v>
      </c>
      <c r="F182">
        <v>0</v>
      </c>
      <c r="G182">
        <v>0</v>
      </c>
      <c r="H182">
        <v>1</v>
      </c>
      <c r="I182">
        <v>10001</v>
      </c>
      <c r="J182">
        <v>30000</v>
      </c>
    </row>
    <row r="183" spans="2:10" x14ac:dyDescent="0.25">
      <c r="B183" t="s">
        <v>567</v>
      </c>
      <c r="C183">
        <v>0.13</v>
      </c>
      <c r="D183">
        <v>0.33629999999999999</v>
      </c>
      <c r="E183">
        <v>5.8630000000000002E-3</v>
      </c>
      <c r="F183">
        <v>0</v>
      </c>
      <c r="G183">
        <v>0</v>
      </c>
      <c r="H183">
        <v>1</v>
      </c>
      <c r="I183">
        <v>10001</v>
      </c>
      <c r="J183">
        <v>30000</v>
      </c>
    </row>
    <row r="184" spans="2:10" x14ac:dyDescent="0.25">
      <c r="B184" t="s">
        <v>568</v>
      </c>
      <c r="C184">
        <v>6.1999999999999998E-3</v>
      </c>
      <c r="D184">
        <v>7.85E-2</v>
      </c>
      <c r="E184" s="13">
        <v>6.5879999999999997E-4</v>
      </c>
      <c r="F184">
        <v>0</v>
      </c>
      <c r="G184">
        <v>0</v>
      </c>
      <c r="H184">
        <v>0</v>
      </c>
      <c r="I184">
        <v>10001</v>
      </c>
      <c r="J184">
        <v>30000</v>
      </c>
    </row>
    <row r="185" spans="2:10" x14ac:dyDescent="0.25">
      <c r="B185" t="s">
        <v>569</v>
      </c>
      <c r="C185" s="13">
        <v>1E-4</v>
      </c>
      <c r="D185">
        <v>9.9989999999999992E-3</v>
      </c>
      <c r="E185" s="13">
        <v>5.7739999999999999E-5</v>
      </c>
      <c r="F185">
        <v>0</v>
      </c>
      <c r="G185">
        <v>0</v>
      </c>
      <c r="H185">
        <v>0</v>
      </c>
      <c r="I185">
        <v>10001</v>
      </c>
      <c r="J185">
        <v>30000</v>
      </c>
    </row>
    <row r="186" spans="2:10" x14ac:dyDescent="0.25">
      <c r="B186" t="s">
        <v>570</v>
      </c>
      <c r="C186">
        <v>0</v>
      </c>
      <c r="D186">
        <v>0</v>
      </c>
      <c r="E186" s="13">
        <v>3.333E-13</v>
      </c>
      <c r="F186">
        <v>0</v>
      </c>
      <c r="G186">
        <v>0</v>
      </c>
      <c r="H186">
        <v>0</v>
      </c>
      <c r="I186">
        <v>10001</v>
      </c>
      <c r="J186">
        <v>30000</v>
      </c>
    </row>
    <row r="187" spans="2:10" x14ac:dyDescent="0.25">
      <c r="B187" t="s">
        <v>571</v>
      </c>
      <c r="C187">
        <v>0</v>
      </c>
      <c r="D187">
        <v>0</v>
      </c>
      <c r="E187" s="13">
        <v>3.333E-13</v>
      </c>
      <c r="F187">
        <v>0</v>
      </c>
      <c r="G187">
        <v>0</v>
      </c>
      <c r="H187">
        <v>0</v>
      </c>
      <c r="I187">
        <v>10001</v>
      </c>
      <c r="J187">
        <v>30000</v>
      </c>
    </row>
    <row r="188" spans="2:10" x14ac:dyDescent="0.25">
      <c r="B188" t="s">
        <v>572</v>
      </c>
      <c r="C188">
        <v>0</v>
      </c>
      <c r="D188">
        <v>0</v>
      </c>
      <c r="E188" s="13">
        <v>3.333E-13</v>
      </c>
      <c r="F188">
        <v>0</v>
      </c>
      <c r="G188">
        <v>0</v>
      </c>
      <c r="H188">
        <v>0</v>
      </c>
      <c r="I188">
        <v>10001</v>
      </c>
      <c r="J188">
        <v>30000</v>
      </c>
    </row>
    <row r="189" spans="2:10" x14ac:dyDescent="0.25">
      <c r="B189" t="s">
        <v>573</v>
      </c>
      <c r="C189">
        <v>0</v>
      </c>
      <c r="D189">
        <v>0</v>
      </c>
      <c r="E189" s="13">
        <v>3.333E-13</v>
      </c>
      <c r="F189">
        <v>0</v>
      </c>
      <c r="G189">
        <v>0</v>
      </c>
      <c r="H189">
        <v>0</v>
      </c>
      <c r="I189">
        <v>10001</v>
      </c>
      <c r="J189">
        <v>30000</v>
      </c>
    </row>
    <row r="190" spans="2:10" x14ac:dyDescent="0.25">
      <c r="B190" t="s">
        <v>574</v>
      </c>
      <c r="C190">
        <v>0</v>
      </c>
      <c r="D190">
        <v>0</v>
      </c>
      <c r="E190" s="13">
        <v>3.333E-13</v>
      </c>
      <c r="F190">
        <v>0</v>
      </c>
      <c r="G190">
        <v>0</v>
      </c>
      <c r="H190">
        <v>0</v>
      </c>
      <c r="I190">
        <v>10001</v>
      </c>
      <c r="J190">
        <v>30000</v>
      </c>
    </row>
    <row r="191" spans="2:10" x14ac:dyDescent="0.25">
      <c r="B191" t="s">
        <v>575</v>
      </c>
      <c r="C191" s="13">
        <v>5.0000000000000001E-4</v>
      </c>
      <c r="D191">
        <v>2.2360000000000001E-2</v>
      </c>
      <c r="E191" s="13">
        <v>1.65E-4</v>
      </c>
      <c r="F191">
        <v>0</v>
      </c>
      <c r="G191">
        <v>0</v>
      </c>
      <c r="H191">
        <v>0</v>
      </c>
      <c r="I191">
        <v>10001</v>
      </c>
      <c r="J191">
        <v>30000</v>
      </c>
    </row>
    <row r="192" spans="2:10" x14ac:dyDescent="0.25">
      <c r="B192" t="s">
        <v>576</v>
      </c>
      <c r="C192">
        <v>8.0669999999999995E-3</v>
      </c>
      <c r="D192">
        <v>8.9450000000000002E-2</v>
      </c>
      <c r="E192" s="13">
        <v>6.9050000000000003E-4</v>
      </c>
      <c r="F192">
        <v>0</v>
      </c>
      <c r="G192">
        <v>0</v>
      </c>
      <c r="H192">
        <v>0</v>
      </c>
      <c r="I192">
        <v>10001</v>
      </c>
      <c r="J192">
        <v>30000</v>
      </c>
    </row>
    <row r="193" spans="2:10" x14ac:dyDescent="0.25">
      <c r="B193" t="s">
        <v>577</v>
      </c>
      <c r="C193">
        <v>0.21890000000000001</v>
      </c>
      <c r="D193">
        <v>0.41349999999999998</v>
      </c>
      <c r="E193">
        <v>7.796E-3</v>
      </c>
      <c r="F193">
        <v>0</v>
      </c>
      <c r="G193">
        <v>0</v>
      </c>
      <c r="H193">
        <v>1</v>
      </c>
      <c r="I193">
        <v>10001</v>
      </c>
      <c r="J193">
        <v>30000</v>
      </c>
    </row>
    <row r="194" spans="2:10" x14ac:dyDescent="0.25">
      <c r="B194" t="s">
        <v>578</v>
      </c>
      <c r="C194">
        <v>0.61040000000000005</v>
      </c>
      <c r="D194">
        <v>0.48770000000000002</v>
      </c>
      <c r="E194">
        <v>7.5789999999999998E-3</v>
      </c>
      <c r="F194">
        <v>0</v>
      </c>
      <c r="G194">
        <v>1</v>
      </c>
      <c r="H194">
        <v>1</v>
      </c>
      <c r="I194">
        <v>10001</v>
      </c>
      <c r="J194">
        <v>30000</v>
      </c>
    </row>
    <row r="195" spans="2:10" x14ac:dyDescent="0.25">
      <c r="B195" t="s">
        <v>579</v>
      </c>
      <c r="C195">
        <v>0.16209999999999999</v>
      </c>
      <c r="D195">
        <v>0.36859999999999998</v>
      </c>
      <c r="E195">
        <v>4.8009999999999997E-3</v>
      </c>
      <c r="F195">
        <v>0</v>
      </c>
      <c r="G195">
        <v>0</v>
      </c>
      <c r="H195">
        <v>1</v>
      </c>
      <c r="I195">
        <v>10001</v>
      </c>
      <c r="J195">
        <v>30000</v>
      </c>
    </row>
    <row r="196" spans="2:10" x14ac:dyDescent="0.25">
      <c r="B196" t="s">
        <v>580</v>
      </c>
      <c r="C196">
        <v>0</v>
      </c>
      <c r="D196">
        <v>0</v>
      </c>
      <c r="E196" s="13">
        <v>3.333E-13</v>
      </c>
      <c r="F196">
        <v>0</v>
      </c>
      <c r="G196">
        <v>0</v>
      </c>
      <c r="H196">
        <v>0</v>
      </c>
      <c r="I196">
        <v>10001</v>
      </c>
      <c r="J196">
        <v>30000</v>
      </c>
    </row>
    <row r="197" spans="2:10" x14ac:dyDescent="0.25">
      <c r="B197" t="s">
        <v>581</v>
      </c>
      <c r="C197">
        <v>2.7669999999999999E-3</v>
      </c>
      <c r="D197">
        <v>5.253E-2</v>
      </c>
      <c r="E197" s="13">
        <v>5.2760000000000003E-4</v>
      </c>
      <c r="F197">
        <v>0</v>
      </c>
      <c r="G197">
        <v>0</v>
      </c>
      <c r="H197">
        <v>0</v>
      </c>
      <c r="I197">
        <v>10001</v>
      </c>
      <c r="J197">
        <v>30000</v>
      </c>
    </row>
    <row r="198" spans="2:10" x14ac:dyDescent="0.25">
      <c r="B198" t="s">
        <v>582</v>
      </c>
      <c r="C198">
        <v>2.443E-2</v>
      </c>
      <c r="D198">
        <v>0.15440000000000001</v>
      </c>
      <c r="E198">
        <v>1.704E-3</v>
      </c>
      <c r="F198">
        <v>0</v>
      </c>
      <c r="G198">
        <v>0</v>
      </c>
      <c r="H198">
        <v>0</v>
      </c>
      <c r="I198">
        <v>10001</v>
      </c>
      <c r="J198">
        <v>30000</v>
      </c>
    </row>
    <row r="199" spans="2:10" x14ac:dyDescent="0.25">
      <c r="B199" t="s">
        <v>583</v>
      </c>
      <c r="C199">
        <v>0.21840000000000001</v>
      </c>
      <c r="D199">
        <v>0.41320000000000001</v>
      </c>
      <c r="E199">
        <v>7.0330000000000002E-3</v>
      </c>
      <c r="F199">
        <v>0</v>
      </c>
      <c r="G199">
        <v>0</v>
      </c>
      <c r="H199">
        <v>1</v>
      </c>
      <c r="I199">
        <v>10001</v>
      </c>
      <c r="J199">
        <v>30000</v>
      </c>
    </row>
    <row r="200" spans="2:10" x14ac:dyDescent="0.25">
      <c r="B200" t="s">
        <v>584</v>
      </c>
      <c r="C200">
        <v>0.44900000000000001</v>
      </c>
      <c r="D200">
        <v>0.49740000000000001</v>
      </c>
      <c r="E200">
        <v>8.5400000000000007E-3</v>
      </c>
      <c r="F200">
        <v>0</v>
      </c>
      <c r="G200">
        <v>0</v>
      </c>
      <c r="H200">
        <v>1</v>
      </c>
      <c r="I200">
        <v>10001</v>
      </c>
      <c r="J200">
        <v>30000</v>
      </c>
    </row>
    <row r="201" spans="2:10" x14ac:dyDescent="0.25">
      <c r="B201" t="s">
        <v>585</v>
      </c>
      <c r="C201">
        <v>0.184</v>
      </c>
      <c r="D201">
        <v>0.38750000000000001</v>
      </c>
      <c r="E201">
        <v>5.5290000000000001E-3</v>
      </c>
      <c r="F201">
        <v>0</v>
      </c>
      <c r="G201">
        <v>0</v>
      </c>
      <c r="H201">
        <v>1</v>
      </c>
      <c r="I201">
        <v>10001</v>
      </c>
      <c r="J201">
        <v>30000</v>
      </c>
    </row>
    <row r="202" spans="2:10" x14ac:dyDescent="0.25">
      <c r="B202" t="s">
        <v>586</v>
      </c>
      <c r="C202">
        <v>9.0029999999999999E-2</v>
      </c>
      <c r="D202">
        <v>0.28620000000000001</v>
      </c>
      <c r="E202">
        <v>4.0289999999999996E-3</v>
      </c>
      <c r="F202">
        <v>0</v>
      </c>
      <c r="G202">
        <v>0</v>
      </c>
      <c r="H202">
        <v>1</v>
      </c>
      <c r="I202">
        <v>10001</v>
      </c>
      <c r="J202">
        <v>30000</v>
      </c>
    </row>
    <row r="203" spans="2:10" x14ac:dyDescent="0.25">
      <c r="B203" t="s">
        <v>587</v>
      </c>
      <c r="C203">
        <v>2.947E-2</v>
      </c>
      <c r="D203">
        <v>0.1691</v>
      </c>
      <c r="E203">
        <v>2.382E-3</v>
      </c>
      <c r="F203">
        <v>0</v>
      </c>
      <c r="G203">
        <v>0</v>
      </c>
      <c r="H203">
        <v>1</v>
      </c>
      <c r="I203">
        <v>10001</v>
      </c>
      <c r="J203">
        <v>30000</v>
      </c>
    </row>
    <row r="204" spans="2:10" x14ac:dyDescent="0.25">
      <c r="B204" t="s">
        <v>588</v>
      </c>
      <c r="C204">
        <v>1.833E-3</v>
      </c>
      <c r="D204">
        <v>4.2779999999999999E-2</v>
      </c>
      <c r="E204" s="13">
        <v>3.0509999999999999E-4</v>
      </c>
      <c r="F204">
        <v>0</v>
      </c>
      <c r="G204">
        <v>0</v>
      </c>
      <c r="H204">
        <v>0</v>
      </c>
      <c r="I204">
        <v>10001</v>
      </c>
      <c r="J204">
        <v>30000</v>
      </c>
    </row>
    <row r="205" spans="2:10" x14ac:dyDescent="0.25">
      <c r="B205" t="s">
        <v>589</v>
      </c>
      <c r="C205" s="13">
        <v>1E-4</v>
      </c>
      <c r="D205">
        <v>9.9989999999999992E-3</v>
      </c>
      <c r="E205" s="13">
        <v>5.7739999999999999E-5</v>
      </c>
      <c r="F205">
        <v>0</v>
      </c>
      <c r="G205">
        <v>0</v>
      </c>
      <c r="H205">
        <v>0</v>
      </c>
      <c r="I205">
        <v>10001</v>
      </c>
      <c r="J205">
        <v>30000</v>
      </c>
    </row>
    <row r="206" spans="2:10" x14ac:dyDescent="0.25">
      <c r="B206" t="s">
        <v>590</v>
      </c>
      <c r="C206">
        <v>0</v>
      </c>
      <c r="D206">
        <v>0</v>
      </c>
      <c r="E206" s="13">
        <v>3.333E-13</v>
      </c>
      <c r="F206">
        <v>0</v>
      </c>
      <c r="G206">
        <v>0</v>
      </c>
      <c r="H206">
        <v>0</v>
      </c>
      <c r="I206">
        <v>10001</v>
      </c>
      <c r="J206">
        <v>30000</v>
      </c>
    </row>
    <row r="207" spans="2:10" x14ac:dyDescent="0.25">
      <c r="B207" t="s">
        <v>591</v>
      </c>
      <c r="C207">
        <v>0.19550000000000001</v>
      </c>
      <c r="D207">
        <v>0.39660000000000001</v>
      </c>
      <c r="E207">
        <v>6.613E-3</v>
      </c>
      <c r="F207">
        <v>0</v>
      </c>
      <c r="G207">
        <v>0</v>
      </c>
      <c r="H207">
        <v>1</v>
      </c>
      <c r="I207">
        <v>10001</v>
      </c>
      <c r="J207">
        <v>30000</v>
      </c>
    </row>
    <row r="208" spans="2:10" x14ac:dyDescent="0.25">
      <c r="B208" t="s">
        <v>592</v>
      </c>
      <c r="C208">
        <v>0.42180000000000001</v>
      </c>
      <c r="D208">
        <v>0.49390000000000001</v>
      </c>
      <c r="E208">
        <v>6.4120000000000002E-3</v>
      </c>
      <c r="F208">
        <v>0</v>
      </c>
      <c r="G208">
        <v>0</v>
      </c>
      <c r="H208">
        <v>1</v>
      </c>
      <c r="I208">
        <v>10001</v>
      </c>
      <c r="J208">
        <v>30000</v>
      </c>
    </row>
    <row r="209" spans="2:10" x14ac:dyDescent="0.25">
      <c r="B209" t="s">
        <v>593</v>
      </c>
      <c r="C209">
        <v>0.2858</v>
      </c>
      <c r="D209">
        <v>0.45179999999999998</v>
      </c>
      <c r="E209">
        <v>7.626E-3</v>
      </c>
      <c r="F209">
        <v>0</v>
      </c>
      <c r="G209">
        <v>0</v>
      </c>
      <c r="H209">
        <v>1</v>
      </c>
      <c r="I209">
        <v>10001</v>
      </c>
      <c r="J209">
        <v>30000</v>
      </c>
    </row>
    <row r="210" spans="2:10" x14ac:dyDescent="0.25">
      <c r="B210" t="s">
        <v>594</v>
      </c>
      <c r="C210">
        <v>5.5930000000000001E-2</v>
      </c>
      <c r="D210">
        <v>0.2298</v>
      </c>
      <c r="E210">
        <v>2.3709999999999998E-3</v>
      </c>
      <c r="F210">
        <v>0</v>
      </c>
      <c r="G210">
        <v>0</v>
      </c>
      <c r="H210">
        <v>1</v>
      </c>
      <c r="I210">
        <v>10001</v>
      </c>
      <c r="J210">
        <v>30000</v>
      </c>
    </row>
    <row r="211" spans="2:10" x14ac:dyDescent="0.25">
      <c r="B211" t="s">
        <v>595</v>
      </c>
      <c r="C211">
        <v>2.283E-2</v>
      </c>
      <c r="D211">
        <v>0.14940000000000001</v>
      </c>
      <c r="E211">
        <v>1.304E-3</v>
      </c>
      <c r="F211">
        <v>0</v>
      </c>
      <c r="G211">
        <v>0</v>
      </c>
      <c r="H211">
        <v>0</v>
      </c>
      <c r="I211">
        <v>10001</v>
      </c>
      <c r="J211">
        <v>30000</v>
      </c>
    </row>
    <row r="212" spans="2:10" x14ac:dyDescent="0.25">
      <c r="B212" t="s">
        <v>596</v>
      </c>
      <c r="C212">
        <v>1.21E-2</v>
      </c>
      <c r="D212">
        <v>0.10929999999999999</v>
      </c>
      <c r="E212">
        <v>1.008E-3</v>
      </c>
      <c r="F212">
        <v>0</v>
      </c>
      <c r="G212">
        <v>0</v>
      </c>
      <c r="H212">
        <v>0</v>
      </c>
      <c r="I212">
        <v>10001</v>
      </c>
      <c r="J212">
        <v>30000</v>
      </c>
    </row>
    <row r="213" spans="2:10" x14ac:dyDescent="0.25">
      <c r="B213" t="s">
        <v>597</v>
      </c>
      <c r="C213">
        <v>5.2329999999999998E-3</v>
      </c>
      <c r="D213">
        <v>7.2150000000000006E-2</v>
      </c>
      <c r="E213" s="13">
        <v>6.1300000000000005E-4</v>
      </c>
      <c r="F213">
        <v>0</v>
      </c>
      <c r="G213">
        <v>0</v>
      </c>
      <c r="H213">
        <v>0</v>
      </c>
      <c r="I213">
        <v>10001</v>
      </c>
      <c r="J213">
        <v>30000</v>
      </c>
    </row>
    <row r="214" spans="2:10" x14ac:dyDescent="0.25">
      <c r="B214" t="s">
        <v>598</v>
      </c>
      <c r="C214" s="13">
        <v>6.667E-4</v>
      </c>
      <c r="D214">
        <v>2.581E-2</v>
      </c>
      <c r="E214" s="13">
        <v>1.6640000000000001E-4</v>
      </c>
      <c r="F214">
        <v>0</v>
      </c>
      <c r="G214">
        <v>0</v>
      </c>
      <c r="H214">
        <v>0</v>
      </c>
      <c r="I214">
        <v>10001</v>
      </c>
      <c r="J214">
        <v>30000</v>
      </c>
    </row>
    <row r="215" spans="2:10" x14ac:dyDescent="0.25">
      <c r="B215" t="s">
        <v>599</v>
      </c>
      <c r="C215" s="13">
        <v>1.6670000000000001E-4</v>
      </c>
      <c r="D215">
        <v>1.291E-2</v>
      </c>
      <c r="E215" s="13">
        <v>7.428E-5</v>
      </c>
      <c r="F215">
        <v>0</v>
      </c>
      <c r="G215">
        <v>0</v>
      </c>
      <c r="H215">
        <v>0</v>
      </c>
      <c r="I215">
        <v>10001</v>
      </c>
      <c r="J215">
        <v>30000</v>
      </c>
    </row>
    <row r="216" spans="2:10" x14ac:dyDescent="0.25">
      <c r="B216" t="s">
        <v>600</v>
      </c>
      <c r="C216">
        <v>0</v>
      </c>
      <c r="D216">
        <v>0</v>
      </c>
      <c r="E216" s="13">
        <v>3.333E-13</v>
      </c>
      <c r="F216">
        <v>0</v>
      </c>
      <c r="G216">
        <v>0</v>
      </c>
      <c r="H216">
        <v>0</v>
      </c>
      <c r="I216">
        <v>10001</v>
      </c>
      <c r="J216">
        <v>30000</v>
      </c>
    </row>
    <row r="217" spans="2:10" x14ac:dyDescent="0.25">
      <c r="B217" t="s">
        <v>601</v>
      </c>
      <c r="C217">
        <v>0.3957</v>
      </c>
      <c r="D217">
        <v>0.48899999999999999</v>
      </c>
      <c r="E217">
        <v>1.0149999999999999E-2</v>
      </c>
      <c r="F217">
        <v>0</v>
      </c>
      <c r="G217">
        <v>0</v>
      </c>
      <c r="H217">
        <v>1</v>
      </c>
      <c r="I217">
        <v>10001</v>
      </c>
      <c r="J217">
        <v>30000</v>
      </c>
    </row>
    <row r="218" spans="2:10" x14ac:dyDescent="0.25">
      <c r="B218" t="s">
        <v>602</v>
      </c>
      <c r="C218">
        <v>0.14369999999999999</v>
      </c>
      <c r="D218">
        <v>0.3508</v>
      </c>
      <c r="E218">
        <v>4.5729999999999998E-3</v>
      </c>
      <c r="F218">
        <v>0</v>
      </c>
      <c r="G218">
        <v>0</v>
      </c>
      <c r="H218">
        <v>1</v>
      </c>
      <c r="I218">
        <v>10001</v>
      </c>
      <c r="J218">
        <v>30000</v>
      </c>
    </row>
    <row r="219" spans="2:10" x14ac:dyDescent="0.25">
      <c r="B219" t="s">
        <v>603</v>
      </c>
      <c r="C219">
        <v>0.1729</v>
      </c>
      <c r="D219">
        <v>0.37819999999999998</v>
      </c>
      <c r="E219">
        <v>4.6719999999999999E-3</v>
      </c>
      <c r="F219">
        <v>0</v>
      </c>
      <c r="G219">
        <v>0</v>
      </c>
      <c r="H219">
        <v>1</v>
      </c>
      <c r="I219">
        <v>10001</v>
      </c>
      <c r="J219">
        <v>30000</v>
      </c>
    </row>
    <row r="220" spans="2:10" x14ac:dyDescent="0.25">
      <c r="B220" t="s">
        <v>604</v>
      </c>
      <c r="C220">
        <v>9.1869999999999993E-2</v>
      </c>
      <c r="D220">
        <v>0.2888</v>
      </c>
      <c r="E220">
        <v>3.5920000000000001E-3</v>
      </c>
      <c r="F220">
        <v>0</v>
      </c>
      <c r="G220">
        <v>0</v>
      </c>
      <c r="H220">
        <v>1</v>
      </c>
      <c r="I220">
        <v>10001</v>
      </c>
      <c r="J220">
        <v>30000</v>
      </c>
    </row>
    <row r="221" spans="2:10" x14ac:dyDescent="0.25">
      <c r="B221" t="s">
        <v>605</v>
      </c>
      <c r="C221">
        <v>6.173E-2</v>
      </c>
      <c r="D221">
        <v>0.2407</v>
      </c>
      <c r="E221">
        <v>3.2420000000000001E-3</v>
      </c>
      <c r="F221">
        <v>0</v>
      </c>
      <c r="G221">
        <v>0</v>
      </c>
      <c r="H221">
        <v>1</v>
      </c>
      <c r="I221">
        <v>10001</v>
      </c>
      <c r="J221">
        <v>30000</v>
      </c>
    </row>
    <row r="222" spans="2:10" x14ac:dyDescent="0.25">
      <c r="B222" t="s">
        <v>606</v>
      </c>
      <c r="C222">
        <v>6.2969999999999998E-2</v>
      </c>
      <c r="D222">
        <v>0.2429</v>
      </c>
      <c r="E222">
        <v>2.983E-3</v>
      </c>
      <c r="F222">
        <v>0</v>
      </c>
      <c r="G222">
        <v>0</v>
      </c>
      <c r="H222">
        <v>1</v>
      </c>
      <c r="I222">
        <v>10001</v>
      </c>
      <c r="J222">
        <v>30000</v>
      </c>
    </row>
    <row r="223" spans="2:10" x14ac:dyDescent="0.25">
      <c r="B223" t="s">
        <v>607</v>
      </c>
      <c r="C223">
        <v>4.5330000000000002E-2</v>
      </c>
      <c r="D223">
        <v>0.20799999999999999</v>
      </c>
      <c r="E223">
        <v>2.6540000000000001E-3</v>
      </c>
      <c r="F223">
        <v>0</v>
      </c>
      <c r="G223">
        <v>0</v>
      </c>
      <c r="H223">
        <v>1</v>
      </c>
      <c r="I223">
        <v>10001</v>
      </c>
      <c r="J223">
        <v>30000</v>
      </c>
    </row>
    <row r="224" spans="2:10" x14ac:dyDescent="0.25">
      <c r="B224" t="s">
        <v>608</v>
      </c>
      <c r="C224">
        <v>1.653E-2</v>
      </c>
      <c r="D224">
        <v>0.1275</v>
      </c>
      <c r="E224">
        <v>1.3060000000000001E-3</v>
      </c>
      <c r="F224">
        <v>0</v>
      </c>
      <c r="G224">
        <v>0</v>
      </c>
      <c r="H224">
        <v>0</v>
      </c>
      <c r="I224">
        <v>10001</v>
      </c>
      <c r="J224">
        <v>30000</v>
      </c>
    </row>
    <row r="225" spans="2:10" x14ac:dyDescent="0.25">
      <c r="B225" t="s">
        <v>609</v>
      </c>
      <c r="C225">
        <v>9.0670000000000004E-3</v>
      </c>
      <c r="D225">
        <v>9.4789999999999999E-2</v>
      </c>
      <c r="E225">
        <v>1.379E-3</v>
      </c>
      <c r="F225">
        <v>0</v>
      </c>
      <c r="G225">
        <v>0</v>
      </c>
      <c r="H225">
        <v>0</v>
      </c>
      <c r="I225">
        <v>10001</v>
      </c>
      <c r="J225">
        <v>30000</v>
      </c>
    </row>
    <row r="226" spans="2:10" x14ac:dyDescent="0.25">
      <c r="B226" t="s">
        <v>610</v>
      </c>
      <c r="C226" s="13">
        <v>1.6670000000000001E-4</v>
      </c>
      <c r="D226">
        <v>1.291E-2</v>
      </c>
      <c r="E226" s="13">
        <v>1E-4</v>
      </c>
      <c r="F226">
        <v>0</v>
      </c>
      <c r="G226">
        <v>0</v>
      </c>
      <c r="H226">
        <v>0</v>
      </c>
      <c r="I226">
        <v>10001</v>
      </c>
      <c r="J226">
        <v>30000</v>
      </c>
    </row>
    <row r="227" spans="2:10" x14ac:dyDescent="0.25">
      <c r="B227" t="s">
        <v>611</v>
      </c>
      <c r="C227">
        <v>0.3891</v>
      </c>
      <c r="D227">
        <v>0.48759999999999998</v>
      </c>
      <c r="E227">
        <v>8.9820000000000004E-3</v>
      </c>
      <c r="F227">
        <v>0</v>
      </c>
      <c r="G227">
        <v>0</v>
      </c>
      <c r="H227">
        <v>1</v>
      </c>
      <c r="I227">
        <v>10001</v>
      </c>
      <c r="J227">
        <v>30000</v>
      </c>
    </row>
    <row r="228" spans="2:10" x14ac:dyDescent="0.25">
      <c r="B228" t="s">
        <v>612</v>
      </c>
      <c r="C228">
        <v>0.3553</v>
      </c>
      <c r="D228">
        <v>0.47860000000000003</v>
      </c>
      <c r="E228">
        <v>6.1060000000000003E-3</v>
      </c>
      <c r="F228">
        <v>0</v>
      </c>
      <c r="G228">
        <v>0</v>
      </c>
      <c r="H228">
        <v>1</v>
      </c>
      <c r="I228">
        <v>10001</v>
      </c>
      <c r="J228">
        <v>30000</v>
      </c>
    </row>
    <row r="229" spans="2:10" x14ac:dyDescent="0.25">
      <c r="B229" t="s">
        <v>613</v>
      </c>
      <c r="C229">
        <v>0.1779</v>
      </c>
      <c r="D229">
        <v>0.38240000000000002</v>
      </c>
      <c r="E229">
        <v>5.8560000000000001E-3</v>
      </c>
      <c r="F229">
        <v>0</v>
      </c>
      <c r="G229">
        <v>0</v>
      </c>
      <c r="H229">
        <v>1</v>
      </c>
      <c r="I229">
        <v>10001</v>
      </c>
      <c r="J229">
        <v>30000</v>
      </c>
    </row>
    <row r="230" spans="2:10" x14ac:dyDescent="0.25">
      <c r="B230" t="s">
        <v>614</v>
      </c>
      <c r="C230">
        <v>4.1730000000000003E-2</v>
      </c>
      <c r="D230">
        <v>0.2</v>
      </c>
      <c r="E230">
        <v>2.0920000000000001E-3</v>
      </c>
      <c r="F230">
        <v>0</v>
      </c>
      <c r="G230">
        <v>0</v>
      </c>
      <c r="H230">
        <v>1</v>
      </c>
      <c r="I230">
        <v>10001</v>
      </c>
      <c r="J230">
        <v>30000</v>
      </c>
    </row>
    <row r="231" spans="2:10" x14ac:dyDescent="0.25">
      <c r="B231" t="s">
        <v>615</v>
      </c>
      <c r="C231">
        <v>1.787E-2</v>
      </c>
      <c r="D231">
        <v>0.13250000000000001</v>
      </c>
      <c r="E231">
        <v>1.3159999999999999E-3</v>
      </c>
      <c r="F231">
        <v>0</v>
      </c>
      <c r="G231">
        <v>0</v>
      </c>
      <c r="H231">
        <v>0</v>
      </c>
      <c r="I231">
        <v>10001</v>
      </c>
      <c r="J231">
        <v>30000</v>
      </c>
    </row>
    <row r="232" spans="2:10" x14ac:dyDescent="0.25">
      <c r="B232" t="s">
        <v>616</v>
      </c>
      <c r="C232">
        <v>1.15E-2</v>
      </c>
      <c r="D232">
        <v>0.1066</v>
      </c>
      <c r="E232" s="13">
        <v>9.7799999999999992E-4</v>
      </c>
      <c r="F232">
        <v>0</v>
      </c>
      <c r="G232">
        <v>0</v>
      </c>
      <c r="H232">
        <v>0</v>
      </c>
      <c r="I232">
        <v>10001</v>
      </c>
      <c r="J232">
        <v>30000</v>
      </c>
    </row>
    <row r="233" spans="2:10" x14ac:dyDescent="0.25">
      <c r="B233" t="s">
        <v>617</v>
      </c>
      <c r="C233">
        <v>5.5999999999999999E-3</v>
      </c>
      <c r="D233">
        <v>7.4620000000000006E-2</v>
      </c>
      <c r="E233" s="13">
        <v>7.6389999999999997E-4</v>
      </c>
      <c r="F233">
        <v>0</v>
      </c>
      <c r="G233">
        <v>0</v>
      </c>
      <c r="H233">
        <v>0</v>
      </c>
      <c r="I233">
        <v>10001</v>
      </c>
      <c r="J233">
        <v>30000</v>
      </c>
    </row>
    <row r="234" spans="2:10" x14ac:dyDescent="0.25">
      <c r="B234" t="s">
        <v>618</v>
      </c>
      <c r="C234" s="13">
        <v>7.6670000000000004E-4</v>
      </c>
      <c r="D234">
        <v>2.768E-2</v>
      </c>
      <c r="E234" s="13">
        <v>2.253E-4</v>
      </c>
      <c r="F234">
        <v>0</v>
      </c>
      <c r="G234">
        <v>0</v>
      </c>
      <c r="H234">
        <v>0</v>
      </c>
      <c r="I234">
        <v>10001</v>
      </c>
      <c r="J234">
        <v>30000</v>
      </c>
    </row>
    <row r="235" spans="2:10" x14ac:dyDescent="0.25">
      <c r="B235" t="s">
        <v>619</v>
      </c>
      <c r="C235" s="13">
        <v>2.6669999999999998E-4</v>
      </c>
      <c r="D235">
        <v>1.6330000000000001E-2</v>
      </c>
      <c r="E235" s="13">
        <v>1.15E-4</v>
      </c>
      <c r="F235">
        <v>0</v>
      </c>
      <c r="G235">
        <v>0</v>
      </c>
      <c r="H235">
        <v>0</v>
      </c>
      <c r="I235">
        <v>10001</v>
      </c>
      <c r="J235">
        <v>30000</v>
      </c>
    </row>
    <row r="236" spans="2:10" x14ac:dyDescent="0.25">
      <c r="B236" t="s">
        <v>620</v>
      </c>
      <c r="C236">
        <v>0</v>
      </c>
      <c r="D236">
        <v>0</v>
      </c>
      <c r="E236" s="13">
        <v>3.333E-13</v>
      </c>
      <c r="F236">
        <v>0</v>
      </c>
      <c r="G236">
        <v>0</v>
      </c>
      <c r="H236">
        <v>0</v>
      </c>
      <c r="I236">
        <v>10001</v>
      </c>
      <c r="J236">
        <v>30000</v>
      </c>
    </row>
    <row r="237" spans="2:10" x14ac:dyDescent="0.25">
      <c r="B237" t="s">
        <v>621</v>
      </c>
      <c r="C237">
        <v>1.067E-3</v>
      </c>
      <c r="D237">
        <v>3.2640000000000002E-2</v>
      </c>
      <c r="E237" s="13">
        <v>2.429E-4</v>
      </c>
      <c r="F237">
        <v>0</v>
      </c>
      <c r="G237">
        <v>0</v>
      </c>
      <c r="H237">
        <v>0</v>
      </c>
      <c r="I237">
        <v>10001</v>
      </c>
      <c r="J237">
        <v>30000</v>
      </c>
    </row>
    <row r="238" spans="2:10" x14ac:dyDescent="0.25">
      <c r="B238" t="s">
        <v>622</v>
      </c>
      <c r="C238">
        <v>1.7329999999999999E-3</v>
      </c>
      <c r="D238">
        <v>4.1599999999999998E-2</v>
      </c>
      <c r="E238" s="13">
        <v>2.6160000000000002E-4</v>
      </c>
      <c r="F238">
        <v>0</v>
      </c>
      <c r="G238">
        <v>0</v>
      </c>
      <c r="H238">
        <v>0</v>
      </c>
      <c r="I238">
        <v>10001</v>
      </c>
      <c r="J238">
        <v>30000</v>
      </c>
    </row>
    <row r="239" spans="2:10" x14ac:dyDescent="0.25">
      <c r="B239" t="s">
        <v>623</v>
      </c>
      <c r="C239">
        <v>3.9329999999999999E-3</v>
      </c>
      <c r="D239">
        <v>6.2590000000000007E-2</v>
      </c>
      <c r="E239" s="13">
        <v>4.2850000000000001E-4</v>
      </c>
      <c r="F239">
        <v>0</v>
      </c>
      <c r="G239">
        <v>0</v>
      </c>
      <c r="H239">
        <v>0</v>
      </c>
      <c r="I239">
        <v>10001</v>
      </c>
      <c r="J239">
        <v>30000</v>
      </c>
    </row>
    <row r="240" spans="2:10" x14ac:dyDescent="0.25">
      <c r="B240" t="s">
        <v>624</v>
      </c>
      <c r="C240">
        <v>7.0670000000000004E-3</v>
      </c>
      <c r="D240">
        <v>8.3769999999999997E-2</v>
      </c>
      <c r="E240" s="13">
        <v>6.3579999999999995E-4</v>
      </c>
      <c r="F240">
        <v>0</v>
      </c>
      <c r="G240">
        <v>0</v>
      </c>
      <c r="H240">
        <v>0</v>
      </c>
      <c r="I240">
        <v>10001</v>
      </c>
      <c r="J240">
        <v>30000</v>
      </c>
    </row>
    <row r="241" spans="2:10" x14ac:dyDescent="0.25">
      <c r="B241" t="s">
        <v>625</v>
      </c>
      <c r="C241">
        <v>1.333E-2</v>
      </c>
      <c r="D241">
        <v>0.1147</v>
      </c>
      <c r="E241">
        <v>1.088E-3</v>
      </c>
      <c r="F241">
        <v>0</v>
      </c>
      <c r="G241">
        <v>0</v>
      </c>
      <c r="H241">
        <v>0</v>
      </c>
      <c r="I241">
        <v>10001</v>
      </c>
      <c r="J241">
        <v>30000</v>
      </c>
    </row>
    <row r="242" spans="2:10" x14ac:dyDescent="0.25">
      <c r="B242" t="s">
        <v>626</v>
      </c>
      <c r="C242">
        <v>2.4170000000000001E-2</v>
      </c>
      <c r="D242">
        <v>0.15359999999999999</v>
      </c>
      <c r="E242">
        <v>1.2620000000000001E-3</v>
      </c>
      <c r="F242">
        <v>0</v>
      </c>
      <c r="G242">
        <v>0</v>
      </c>
      <c r="H242">
        <v>0</v>
      </c>
      <c r="I242">
        <v>10001</v>
      </c>
      <c r="J242">
        <v>30000</v>
      </c>
    </row>
    <row r="243" spans="2:10" x14ac:dyDescent="0.25">
      <c r="B243" t="s">
        <v>627</v>
      </c>
      <c r="C243">
        <v>8.3470000000000003E-2</v>
      </c>
      <c r="D243">
        <v>0.27660000000000001</v>
      </c>
      <c r="E243">
        <v>2.9550000000000002E-3</v>
      </c>
      <c r="F243">
        <v>0</v>
      </c>
      <c r="G243">
        <v>0</v>
      </c>
      <c r="H243">
        <v>1</v>
      </c>
      <c r="I243">
        <v>10001</v>
      </c>
      <c r="J243">
        <v>30000</v>
      </c>
    </row>
    <row r="244" spans="2:10" x14ac:dyDescent="0.25">
      <c r="B244" t="s">
        <v>628</v>
      </c>
      <c r="C244">
        <v>0.15939999999999999</v>
      </c>
      <c r="D244">
        <v>0.36609999999999998</v>
      </c>
      <c r="E244">
        <v>4.0990000000000002E-3</v>
      </c>
      <c r="F244">
        <v>0</v>
      </c>
      <c r="G244">
        <v>0</v>
      </c>
      <c r="H244">
        <v>1</v>
      </c>
      <c r="I244">
        <v>10001</v>
      </c>
      <c r="J244">
        <v>30000</v>
      </c>
    </row>
    <row r="245" spans="2:10" x14ac:dyDescent="0.25">
      <c r="B245" t="s">
        <v>629</v>
      </c>
      <c r="C245">
        <v>0.66790000000000005</v>
      </c>
      <c r="D245">
        <v>0.47099999999999997</v>
      </c>
      <c r="E245">
        <v>6.5919999999999998E-3</v>
      </c>
      <c r="F245">
        <v>0</v>
      </c>
      <c r="G245">
        <v>1</v>
      </c>
      <c r="H245">
        <v>1</v>
      </c>
      <c r="I245">
        <v>10001</v>
      </c>
      <c r="J245">
        <v>30000</v>
      </c>
    </row>
    <row r="246" spans="2:10" x14ac:dyDescent="0.25">
      <c r="B246" t="s">
        <v>630</v>
      </c>
      <c r="C246">
        <v>3.7900000000000003E-2</v>
      </c>
      <c r="D246">
        <v>0.191</v>
      </c>
      <c r="E246">
        <v>2.1280000000000001E-3</v>
      </c>
      <c r="F246">
        <v>0</v>
      </c>
      <c r="G246">
        <v>0</v>
      </c>
      <c r="H246">
        <v>1</v>
      </c>
      <c r="I246">
        <v>10001</v>
      </c>
      <c r="J246">
        <v>30000</v>
      </c>
    </row>
    <row r="247" spans="2:10" x14ac:dyDescent="0.25">
      <c r="B247" t="s">
        <v>631</v>
      </c>
      <c r="C247">
        <v>8.933E-3</v>
      </c>
      <c r="D247">
        <v>9.4089999999999993E-2</v>
      </c>
      <c r="E247">
        <v>1.075E-3</v>
      </c>
      <c r="F247">
        <v>0</v>
      </c>
      <c r="G247">
        <v>0</v>
      </c>
      <c r="H247">
        <v>0</v>
      </c>
      <c r="I247">
        <v>10001</v>
      </c>
      <c r="J247">
        <v>30000</v>
      </c>
    </row>
    <row r="248" spans="2:10" x14ac:dyDescent="0.25">
      <c r="B248" t="s">
        <v>632</v>
      </c>
      <c r="C248">
        <v>2.2429999999999999E-2</v>
      </c>
      <c r="D248">
        <v>0.14810000000000001</v>
      </c>
      <c r="E248">
        <v>1.7719999999999999E-3</v>
      </c>
      <c r="F248">
        <v>0</v>
      </c>
      <c r="G248">
        <v>0</v>
      </c>
      <c r="H248">
        <v>0</v>
      </c>
      <c r="I248">
        <v>10001</v>
      </c>
      <c r="J248">
        <v>30000</v>
      </c>
    </row>
    <row r="249" spans="2:10" x14ac:dyDescent="0.25">
      <c r="B249" t="s">
        <v>633</v>
      </c>
      <c r="C249">
        <v>4.2799999999999998E-2</v>
      </c>
      <c r="D249">
        <v>0.2024</v>
      </c>
      <c r="E249">
        <v>2.6670000000000001E-3</v>
      </c>
      <c r="F249">
        <v>0</v>
      </c>
      <c r="G249">
        <v>0</v>
      </c>
      <c r="H249">
        <v>1</v>
      </c>
      <c r="I249">
        <v>10001</v>
      </c>
      <c r="J249">
        <v>30000</v>
      </c>
    </row>
    <row r="250" spans="2:10" x14ac:dyDescent="0.25">
      <c r="B250" t="s">
        <v>634</v>
      </c>
      <c r="C250">
        <v>7.3730000000000004E-2</v>
      </c>
      <c r="D250">
        <v>0.26129999999999998</v>
      </c>
      <c r="E250">
        <v>3.8270000000000001E-3</v>
      </c>
      <c r="F250">
        <v>0</v>
      </c>
      <c r="G250">
        <v>0</v>
      </c>
      <c r="H250">
        <v>1</v>
      </c>
      <c r="I250">
        <v>10001</v>
      </c>
      <c r="J250">
        <v>30000</v>
      </c>
    </row>
    <row r="251" spans="2:10" x14ac:dyDescent="0.25">
      <c r="B251" t="s">
        <v>635</v>
      </c>
      <c r="C251">
        <v>8.967E-2</v>
      </c>
      <c r="D251">
        <v>0.28570000000000001</v>
      </c>
      <c r="E251">
        <v>3.532E-3</v>
      </c>
      <c r="F251">
        <v>0</v>
      </c>
      <c r="G251">
        <v>0</v>
      </c>
      <c r="H251">
        <v>1</v>
      </c>
      <c r="I251">
        <v>10001</v>
      </c>
      <c r="J251">
        <v>30000</v>
      </c>
    </row>
    <row r="252" spans="2:10" x14ac:dyDescent="0.25">
      <c r="B252" t="s">
        <v>636</v>
      </c>
      <c r="C252">
        <v>0.11559999999999999</v>
      </c>
      <c r="D252">
        <v>0.31969999999999998</v>
      </c>
      <c r="E252">
        <v>4.0200000000000001E-3</v>
      </c>
      <c r="F252">
        <v>0</v>
      </c>
      <c r="G252">
        <v>0</v>
      </c>
      <c r="H252">
        <v>1</v>
      </c>
      <c r="I252">
        <v>10001</v>
      </c>
      <c r="J252">
        <v>30000</v>
      </c>
    </row>
    <row r="253" spans="2:10" x14ac:dyDescent="0.25">
      <c r="B253" t="s">
        <v>637</v>
      </c>
      <c r="C253">
        <v>0.34</v>
      </c>
      <c r="D253">
        <v>0.47370000000000001</v>
      </c>
      <c r="E253">
        <v>6.5589999999999997E-3</v>
      </c>
      <c r="F253">
        <v>0</v>
      </c>
      <c r="G253">
        <v>0</v>
      </c>
      <c r="H253">
        <v>1</v>
      </c>
      <c r="I253">
        <v>10001</v>
      </c>
      <c r="J253">
        <v>30000</v>
      </c>
    </row>
    <row r="254" spans="2:10" x14ac:dyDescent="0.25">
      <c r="B254" t="s">
        <v>638</v>
      </c>
      <c r="C254">
        <v>0.18679999999999999</v>
      </c>
      <c r="D254">
        <v>0.38969999999999999</v>
      </c>
      <c r="E254">
        <v>5.8599999999999998E-3</v>
      </c>
      <c r="F254">
        <v>0</v>
      </c>
      <c r="G254">
        <v>0</v>
      </c>
      <c r="H254">
        <v>1</v>
      </c>
      <c r="I254">
        <v>10001</v>
      </c>
      <c r="J254">
        <v>30000</v>
      </c>
    </row>
    <row r="255" spans="2:10" x14ac:dyDescent="0.25">
      <c r="B255" t="s">
        <v>639</v>
      </c>
      <c r="C255">
        <v>0.11840000000000001</v>
      </c>
      <c r="D255">
        <v>0.3231</v>
      </c>
      <c r="E255">
        <v>5.6610000000000002E-3</v>
      </c>
      <c r="F255">
        <v>0</v>
      </c>
      <c r="G255">
        <v>0</v>
      </c>
      <c r="H255">
        <v>1</v>
      </c>
      <c r="I255">
        <v>10001</v>
      </c>
      <c r="J255">
        <v>30000</v>
      </c>
    </row>
    <row r="256" spans="2:10" x14ac:dyDescent="0.25">
      <c r="B256" t="s">
        <v>640</v>
      </c>
      <c r="C256">
        <v>1.7329999999999999E-3</v>
      </c>
      <c r="D256">
        <v>4.1599999999999998E-2</v>
      </c>
      <c r="E256" s="13">
        <v>4.303E-4</v>
      </c>
      <c r="F256">
        <v>0</v>
      </c>
      <c r="G256">
        <v>0</v>
      </c>
      <c r="H256">
        <v>0</v>
      </c>
      <c r="I256">
        <v>10001</v>
      </c>
      <c r="J256">
        <v>30000</v>
      </c>
    </row>
    <row r="257" spans="2:10" x14ac:dyDescent="0.25">
      <c r="B257" t="s">
        <v>641</v>
      </c>
      <c r="C257">
        <v>5.6670000000000002E-3</v>
      </c>
      <c r="D257">
        <v>7.5060000000000002E-2</v>
      </c>
      <c r="E257" s="13">
        <v>8.0239999999999999E-4</v>
      </c>
      <c r="F257">
        <v>0</v>
      </c>
      <c r="G257">
        <v>0</v>
      </c>
      <c r="H257">
        <v>0</v>
      </c>
      <c r="I257">
        <v>10001</v>
      </c>
      <c r="J257">
        <v>30000</v>
      </c>
    </row>
    <row r="258" spans="2:10" x14ac:dyDescent="0.25">
      <c r="B258" t="s">
        <v>642</v>
      </c>
      <c r="C258">
        <v>2.2270000000000002E-2</v>
      </c>
      <c r="D258">
        <v>0.14749999999999999</v>
      </c>
      <c r="E258">
        <v>1.6199999999999999E-3</v>
      </c>
      <c r="F258">
        <v>0</v>
      </c>
      <c r="G258">
        <v>0</v>
      </c>
      <c r="H258">
        <v>0</v>
      </c>
      <c r="I258">
        <v>10001</v>
      </c>
      <c r="J258">
        <v>30000</v>
      </c>
    </row>
    <row r="259" spans="2:10" x14ac:dyDescent="0.25">
      <c r="B259" t="s">
        <v>643</v>
      </c>
      <c r="C259">
        <v>6.6299999999999998E-2</v>
      </c>
      <c r="D259">
        <v>0.24879999999999999</v>
      </c>
      <c r="E259">
        <v>3.1389999999999999E-3</v>
      </c>
      <c r="F259">
        <v>0</v>
      </c>
      <c r="G259">
        <v>0</v>
      </c>
      <c r="H259">
        <v>1</v>
      </c>
      <c r="I259">
        <v>10001</v>
      </c>
      <c r="J259">
        <v>30000</v>
      </c>
    </row>
    <row r="260" spans="2:10" x14ac:dyDescent="0.25">
      <c r="B260" t="s">
        <v>644</v>
      </c>
      <c r="C260">
        <v>0.15939999999999999</v>
      </c>
      <c r="D260">
        <v>0.36609999999999998</v>
      </c>
      <c r="E260">
        <v>4.7289999999999997E-3</v>
      </c>
      <c r="F260">
        <v>0</v>
      </c>
      <c r="G260">
        <v>0</v>
      </c>
      <c r="H260">
        <v>1</v>
      </c>
      <c r="I260">
        <v>10001</v>
      </c>
      <c r="J260">
        <v>30000</v>
      </c>
    </row>
    <row r="261" spans="2:10" x14ac:dyDescent="0.25">
      <c r="B261" t="s">
        <v>645</v>
      </c>
      <c r="C261">
        <v>0.29699999999999999</v>
      </c>
      <c r="D261">
        <v>0.45700000000000002</v>
      </c>
      <c r="E261">
        <v>6.0010000000000003E-3</v>
      </c>
      <c r="F261">
        <v>0</v>
      </c>
      <c r="G261">
        <v>0</v>
      </c>
      <c r="H261">
        <v>1</v>
      </c>
      <c r="I261">
        <v>10001</v>
      </c>
      <c r="J261">
        <v>30000</v>
      </c>
    </row>
    <row r="262" spans="2:10" x14ac:dyDescent="0.25">
      <c r="B262" t="s">
        <v>646</v>
      </c>
      <c r="C262">
        <v>0.2878</v>
      </c>
      <c r="D262">
        <v>0.45279999999999998</v>
      </c>
      <c r="E262">
        <v>6.7149999999999996E-3</v>
      </c>
      <c r="F262">
        <v>0</v>
      </c>
      <c r="G262">
        <v>0</v>
      </c>
      <c r="H262">
        <v>1</v>
      </c>
      <c r="I262">
        <v>10001</v>
      </c>
      <c r="J262">
        <v>30000</v>
      </c>
    </row>
    <row r="263" spans="2:10" x14ac:dyDescent="0.25">
      <c r="B263" t="s">
        <v>647</v>
      </c>
      <c r="C263">
        <v>0.14199999999999999</v>
      </c>
      <c r="D263">
        <v>0.34899999999999998</v>
      </c>
      <c r="E263">
        <v>5.9109999999999996E-3</v>
      </c>
      <c r="F263">
        <v>0</v>
      </c>
      <c r="G263">
        <v>0</v>
      </c>
      <c r="H263">
        <v>1</v>
      </c>
      <c r="I263">
        <v>10001</v>
      </c>
      <c r="J263">
        <v>30000</v>
      </c>
    </row>
    <row r="264" spans="2:10" x14ac:dyDescent="0.25">
      <c r="B264" t="s">
        <v>648</v>
      </c>
      <c r="C264">
        <v>1.7100000000000001E-2</v>
      </c>
      <c r="D264">
        <v>0.12959999999999999</v>
      </c>
      <c r="E264">
        <v>1.611E-3</v>
      </c>
      <c r="F264">
        <v>0</v>
      </c>
      <c r="G264">
        <v>0</v>
      </c>
      <c r="H264">
        <v>0</v>
      </c>
      <c r="I264">
        <v>10001</v>
      </c>
      <c r="J264">
        <v>30000</v>
      </c>
    </row>
    <row r="265" spans="2:10" x14ac:dyDescent="0.25">
      <c r="B265" t="s">
        <v>649</v>
      </c>
      <c r="C265">
        <v>2.3999999999999998E-3</v>
      </c>
      <c r="D265">
        <v>4.8930000000000001E-2</v>
      </c>
      <c r="E265" s="13">
        <v>3.8299999999999999E-4</v>
      </c>
      <c r="F265">
        <v>0</v>
      </c>
      <c r="G265">
        <v>0</v>
      </c>
      <c r="H265">
        <v>0</v>
      </c>
      <c r="I265">
        <v>10001</v>
      </c>
      <c r="J265">
        <v>30000</v>
      </c>
    </row>
    <row r="266" spans="2:10" x14ac:dyDescent="0.25">
      <c r="B266" t="s">
        <v>650</v>
      </c>
      <c r="C266">
        <v>0</v>
      </c>
      <c r="D266">
        <v>0</v>
      </c>
      <c r="E266" s="13">
        <v>3.333E-13</v>
      </c>
      <c r="F266">
        <v>0</v>
      </c>
      <c r="G266">
        <v>0</v>
      </c>
      <c r="H266">
        <v>0</v>
      </c>
      <c r="I266">
        <v>10001</v>
      </c>
      <c r="J266">
        <v>30000</v>
      </c>
    </row>
    <row r="267" spans="2:10" x14ac:dyDescent="0.25">
      <c r="B267" t="s">
        <v>651</v>
      </c>
      <c r="C267">
        <v>0</v>
      </c>
      <c r="D267">
        <v>0</v>
      </c>
      <c r="E267" s="13">
        <v>3.333E-13</v>
      </c>
      <c r="F267">
        <v>0</v>
      </c>
      <c r="G267">
        <v>0</v>
      </c>
      <c r="H267">
        <v>0</v>
      </c>
      <c r="I267">
        <v>10001</v>
      </c>
      <c r="J267">
        <v>30000</v>
      </c>
    </row>
    <row r="268" spans="2:10" x14ac:dyDescent="0.25">
      <c r="B268" t="s">
        <v>652</v>
      </c>
      <c r="C268">
        <v>0</v>
      </c>
      <c r="D268">
        <v>0</v>
      </c>
      <c r="E268" s="13">
        <v>3.333E-13</v>
      </c>
      <c r="F268">
        <v>0</v>
      </c>
      <c r="G268">
        <v>0</v>
      </c>
      <c r="H268">
        <v>0</v>
      </c>
      <c r="I268">
        <v>10001</v>
      </c>
      <c r="J268">
        <v>30000</v>
      </c>
    </row>
    <row r="269" spans="2:10" x14ac:dyDescent="0.25">
      <c r="B269" t="s">
        <v>653</v>
      </c>
      <c r="C269">
        <v>0</v>
      </c>
      <c r="D269">
        <v>0</v>
      </c>
      <c r="E269" s="13">
        <v>3.333E-13</v>
      </c>
      <c r="F269">
        <v>0</v>
      </c>
      <c r="G269">
        <v>0</v>
      </c>
      <c r="H269">
        <v>0</v>
      </c>
      <c r="I269">
        <v>10001</v>
      </c>
      <c r="J269">
        <v>30000</v>
      </c>
    </row>
    <row r="270" spans="2:10" x14ac:dyDescent="0.25">
      <c r="B270" t="s">
        <v>654</v>
      </c>
      <c r="C270">
        <v>0</v>
      </c>
      <c r="D270">
        <v>0</v>
      </c>
      <c r="E270" s="13">
        <v>3.333E-13</v>
      </c>
      <c r="F270">
        <v>0</v>
      </c>
      <c r="G270">
        <v>0</v>
      </c>
      <c r="H270">
        <v>0</v>
      </c>
      <c r="I270">
        <v>10001</v>
      </c>
      <c r="J270">
        <v>30000</v>
      </c>
    </row>
    <row r="271" spans="2:10" x14ac:dyDescent="0.25">
      <c r="B271" t="s">
        <v>655</v>
      </c>
      <c r="C271">
        <v>0</v>
      </c>
      <c r="D271">
        <v>0</v>
      </c>
      <c r="E271" s="13">
        <v>3.333E-13</v>
      </c>
      <c r="F271">
        <v>0</v>
      </c>
      <c r="G271">
        <v>0</v>
      </c>
      <c r="H271">
        <v>0</v>
      </c>
      <c r="I271">
        <v>10001</v>
      </c>
      <c r="J271">
        <v>30000</v>
      </c>
    </row>
    <row r="272" spans="2:10" x14ac:dyDescent="0.25">
      <c r="B272" t="s">
        <v>656</v>
      </c>
      <c r="C272">
        <v>0</v>
      </c>
      <c r="D272">
        <v>0</v>
      </c>
      <c r="E272" s="13">
        <v>3.333E-13</v>
      </c>
      <c r="F272">
        <v>0</v>
      </c>
      <c r="G272">
        <v>0</v>
      </c>
      <c r="H272">
        <v>0</v>
      </c>
      <c r="I272">
        <v>10001</v>
      </c>
      <c r="J272">
        <v>30000</v>
      </c>
    </row>
    <row r="273" spans="2:10" x14ac:dyDescent="0.25">
      <c r="B273" t="s">
        <v>657</v>
      </c>
      <c r="C273">
        <v>0</v>
      </c>
      <c r="D273">
        <v>0</v>
      </c>
      <c r="E273" s="13">
        <v>3.333E-13</v>
      </c>
      <c r="F273">
        <v>0</v>
      </c>
      <c r="G273">
        <v>0</v>
      </c>
      <c r="H273">
        <v>0</v>
      </c>
      <c r="I273">
        <v>10001</v>
      </c>
      <c r="J273">
        <v>30000</v>
      </c>
    </row>
    <row r="274" spans="2:10" x14ac:dyDescent="0.25">
      <c r="B274" t="s">
        <v>658</v>
      </c>
      <c r="C274" s="13">
        <v>3.3330000000000002E-4</v>
      </c>
      <c r="D274">
        <v>1.8249999999999999E-2</v>
      </c>
      <c r="E274" s="13">
        <v>1.144E-4</v>
      </c>
      <c r="F274">
        <v>0</v>
      </c>
      <c r="G274">
        <v>0</v>
      </c>
      <c r="H274">
        <v>0</v>
      </c>
      <c r="I274">
        <v>10001</v>
      </c>
      <c r="J274">
        <v>30000</v>
      </c>
    </row>
    <row r="275" spans="2:10" x14ac:dyDescent="0.25">
      <c r="B275" t="s">
        <v>659</v>
      </c>
      <c r="C275">
        <v>3.9469999999999998E-2</v>
      </c>
      <c r="D275">
        <v>0.19470000000000001</v>
      </c>
      <c r="E275">
        <v>2.1949999999999999E-3</v>
      </c>
      <c r="F275">
        <v>0</v>
      </c>
      <c r="G275">
        <v>0</v>
      </c>
      <c r="H275">
        <v>1</v>
      </c>
      <c r="I275">
        <v>10001</v>
      </c>
      <c r="J275">
        <v>30000</v>
      </c>
    </row>
    <row r="276" spans="2:10" x14ac:dyDescent="0.25">
      <c r="B276" t="s">
        <v>660</v>
      </c>
      <c r="C276">
        <v>0.96020000000000005</v>
      </c>
      <c r="D276">
        <v>0.19550000000000001</v>
      </c>
      <c r="E276">
        <v>2.212E-3</v>
      </c>
      <c r="F276">
        <v>0</v>
      </c>
      <c r="G276">
        <v>1</v>
      </c>
      <c r="H276">
        <v>1</v>
      </c>
      <c r="I276">
        <v>10001</v>
      </c>
      <c r="J276">
        <v>30000</v>
      </c>
    </row>
    <row r="277" spans="2:10" x14ac:dyDescent="0.25">
      <c r="B277" t="s">
        <v>661</v>
      </c>
      <c r="C277">
        <v>2.198</v>
      </c>
      <c r="D277">
        <v>2.0099999999999998</v>
      </c>
      <c r="E277">
        <v>3.1210000000000002E-2</v>
      </c>
      <c r="F277">
        <v>6.9599999999999995E-2</v>
      </c>
      <c r="G277">
        <v>1.625</v>
      </c>
      <c r="H277">
        <v>7.4859999999999998</v>
      </c>
      <c r="I277">
        <v>10001</v>
      </c>
      <c r="J277">
        <v>30000</v>
      </c>
    </row>
    <row r="278" spans="2:10" x14ac:dyDescent="0.25">
      <c r="B278" t="s">
        <v>662</v>
      </c>
      <c r="C278">
        <v>1.1970000000000001</v>
      </c>
      <c r="D278">
        <v>1.5229999999999999</v>
      </c>
      <c r="E278">
        <v>9.1800000000000007E-3</v>
      </c>
      <c r="F278">
        <v>1.8929999999999999E-2</v>
      </c>
      <c r="G278">
        <v>0.64390000000000003</v>
      </c>
      <c r="H278">
        <v>5.4560000000000004</v>
      </c>
      <c r="I278">
        <v>10001</v>
      </c>
      <c r="J278">
        <v>30000</v>
      </c>
    </row>
    <row r="279" spans="2:10" x14ac:dyDescent="0.25">
      <c r="B279" t="s">
        <v>663</v>
      </c>
      <c r="C279">
        <v>1.502</v>
      </c>
      <c r="D279">
        <v>1.575</v>
      </c>
      <c r="E279">
        <v>1.2880000000000001E-2</v>
      </c>
      <c r="F279">
        <v>3.9289999999999999E-2</v>
      </c>
      <c r="G279">
        <v>1.0049999999999999</v>
      </c>
      <c r="H279">
        <v>5.8010000000000002</v>
      </c>
      <c r="I279">
        <v>10001</v>
      </c>
      <c r="J279">
        <v>30000</v>
      </c>
    </row>
    <row r="280" spans="2:10" x14ac:dyDescent="0.25">
      <c r="B280" t="s">
        <v>664</v>
      </c>
      <c r="C280">
        <v>2.61</v>
      </c>
      <c r="D280">
        <v>2.044</v>
      </c>
      <c r="E280">
        <v>3.109E-2</v>
      </c>
      <c r="F280">
        <v>0.1242</v>
      </c>
      <c r="G280">
        <v>2.1669999999999998</v>
      </c>
      <c r="H280">
        <v>7.7210000000000001</v>
      </c>
      <c r="I280">
        <v>10001</v>
      </c>
      <c r="J280">
        <v>30000</v>
      </c>
    </row>
    <row r="281" spans="2:10" x14ac:dyDescent="0.25">
      <c r="B281" t="s">
        <v>665</v>
      </c>
      <c r="C281">
        <v>1.5169999999999999</v>
      </c>
      <c r="D281">
        <v>1.573</v>
      </c>
      <c r="E281">
        <v>1.3599999999999999E-2</v>
      </c>
      <c r="F281">
        <v>4.4479999999999999E-2</v>
      </c>
      <c r="G281">
        <v>1.0409999999999999</v>
      </c>
      <c r="H281">
        <v>5.7309999999999999</v>
      </c>
      <c r="I281">
        <v>10001</v>
      </c>
      <c r="J281">
        <v>30000</v>
      </c>
    </row>
    <row r="282" spans="2:10" x14ac:dyDescent="0.25">
      <c r="B282" t="s">
        <v>666</v>
      </c>
      <c r="C282">
        <v>1.9970000000000001</v>
      </c>
      <c r="D282">
        <v>1.925</v>
      </c>
      <c r="E282">
        <v>3.1350000000000003E-2</v>
      </c>
      <c r="F282">
        <v>5.1299999999999998E-2</v>
      </c>
      <c r="G282">
        <v>1.4279999999999999</v>
      </c>
      <c r="H282">
        <v>7.1550000000000002</v>
      </c>
      <c r="I282">
        <v>10001</v>
      </c>
      <c r="J282">
        <v>30000</v>
      </c>
    </row>
    <row r="283" spans="2:10" x14ac:dyDescent="0.25">
      <c r="B283" t="s">
        <v>667</v>
      </c>
      <c r="C283">
        <v>2.0750000000000002</v>
      </c>
      <c r="D283">
        <v>2.0830000000000002</v>
      </c>
      <c r="E283">
        <v>3.1489999999999997E-2</v>
      </c>
      <c r="F283">
        <v>5.1339999999999997E-2</v>
      </c>
      <c r="G283">
        <v>1.4370000000000001</v>
      </c>
      <c r="H283">
        <v>7.7530000000000001</v>
      </c>
      <c r="I283">
        <v>10001</v>
      </c>
      <c r="J283">
        <v>30000</v>
      </c>
    </row>
    <row r="284" spans="2:10" x14ac:dyDescent="0.25">
      <c r="B284" t="s">
        <v>668</v>
      </c>
      <c r="C284">
        <v>1.694</v>
      </c>
      <c r="D284">
        <v>1.738</v>
      </c>
      <c r="E284">
        <v>1.5949999999999999E-2</v>
      </c>
      <c r="F284">
        <v>4.122E-2</v>
      </c>
      <c r="G284">
        <v>1.1439999999999999</v>
      </c>
      <c r="H284">
        <v>6.4909999999999997</v>
      </c>
      <c r="I284">
        <v>10001</v>
      </c>
      <c r="J284">
        <v>30000</v>
      </c>
    </row>
    <row r="285" spans="2:10" x14ac:dyDescent="0.25">
      <c r="B285" t="s">
        <v>669</v>
      </c>
      <c r="C285">
        <v>2.0230000000000001</v>
      </c>
      <c r="D285">
        <v>2.0139999999999998</v>
      </c>
      <c r="E285">
        <v>2.3050000000000001E-2</v>
      </c>
      <c r="F285">
        <v>5.0450000000000002E-2</v>
      </c>
      <c r="G285">
        <v>1.4079999999999999</v>
      </c>
      <c r="H285">
        <v>7.4859999999999998</v>
      </c>
      <c r="I285">
        <v>10001</v>
      </c>
      <c r="J285">
        <v>30000</v>
      </c>
    </row>
    <row r="286" spans="2:10" x14ac:dyDescent="0.25">
      <c r="B286" t="s">
        <v>670</v>
      </c>
      <c r="C286">
        <v>1.456</v>
      </c>
      <c r="D286">
        <v>1.5580000000000001</v>
      </c>
      <c r="E286">
        <v>1.341E-2</v>
      </c>
      <c r="F286">
        <v>3.5450000000000002E-2</v>
      </c>
      <c r="G286">
        <v>0.95779999999999998</v>
      </c>
      <c r="H286">
        <v>5.7359999999999998</v>
      </c>
      <c r="I286">
        <v>10001</v>
      </c>
      <c r="J286">
        <v>30000</v>
      </c>
    </row>
    <row r="287" spans="2:10" x14ac:dyDescent="0.25">
      <c r="B287" t="s">
        <v>671</v>
      </c>
      <c r="C287">
        <v>1.1719999999999999</v>
      </c>
      <c r="D287">
        <v>1.4890000000000001</v>
      </c>
      <c r="E287">
        <v>8.6940000000000003E-3</v>
      </c>
      <c r="F287">
        <v>1.8540000000000001E-2</v>
      </c>
      <c r="G287">
        <v>0.63119999999999998</v>
      </c>
      <c r="H287">
        <v>5.3540000000000001</v>
      </c>
      <c r="I287">
        <v>10001</v>
      </c>
      <c r="J287">
        <v>30000</v>
      </c>
    </row>
    <row r="288" spans="2:10" x14ac:dyDescent="0.25">
      <c r="B288" t="s">
        <v>672</v>
      </c>
      <c r="C288">
        <v>1.726</v>
      </c>
      <c r="D288">
        <v>1.746</v>
      </c>
      <c r="E288">
        <v>1.6500000000000001E-2</v>
      </c>
      <c r="F288">
        <v>4.505E-2</v>
      </c>
      <c r="G288">
        <v>1.1950000000000001</v>
      </c>
      <c r="H288">
        <v>6.4119999999999999</v>
      </c>
      <c r="I288">
        <v>10001</v>
      </c>
      <c r="J288">
        <v>30000</v>
      </c>
    </row>
    <row r="289" spans="2:10" x14ac:dyDescent="0.25">
      <c r="B289" t="s">
        <v>673</v>
      </c>
      <c r="C289">
        <v>2.214</v>
      </c>
      <c r="D289">
        <v>1.9339999999999999</v>
      </c>
      <c r="E289">
        <v>3.2530000000000003E-2</v>
      </c>
      <c r="F289">
        <v>8.3599999999999994E-2</v>
      </c>
      <c r="G289">
        <v>1.706</v>
      </c>
      <c r="H289">
        <v>7.2229999999999999</v>
      </c>
      <c r="I289">
        <v>10001</v>
      </c>
      <c r="J289">
        <v>30000</v>
      </c>
    </row>
    <row r="290" spans="2:10" x14ac:dyDescent="0.25">
      <c r="B290" t="s">
        <v>674</v>
      </c>
      <c r="C290">
        <v>1.6639999999999999</v>
      </c>
      <c r="D290">
        <v>1.528</v>
      </c>
      <c r="E290">
        <v>1.081E-2</v>
      </c>
      <c r="F290">
        <v>0.1144</v>
      </c>
      <c r="G290">
        <v>1.2130000000000001</v>
      </c>
      <c r="H290">
        <v>5.8760000000000003</v>
      </c>
      <c r="I290">
        <v>10001</v>
      </c>
      <c r="J290">
        <v>30000</v>
      </c>
    </row>
    <row r="291" spans="2:10" x14ac:dyDescent="0.25">
      <c r="B291" t="s">
        <v>675</v>
      </c>
      <c r="C291">
        <v>1.2410000000000001</v>
      </c>
      <c r="D291">
        <v>1.522</v>
      </c>
      <c r="E291">
        <v>9.5709999999999996E-3</v>
      </c>
      <c r="F291">
        <v>2.172E-2</v>
      </c>
      <c r="G291">
        <v>0.70269999999999999</v>
      </c>
      <c r="H291">
        <v>5.52</v>
      </c>
      <c r="I291">
        <v>10001</v>
      </c>
      <c r="J291">
        <v>30000</v>
      </c>
    </row>
    <row r="292" spans="2:10" x14ac:dyDescent="0.25">
      <c r="B292" t="s">
        <v>676</v>
      </c>
      <c r="C292">
        <v>2.609</v>
      </c>
      <c r="D292">
        <v>2.0459999999999998</v>
      </c>
      <c r="E292">
        <v>2.521E-2</v>
      </c>
      <c r="F292">
        <v>0.13200000000000001</v>
      </c>
      <c r="G292">
        <v>2.1459999999999999</v>
      </c>
      <c r="H292">
        <v>7.7140000000000004</v>
      </c>
      <c r="I292">
        <v>10001</v>
      </c>
      <c r="J292">
        <v>30000</v>
      </c>
    </row>
    <row r="293" spans="2:10" x14ac:dyDescent="0.25">
      <c r="B293" t="s">
        <v>677</v>
      </c>
      <c r="C293">
        <v>2.242</v>
      </c>
      <c r="D293">
        <v>1.6779999999999999</v>
      </c>
      <c r="E293">
        <v>1.542E-2</v>
      </c>
      <c r="F293">
        <v>0.23180000000000001</v>
      </c>
      <c r="G293">
        <v>1.847</v>
      </c>
      <c r="H293">
        <v>6.6230000000000002</v>
      </c>
      <c r="I293">
        <v>10001</v>
      </c>
      <c r="J293">
        <v>30000</v>
      </c>
    </row>
    <row r="294" spans="2:10" x14ac:dyDescent="0.25">
      <c r="B294" t="s">
        <v>678</v>
      </c>
      <c r="C294">
        <v>1.5620000000000001</v>
      </c>
      <c r="D294">
        <v>1.5089999999999999</v>
      </c>
      <c r="E294">
        <v>1.057E-2</v>
      </c>
      <c r="F294">
        <v>0.1159</v>
      </c>
      <c r="G294">
        <v>1.0920000000000001</v>
      </c>
      <c r="H294">
        <v>5.7489999999999997</v>
      </c>
      <c r="I294">
        <v>10001</v>
      </c>
      <c r="J294">
        <v>30000</v>
      </c>
    </row>
    <row r="295" spans="2:10" x14ac:dyDescent="0.25">
      <c r="B295" t="s">
        <v>679</v>
      </c>
      <c r="C295">
        <v>1.2569999999999999</v>
      </c>
      <c r="D295">
        <v>1.5</v>
      </c>
      <c r="E295">
        <v>1.04E-2</v>
      </c>
      <c r="F295">
        <v>2.5049999999999999E-2</v>
      </c>
      <c r="G295">
        <v>0.73419999999999996</v>
      </c>
      <c r="H295">
        <v>5.4160000000000004</v>
      </c>
      <c r="I295">
        <v>10001</v>
      </c>
      <c r="J295">
        <v>30000</v>
      </c>
    </row>
    <row r="296" spans="2:10" x14ac:dyDescent="0.25">
      <c r="B296" t="s">
        <v>680</v>
      </c>
      <c r="C296">
        <v>3.0230000000000001</v>
      </c>
      <c r="D296">
        <v>2.35</v>
      </c>
      <c r="E296">
        <v>4.3839999999999997E-2</v>
      </c>
      <c r="F296">
        <v>0.14749999999999999</v>
      </c>
      <c r="G296">
        <v>2.5</v>
      </c>
      <c r="H296">
        <v>8.8089999999999993</v>
      </c>
      <c r="I296">
        <v>10001</v>
      </c>
      <c r="J296">
        <v>30000</v>
      </c>
    </row>
    <row r="297" spans="2:10" x14ac:dyDescent="0.25">
      <c r="B297" t="s">
        <v>681</v>
      </c>
      <c r="C297">
        <v>3.52</v>
      </c>
      <c r="D297">
        <v>2.2069999999999999</v>
      </c>
      <c r="E297">
        <v>3.6360000000000003E-2</v>
      </c>
      <c r="F297">
        <v>0.37259999999999999</v>
      </c>
      <c r="G297">
        <v>3.1419999999999999</v>
      </c>
      <c r="H297">
        <v>8.8079999999999998</v>
      </c>
      <c r="I297">
        <v>10001</v>
      </c>
      <c r="J297">
        <v>30000</v>
      </c>
    </row>
    <row r="298" spans="2:10" x14ac:dyDescent="0.25">
      <c r="B298" t="s">
        <v>682</v>
      </c>
      <c r="C298">
        <v>2.1920000000000002</v>
      </c>
      <c r="D298">
        <v>1.855</v>
      </c>
      <c r="E298">
        <v>2.325E-2</v>
      </c>
      <c r="F298">
        <v>9.1490000000000002E-2</v>
      </c>
      <c r="G298">
        <v>1.724</v>
      </c>
      <c r="H298">
        <v>7.0759999999999996</v>
      </c>
      <c r="I298">
        <v>10001</v>
      </c>
      <c r="J298">
        <v>30000</v>
      </c>
    </row>
    <row r="299" spans="2:10" x14ac:dyDescent="0.25">
      <c r="B299" t="s">
        <v>683</v>
      </c>
      <c r="C299">
        <v>3.7210000000000001</v>
      </c>
      <c r="D299">
        <v>2.6520000000000001</v>
      </c>
      <c r="E299">
        <v>5.108E-2</v>
      </c>
      <c r="F299">
        <v>0.1943</v>
      </c>
      <c r="G299">
        <v>3.2559999999999998</v>
      </c>
      <c r="H299">
        <v>10</v>
      </c>
      <c r="I299">
        <v>10001</v>
      </c>
      <c r="J299">
        <v>30000</v>
      </c>
    </row>
    <row r="300" spans="2:10" x14ac:dyDescent="0.25">
      <c r="B300" t="s">
        <v>684</v>
      </c>
      <c r="C300">
        <v>2.0659999999999998</v>
      </c>
      <c r="D300">
        <v>1.8740000000000001</v>
      </c>
      <c r="E300">
        <v>2.5680000000000001E-2</v>
      </c>
      <c r="F300">
        <v>6.5019999999999994E-2</v>
      </c>
      <c r="G300">
        <v>1.5609999999999999</v>
      </c>
      <c r="H300">
        <v>6.9669999999999996</v>
      </c>
      <c r="I300">
        <v>10001</v>
      </c>
      <c r="J300">
        <v>30000</v>
      </c>
    </row>
    <row r="301" spans="2:10" x14ac:dyDescent="0.25">
      <c r="B301" t="s">
        <v>685</v>
      </c>
      <c r="C301">
        <v>1.4570000000000001</v>
      </c>
      <c r="D301">
        <v>1.56</v>
      </c>
      <c r="E301">
        <v>1.179E-2</v>
      </c>
      <c r="F301">
        <v>3.3640000000000003E-2</v>
      </c>
      <c r="G301">
        <v>0.95540000000000003</v>
      </c>
      <c r="H301">
        <v>5.681</v>
      </c>
      <c r="I301">
        <v>10001</v>
      </c>
      <c r="J301">
        <v>30000</v>
      </c>
    </row>
    <row r="302" spans="2:10" x14ac:dyDescent="0.25">
      <c r="B302" t="s">
        <v>686</v>
      </c>
      <c r="C302">
        <v>1.38</v>
      </c>
      <c r="D302">
        <v>1.5149999999999999</v>
      </c>
      <c r="E302">
        <v>1.0330000000000001E-2</v>
      </c>
      <c r="F302">
        <v>4.1959999999999997E-2</v>
      </c>
      <c r="G302">
        <v>0.88319999999999999</v>
      </c>
      <c r="H302">
        <v>5.5389999999999997</v>
      </c>
      <c r="I302">
        <v>10001</v>
      </c>
      <c r="J302">
        <v>30000</v>
      </c>
    </row>
    <row r="303" spans="2:10" x14ac:dyDescent="0.25">
      <c r="B303" t="s">
        <v>687</v>
      </c>
      <c r="C303">
        <v>1.3640000000000001</v>
      </c>
      <c r="D303">
        <v>1.5369999999999999</v>
      </c>
      <c r="E303">
        <v>1.218E-2</v>
      </c>
      <c r="F303">
        <v>2.8299999999999999E-2</v>
      </c>
      <c r="G303">
        <v>0.86739999999999995</v>
      </c>
      <c r="H303">
        <v>5.5449999999999999</v>
      </c>
      <c r="I303">
        <v>10001</v>
      </c>
      <c r="J303">
        <v>30000</v>
      </c>
    </row>
    <row r="304" spans="2:10" x14ac:dyDescent="0.25">
      <c r="B304" t="s">
        <v>688</v>
      </c>
      <c r="C304">
        <v>1.2210000000000001</v>
      </c>
      <c r="D304">
        <v>1.482</v>
      </c>
      <c r="E304">
        <v>9.3270000000000002E-3</v>
      </c>
      <c r="F304">
        <v>2.3720000000000001E-2</v>
      </c>
      <c r="G304">
        <v>0.70109999999999995</v>
      </c>
      <c r="H304">
        <v>5.4009999999999998</v>
      </c>
      <c r="I304">
        <v>10001</v>
      </c>
      <c r="J304">
        <v>30000</v>
      </c>
    </row>
    <row r="305" spans="2:10" x14ac:dyDescent="0.25">
      <c r="B305" t="s">
        <v>689</v>
      </c>
      <c r="C305">
        <v>1.1830000000000001</v>
      </c>
      <c r="D305">
        <v>1.4570000000000001</v>
      </c>
      <c r="E305">
        <v>9.9439999999999997E-3</v>
      </c>
      <c r="F305">
        <v>1.865E-2</v>
      </c>
      <c r="G305">
        <v>0.67169999999999996</v>
      </c>
      <c r="H305">
        <v>5.2610000000000001</v>
      </c>
      <c r="I305">
        <v>10001</v>
      </c>
      <c r="J305">
        <v>30000</v>
      </c>
    </row>
    <row r="306" spans="2:10" x14ac:dyDescent="0.25">
      <c r="B306" t="s">
        <v>690</v>
      </c>
      <c r="C306">
        <v>1.2789999999999999</v>
      </c>
      <c r="D306">
        <v>1.5049999999999999</v>
      </c>
      <c r="E306">
        <v>1.018E-2</v>
      </c>
      <c r="F306">
        <v>2.9520000000000001E-2</v>
      </c>
      <c r="G306">
        <v>0.76619999999999999</v>
      </c>
      <c r="H306">
        <v>5.4669999999999996</v>
      </c>
      <c r="I306">
        <v>10001</v>
      </c>
      <c r="J306">
        <v>30000</v>
      </c>
    </row>
    <row r="307" spans="2:10" x14ac:dyDescent="0.25">
      <c r="B307" t="s">
        <v>691</v>
      </c>
      <c r="C307">
        <v>3.0329999999999999</v>
      </c>
      <c r="D307">
        <v>2.6160000000000001</v>
      </c>
      <c r="E307">
        <v>4.8419999999999998E-2</v>
      </c>
      <c r="F307">
        <v>9.9720000000000003E-2</v>
      </c>
      <c r="G307">
        <v>2.3420000000000001</v>
      </c>
      <c r="H307">
        <v>9.7189999999999994</v>
      </c>
      <c r="I307">
        <v>10001</v>
      </c>
      <c r="J307">
        <v>30000</v>
      </c>
    </row>
    <row r="308" spans="2:10" x14ac:dyDescent="0.25">
      <c r="B308" t="s">
        <v>692</v>
      </c>
      <c r="C308">
        <v>1.6080000000000001</v>
      </c>
      <c r="D308">
        <v>1.6579999999999999</v>
      </c>
      <c r="E308">
        <v>1.507E-2</v>
      </c>
      <c r="F308">
        <v>4.02E-2</v>
      </c>
      <c r="G308">
        <v>1.089</v>
      </c>
      <c r="H308">
        <v>6.1150000000000002</v>
      </c>
      <c r="I308">
        <v>10001</v>
      </c>
      <c r="J308">
        <v>30000</v>
      </c>
    </row>
    <row r="309" spans="2:10" x14ac:dyDescent="0.25">
      <c r="B309" t="s">
        <v>693</v>
      </c>
      <c r="C309">
        <v>1.169</v>
      </c>
      <c r="D309">
        <v>1.4590000000000001</v>
      </c>
      <c r="E309">
        <v>8.9569999999999997E-3</v>
      </c>
      <c r="F309">
        <v>1.8550000000000001E-2</v>
      </c>
      <c r="G309">
        <v>0.6452</v>
      </c>
      <c r="H309">
        <v>5.26</v>
      </c>
      <c r="I309">
        <v>10001</v>
      </c>
      <c r="J309">
        <v>30000</v>
      </c>
    </row>
    <row r="310" spans="2:10" x14ac:dyDescent="0.25">
      <c r="B310" t="s">
        <v>694</v>
      </c>
      <c r="C310">
        <v>1.282</v>
      </c>
      <c r="D310">
        <v>1.466</v>
      </c>
      <c r="E310">
        <v>9.0559999999999998E-3</v>
      </c>
      <c r="F310">
        <v>3.5409999999999997E-2</v>
      </c>
      <c r="G310">
        <v>0.79410000000000003</v>
      </c>
      <c r="H310">
        <v>5.4260000000000002</v>
      </c>
      <c r="I310">
        <v>10001</v>
      </c>
      <c r="J310">
        <v>30000</v>
      </c>
    </row>
    <row r="311" spans="2:10" x14ac:dyDescent="0.25">
      <c r="B311" t="s">
        <v>695</v>
      </c>
      <c r="C311">
        <v>2.3109999999999999</v>
      </c>
      <c r="D311">
        <v>1.694</v>
      </c>
      <c r="E311">
        <v>1.8710000000000001E-2</v>
      </c>
      <c r="F311">
        <v>0.26540000000000002</v>
      </c>
      <c r="G311">
        <v>1.9259999999999999</v>
      </c>
      <c r="H311">
        <v>6.6929999999999996</v>
      </c>
      <c r="I311">
        <v>10001</v>
      </c>
      <c r="J311">
        <v>30000</v>
      </c>
    </row>
    <row r="312" spans="2:10" x14ac:dyDescent="0.25">
      <c r="B312" t="s">
        <v>696</v>
      </c>
      <c r="C312">
        <v>7.0110000000000001</v>
      </c>
      <c r="D312">
        <v>4.2880000000000003</v>
      </c>
      <c r="E312">
        <v>0.1132</v>
      </c>
      <c r="F312">
        <v>0.57650000000000001</v>
      </c>
      <c r="G312">
        <v>6.4690000000000003</v>
      </c>
      <c r="H312">
        <v>16.77</v>
      </c>
      <c r="I312">
        <v>10001</v>
      </c>
      <c r="J312">
        <v>30000</v>
      </c>
    </row>
    <row r="313" spans="2:10" x14ac:dyDescent="0.25">
      <c r="B313" t="s">
        <v>697</v>
      </c>
      <c r="C313">
        <v>2.802</v>
      </c>
      <c r="D313">
        <v>1.7829999999999999</v>
      </c>
      <c r="E313">
        <v>2.325E-2</v>
      </c>
      <c r="F313">
        <v>0.39410000000000001</v>
      </c>
      <c r="G313">
        <v>2.4710000000000001</v>
      </c>
      <c r="H313">
        <v>7.4020000000000001</v>
      </c>
      <c r="I313">
        <v>10001</v>
      </c>
      <c r="J313">
        <v>30000</v>
      </c>
    </row>
    <row r="314" spans="2:10" x14ac:dyDescent="0.25">
      <c r="B314" t="s">
        <v>698</v>
      </c>
      <c r="C314">
        <v>1.5249999999999999</v>
      </c>
      <c r="D314">
        <v>1.5529999999999999</v>
      </c>
      <c r="E314">
        <v>1.3010000000000001E-2</v>
      </c>
      <c r="F314">
        <v>4.8759999999999998E-2</v>
      </c>
      <c r="G314">
        <v>1.044</v>
      </c>
      <c r="H314">
        <v>5.7539999999999996</v>
      </c>
      <c r="I314">
        <v>10001</v>
      </c>
      <c r="J314">
        <v>30000</v>
      </c>
    </row>
    <row r="315" spans="2:10" x14ac:dyDescent="0.25">
      <c r="B315" t="s">
        <v>699</v>
      </c>
      <c r="C315">
        <v>1.294</v>
      </c>
      <c r="D315">
        <v>1.494</v>
      </c>
      <c r="E315">
        <v>1.0160000000000001E-2</v>
      </c>
      <c r="F315">
        <v>3.6220000000000002E-2</v>
      </c>
      <c r="G315">
        <v>0.78290000000000004</v>
      </c>
      <c r="H315">
        <v>5.4640000000000004</v>
      </c>
      <c r="I315">
        <v>10001</v>
      </c>
      <c r="J315">
        <v>30000</v>
      </c>
    </row>
    <row r="316" spans="2:10" x14ac:dyDescent="0.25">
      <c r="B316" t="s">
        <v>700</v>
      </c>
      <c r="C316">
        <v>5.452</v>
      </c>
      <c r="D316">
        <v>1.0509999999999999</v>
      </c>
      <c r="E316">
        <v>2.0990000000000002E-2</v>
      </c>
      <c r="F316">
        <v>3</v>
      </c>
      <c r="G316">
        <v>6</v>
      </c>
      <c r="H316">
        <v>7</v>
      </c>
      <c r="I316">
        <v>10001</v>
      </c>
      <c r="J316">
        <v>30000</v>
      </c>
    </row>
    <row r="317" spans="2:10" x14ac:dyDescent="0.25">
      <c r="B317" t="s">
        <v>701</v>
      </c>
      <c r="C317">
        <v>7.9260000000000002</v>
      </c>
      <c r="D317">
        <v>0.6421</v>
      </c>
      <c r="E317">
        <v>1.095E-2</v>
      </c>
      <c r="F317">
        <v>7</v>
      </c>
      <c r="G317">
        <v>8</v>
      </c>
      <c r="H317">
        <v>9</v>
      </c>
      <c r="I317">
        <v>10001</v>
      </c>
      <c r="J317">
        <v>30000</v>
      </c>
    </row>
    <row r="318" spans="2:10" x14ac:dyDescent="0.25">
      <c r="B318" t="s">
        <v>702</v>
      </c>
      <c r="C318">
        <v>4.1849999999999996</v>
      </c>
      <c r="D318">
        <v>1.071</v>
      </c>
      <c r="E318">
        <v>2.1909999999999999E-2</v>
      </c>
      <c r="F318">
        <v>2</v>
      </c>
      <c r="G318">
        <v>4</v>
      </c>
      <c r="H318">
        <v>7</v>
      </c>
      <c r="I318">
        <v>10001</v>
      </c>
      <c r="J318">
        <v>30000</v>
      </c>
    </row>
    <row r="319" spans="2:10" x14ac:dyDescent="0.25">
      <c r="B319" t="s">
        <v>703</v>
      </c>
      <c r="C319">
        <v>2.35</v>
      </c>
      <c r="D319">
        <v>1.07</v>
      </c>
      <c r="E319">
        <v>1.8120000000000001E-2</v>
      </c>
      <c r="F319">
        <v>1</v>
      </c>
      <c r="G319">
        <v>2</v>
      </c>
      <c r="H319">
        <v>5</v>
      </c>
      <c r="I319">
        <v>10001</v>
      </c>
      <c r="J319">
        <v>30000</v>
      </c>
    </row>
    <row r="320" spans="2:10" x14ac:dyDescent="0.25">
      <c r="B320" t="s">
        <v>704</v>
      </c>
      <c r="C320">
        <v>2.7890000000000001</v>
      </c>
      <c r="D320">
        <v>2.0150000000000001</v>
      </c>
      <c r="E320">
        <v>4.3720000000000002E-2</v>
      </c>
      <c r="F320">
        <v>1</v>
      </c>
      <c r="G320">
        <v>2</v>
      </c>
      <c r="H320">
        <v>8</v>
      </c>
      <c r="I320">
        <v>10001</v>
      </c>
      <c r="J320">
        <v>30000</v>
      </c>
    </row>
    <row r="321" spans="1:10" x14ac:dyDescent="0.25">
      <c r="B321" t="s">
        <v>705</v>
      </c>
      <c r="C321">
        <v>2.0059999999999998</v>
      </c>
      <c r="D321">
        <v>1.1220000000000001</v>
      </c>
      <c r="E321">
        <v>2.0830000000000001E-2</v>
      </c>
      <c r="F321">
        <v>1</v>
      </c>
      <c r="G321">
        <v>2</v>
      </c>
      <c r="H321">
        <v>5</v>
      </c>
      <c r="I321">
        <v>10001</v>
      </c>
      <c r="J321">
        <v>30000</v>
      </c>
    </row>
    <row r="322" spans="1:10" x14ac:dyDescent="0.25">
      <c r="B322" t="s">
        <v>706</v>
      </c>
      <c r="C322">
        <v>8.5060000000000002</v>
      </c>
      <c r="D322">
        <v>1.091</v>
      </c>
      <c r="E322">
        <v>1.525E-2</v>
      </c>
      <c r="F322">
        <v>5</v>
      </c>
      <c r="G322">
        <v>9</v>
      </c>
      <c r="H322">
        <v>10</v>
      </c>
      <c r="I322">
        <v>10001</v>
      </c>
      <c r="J322">
        <v>30000</v>
      </c>
    </row>
    <row r="323" spans="1:10" x14ac:dyDescent="0.25">
      <c r="B323" t="s">
        <v>707</v>
      </c>
      <c r="C323">
        <v>6.5759999999999996</v>
      </c>
      <c r="D323">
        <v>1.7889999999999999</v>
      </c>
      <c r="E323">
        <v>4.369E-2</v>
      </c>
      <c r="F323">
        <v>2</v>
      </c>
      <c r="G323">
        <v>7</v>
      </c>
      <c r="H323">
        <v>9</v>
      </c>
      <c r="I323">
        <v>10001</v>
      </c>
      <c r="J323">
        <v>30000</v>
      </c>
    </row>
    <row r="324" spans="1:10" x14ac:dyDescent="0.25">
      <c r="B324" t="s">
        <v>708</v>
      </c>
      <c r="C324">
        <v>5.2510000000000003</v>
      </c>
      <c r="D324">
        <v>1.304</v>
      </c>
      <c r="E324">
        <v>2.6790000000000001E-2</v>
      </c>
      <c r="F324">
        <v>2</v>
      </c>
      <c r="G324">
        <v>5</v>
      </c>
      <c r="H324">
        <v>7</v>
      </c>
      <c r="I324">
        <v>10001</v>
      </c>
      <c r="J324">
        <v>30000</v>
      </c>
    </row>
    <row r="325" spans="1:10" x14ac:dyDescent="0.25">
      <c r="B325" t="s">
        <v>709</v>
      </c>
      <c r="C325">
        <v>9.9600000000000009</v>
      </c>
      <c r="D325">
        <v>0.19800000000000001</v>
      </c>
      <c r="E325">
        <v>2.235E-3</v>
      </c>
      <c r="F325">
        <v>9</v>
      </c>
      <c r="G325">
        <v>10</v>
      </c>
      <c r="H325">
        <v>10</v>
      </c>
      <c r="I325">
        <v>10001</v>
      </c>
      <c r="J325">
        <v>30000</v>
      </c>
    </row>
    <row r="326" spans="1:10" x14ac:dyDescent="0.25">
      <c r="B326" t="s">
        <v>800</v>
      </c>
      <c r="C326">
        <v>0.26929999999999998</v>
      </c>
      <c r="D326">
        <v>0.12989999999999999</v>
      </c>
      <c r="E326">
        <v>4.5360000000000001E-3</v>
      </c>
      <c r="F326">
        <v>6.658E-2</v>
      </c>
      <c r="G326">
        <v>0.25790000000000002</v>
      </c>
      <c r="H326">
        <v>0.55530000000000002</v>
      </c>
      <c r="I326">
        <v>10001</v>
      </c>
      <c r="J326">
        <v>30000</v>
      </c>
    </row>
    <row r="327" spans="1:10" x14ac:dyDescent="0.25">
      <c r="B327" t="s">
        <v>710</v>
      </c>
      <c r="C327">
        <v>78.400000000000006</v>
      </c>
      <c r="D327">
        <v>12.19</v>
      </c>
      <c r="E327">
        <v>0.21609999999999999</v>
      </c>
      <c r="F327">
        <v>55.78</v>
      </c>
      <c r="G327">
        <v>78.08</v>
      </c>
      <c r="H327">
        <v>103.1</v>
      </c>
      <c r="I327">
        <v>10001</v>
      </c>
      <c r="J327">
        <v>30000</v>
      </c>
    </row>
    <row r="328" spans="1:10" x14ac:dyDescent="0.25">
      <c r="A328" t="s">
        <v>711</v>
      </c>
    </row>
    <row r="330" spans="1:10" x14ac:dyDescent="0.25">
      <c r="A330" t="s">
        <v>712</v>
      </c>
    </row>
    <row r="331" spans="1:10" x14ac:dyDescent="0.25">
      <c r="A331" t="s">
        <v>713</v>
      </c>
    </row>
    <row r="332" spans="1:10" x14ac:dyDescent="0.25">
      <c r="B332" t="s">
        <v>714</v>
      </c>
      <c r="C332" t="s">
        <v>715</v>
      </c>
      <c r="D332" t="s">
        <v>716</v>
      </c>
      <c r="E332" t="s">
        <v>712</v>
      </c>
    </row>
    <row r="333" spans="1:10" x14ac:dyDescent="0.25">
      <c r="A333" t="s">
        <v>717</v>
      </c>
      <c r="B333">
        <v>349.98</v>
      </c>
      <c r="C333">
        <v>295.79599999999999</v>
      </c>
      <c r="D333">
        <v>54.183999999999997</v>
      </c>
      <c r="E333">
        <v>404.16399999999999</v>
      </c>
    </row>
    <row r="334" spans="1:10" x14ac:dyDescent="0.25">
      <c r="A334" t="s">
        <v>718</v>
      </c>
      <c r="B334">
        <v>349.98</v>
      </c>
      <c r="C334">
        <v>295.79599999999999</v>
      </c>
      <c r="D334">
        <v>54.183999999999997</v>
      </c>
      <c r="E334">
        <v>404.16399999999999</v>
      </c>
    </row>
    <row r="335" spans="1:10" x14ac:dyDescent="0.25">
      <c r="A335" t="s">
        <v>719</v>
      </c>
    </row>
    <row r="337" spans="1:1" x14ac:dyDescent="0.25">
      <c r="A337" t="s">
        <v>720</v>
      </c>
    </row>
    <row r="339" spans="1:1" x14ac:dyDescent="0.25">
      <c r="A339" t="s">
        <v>721</v>
      </c>
    </row>
    <row r="341" spans="1:1" x14ac:dyDescent="0.25">
      <c r="A341" t="s">
        <v>722</v>
      </c>
    </row>
    <row r="343" spans="1:1" x14ac:dyDescent="0.25">
      <c r="A343" t="s">
        <v>875</v>
      </c>
    </row>
  </sheetData>
  <dataConsolid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C00000"/>
  </sheetPr>
  <dimension ref="E1:H158"/>
  <sheetViews>
    <sheetView showGridLines="0" topLeftCell="A25" workbookViewId="0">
      <selection activeCell="X65" sqref="X65"/>
    </sheetView>
  </sheetViews>
  <sheetFormatPr defaultRowHeight="15" x14ac:dyDescent="0.25"/>
  <sheetData>
    <row r="1" hidden="1" x14ac:dyDescent="0.25"/>
    <row r="2" hidden="1" x14ac:dyDescent="0.25"/>
    <row r="3" hidden="1" x14ac:dyDescent="0.25"/>
    <row r="4" hidden="1" x14ac:dyDescent="0.25"/>
    <row r="5" hidden="1" x14ac:dyDescent="0.25"/>
    <row r="6" hidden="1" x14ac:dyDescent="0.25"/>
    <row r="7" hidden="1" x14ac:dyDescent="0.25"/>
    <row r="8" hidden="1" x14ac:dyDescent="0.25"/>
    <row r="9" hidden="1" x14ac:dyDescent="0.25"/>
    <row r="10" hidden="1" x14ac:dyDescent="0.25"/>
    <row r="11" hidden="1" x14ac:dyDescent="0.25"/>
    <row r="12" hidden="1" x14ac:dyDescent="0.25"/>
    <row r="13" hidden="1" x14ac:dyDescent="0.25"/>
    <row r="14" hidden="1" x14ac:dyDescent="0.25"/>
    <row r="15" hidden="1" x14ac:dyDescent="0.25"/>
    <row r="16" hidden="1" x14ac:dyDescent="0.25"/>
    <row r="17" spans="5:8" hidden="1" x14ac:dyDescent="0.25"/>
    <row r="18" spans="5:8" hidden="1" x14ac:dyDescent="0.25"/>
    <row r="19" spans="5:8" hidden="1" x14ac:dyDescent="0.25"/>
    <row r="20" spans="5:8" hidden="1" x14ac:dyDescent="0.25"/>
    <row r="21" spans="5:8" hidden="1" x14ac:dyDescent="0.25"/>
    <row r="22" spans="5:8" hidden="1" x14ac:dyDescent="0.25"/>
    <row r="23" spans="5:8" hidden="1" x14ac:dyDescent="0.25"/>
    <row r="24" spans="5:8" hidden="1" x14ac:dyDescent="0.25"/>
    <row r="27" spans="5:8" x14ac:dyDescent="0.25">
      <c r="F27" s="12"/>
      <c r="H27" s="12"/>
    </row>
    <row r="28" spans="5:8" x14ac:dyDescent="0.25">
      <c r="E28" s="13"/>
    </row>
    <row r="35" spans="5:5" x14ac:dyDescent="0.25">
      <c r="E35" s="13"/>
    </row>
    <row r="45" spans="5:5" x14ac:dyDescent="0.25">
      <c r="E45" s="13"/>
    </row>
    <row r="74" spans="6:6" x14ac:dyDescent="0.25">
      <c r="F74" s="13"/>
    </row>
    <row r="75" spans="6:6" x14ac:dyDescent="0.25">
      <c r="F75" s="13"/>
    </row>
    <row r="77" spans="6:6" x14ac:dyDescent="0.25">
      <c r="F77" s="13"/>
    </row>
    <row r="78" spans="6:6" x14ac:dyDescent="0.25">
      <c r="F78" s="13"/>
    </row>
    <row r="81" spans="6:6" x14ac:dyDescent="0.25">
      <c r="F81" s="13"/>
    </row>
    <row r="82" spans="6:6" x14ac:dyDescent="0.25">
      <c r="F82" s="13"/>
    </row>
    <row r="83" spans="6:6" x14ac:dyDescent="0.25">
      <c r="F83" s="13"/>
    </row>
    <row r="84" spans="6:6" x14ac:dyDescent="0.25">
      <c r="F84" s="13"/>
    </row>
    <row r="85" spans="6:6" x14ac:dyDescent="0.25">
      <c r="F85" s="13"/>
    </row>
    <row r="86" spans="6:6" x14ac:dyDescent="0.25">
      <c r="F86" s="13"/>
    </row>
    <row r="87" spans="6:6" x14ac:dyDescent="0.25">
      <c r="F87" s="13"/>
    </row>
    <row r="88" spans="6:6" x14ac:dyDescent="0.25">
      <c r="F88" s="13"/>
    </row>
    <row r="91" spans="6:6" x14ac:dyDescent="0.25">
      <c r="F91" s="13"/>
    </row>
    <row r="92" spans="6:6" x14ac:dyDescent="0.25">
      <c r="F92" s="13"/>
    </row>
    <row r="93" spans="6:6" x14ac:dyDescent="0.25">
      <c r="F93" s="13"/>
    </row>
    <row r="94" spans="6:6" x14ac:dyDescent="0.25">
      <c r="F94" s="13"/>
    </row>
    <row r="95" spans="6:6" x14ac:dyDescent="0.25">
      <c r="F95" s="13"/>
    </row>
    <row r="98" spans="6:6" x14ac:dyDescent="0.25">
      <c r="F98" s="13"/>
    </row>
    <row r="100" spans="6:6" x14ac:dyDescent="0.25">
      <c r="F100" s="13"/>
    </row>
    <row r="101" spans="6:6" x14ac:dyDescent="0.25">
      <c r="F101" s="13"/>
    </row>
    <row r="102" spans="6:6" x14ac:dyDescent="0.25">
      <c r="F102" s="13"/>
    </row>
    <row r="107" spans="6:6" x14ac:dyDescent="0.25">
      <c r="F107" s="13"/>
    </row>
    <row r="108" spans="6:6" x14ac:dyDescent="0.25">
      <c r="F108" s="13"/>
    </row>
    <row r="109" spans="6:6" x14ac:dyDescent="0.25">
      <c r="F109" s="13"/>
    </row>
    <row r="110" spans="6:6" x14ac:dyDescent="0.25">
      <c r="F110" s="13"/>
    </row>
    <row r="115" spans="6:6" x14ac:dyDescent="0.25">
      <c r="F115" s="13"/>
    </row>
    <row r="116" spans="6:6" x14ac:dyDescent="0.25">
      <c r="F116" s="13"/>
    </row>
    <row r="117" spans="6:6" x14ac:dyDescent="0.25">
      <c r="F117" s="13"/>
    </row>
    <row r="119" spans="6:6" x14ac:dyDescent="0.25">
      <c r="F119" s="13"/>
    </row>
    <row r="120" spans="6:6" x14ac:dyDescent="0.25">
      <c r="F120" s="13"/>
    </row>
    <row r="123" spans="6:6" x14ac:dyDescent="0.25">
      <c r="F123" s="13"/>
    </row>
    <row r="124" spans="6:6" x14ac:dyDescent="0.25">
      <c r="F124" s="13"/>
    </row>
    <row r="125" spans="6:6" x14ac:dyDescent="0.25">
      <c r="F125" s="13"/>
    </row>
    <row r="127" spans="6:6" x14ac:dyDescent="0.25">
      <c r="F127" s="13"/>
    </row>
    <row r="128" spans="6:6" x14ac:dyDescent="0.25">
      <c r="F128" s="13"/>
    </row>
    <row r="129" spans="6:6" x14ac:dyDescent="0.25">
      <c r="F129" s="13"/>
    </row>
    <row r="130" spans="6:6" x14ac:dyDescent="0.25">
      <c r="F130" s="13"/>
    </row>
    <row r="133" spans="6:6" x14ac:dyDescent="0.25">
      <c r="F133" s="13"/>
    </row>
    <row r="134" spans="6:6" x14ac:dyDescent="0.25">
      <c r="F134" s="13"/>
    </row>
    <row r="135" spans="6:6" x14ac:dyDescent="0.25">
      <c r="F135" s="13"/>
    </row>
    <row r="136" spans="6:6" x14ac:dyDescent="0.25">
      <c r="F136" s="13"/>
    </row>
    <row r="137" spans="6:6" x14ac:dyDescent="0.25">
      <c r="F137" s="13"/>
    </row>
    <row r="138" spans="6:6" x14ac:dyDescent="0.25">
      <c r="F138" s="13"/>
    </row>
    <row r="143" spans="6:6" x14ac:dyDescent="0.25">
      <c r="F143" s="13"/>
    </row>
    <row r="147" spans="6:6" x14ac:dyDescent="0.25">
      <c r="F147" s="13"/>
    </row>
    <row r="148" spans="6:6" x14ac:dyDescent="0.25">
      <c r="F148" s="13"/>
    </row>
    <row r="149" spans="6:6" x14ac:dyDescent="0.25">
      <c r="F149" s="13"/>
    </row>
    <row r="151" spans="6:6" x14ac:dyDescent="0.25">
      <c r="F151" s="13"/>
    </row>
    <row r="152" spans="6:6" x14ac:dyDescent="0.25">
      <c r="F152" s="13"/>
    </row>
    <row r="153" spans="6:6" x14ac:dyDescent="0.25">
      <c r="F153" s="13"/>
    </row>
    <row r="154" spans="6:6" x14ac:dyDescent="0.25">
      <c r="F154" s="13"/>
    </row>
    <row r="155" spans="6:6" x14ac:dyDescent="0.25">
      <c r="F155" s="13"/>
    </row>
    <row r="156" spans="6:6" x14ac:dyDescent="0.25">
      <c r="F156" s="13"/>
    </row>
    <row r="157" spans="6:6" x14ac:dyDescent="0.25">
      <c r="F157" s="13"/>
    </row>
    <row r="158" spans="6:6" x14ac:dyDescent="0.25">
      <c r="F158" s="13"/>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C00000"/>
  </sheetPr>
  <dimension ref="A1:J151"/>
  <sheetViews>
    <sheetView showGridLines="0" topLeftCell="A24" workbookViewId="0">
      <selection activeCell="A24" sqref="A24"/>
    </sheetView>
  </sheetViews>
  <sheetFormatPr defaultRowHeight="15" x14ac:dyDescent="0.25"/>
  <sheetData>
    <row r="1" spans="1:1" hidden="1" x14ac:dyDescent="0.25">
      <c r="A1" t="s">
        <v>394</v>
      </c>
    </row>
    <row r="2" spans="1:1" hidden="1" x14ac:dyDescent="0.25">
      <c r="A2" t="s">
        <v>849</v>
      </c>
    </row>
    <row r="3" spans="1:1" hidden="1" x14ac:dyDescent="0.25">
      <c r="A3" t="s">
        <v>398</v>
      </c>
    </row>
    <row r="4" spans="1:1" hidden="1" x14ac:dyDescent="0.25">
      <c r="A4" t="s">
        <v>395</v>
      </c>
    </row>
    <row r="5" spans="1:1" hidden="1" x14ac:dyDescent="0.25">
      <c r="A5" t="s">
        <v>400</v>
      </c>
    </row>
    <row r="6" spans="1:1" hidden="1" x14ac:dyDescent="0.25">
      <c r="A6" t="s">
        <v>396</v>
      </c>
    </row>
    <row r="7" spans="1:1" hidden="1" x14ac:dyDescent="0.25">
      <c r="A7" t="s">
        <v>400</v>
      </c>
    </row>
    <row r="8" spans="1:1" hidden="1" x14ac:dyDescent="0.25">
      <c r="A8" t="s">
        <v>21</v>
      </c>
    </row>
    <row r="9" spans="1:1" hidden="1" x14ac:dyDescent="0.25">
      <c r="A9" t="s">
        <v>402</v>
      </c>
    </row>
    <row r="10" spans="1:1" hidden="1" x14ac:dyDescent="0.25">
      <c r="A10" t="s">
        <v>850</v>
      </c>
    </row>
    <row r="11" spans="1:1" hidden="1" x14ac:dyDescent="0.25">
      <c r="A11" t="s">
        <v>796</v>
      </c>
    </row>
    <row r="12" spans="1:1" hidden="1" x14ac:dyDescent="0.25">
      <c r="A12" t="s">
        <v>851</v>
      </c>
    </row>
    <row r="13" spans="1:1" hidden="1" x14ac:dyDescent="0.25">
      <c r="A13" t="s">
        <v>796</v>
      </c>
    </row>
    <row r="14" spans="1:1" hidden="1" x14ac:dyDescent="0.25">
      <c r="A14" t="s">
        <v>852</v>
      </c>
    </row>
    <row r="15" spans="1:1" hidden="1" x14ac:dyDescent="0.25">
      <c r="A15" t="s">
        <v>796</v>
      </c>
    </row>
    <row r="16" spans="1:1" hidden="1" x14ac:dyDescent="0.25">
      <c r="A16" t="s">
        <v>23</v>
      </c>
    </row>
    <row r="17" spans="1:10" hidden="1" x14ac:dyDescent="0.25">
      <c r="A17" t="s">
        <v>799</v>
      </c>
    </row>
    <row r="18" spans="1:10" hidden="1" x14ac:dyDescent="0.25">
      <c r="A18" t="s">
        <v>867</v>
      </c>
    </row>
    <row r="19" spans="1:10" hidden="1" x14ac:dyDescent="0.25">
      <c r="A19" t="s">
        <v>197</v>
      </c>
    </row>
    <row r="20" spans="1:10" hidden="1" x14ac:dyDescent="0.25">
      <c r="A20" t="s">
        <v>198</v>
      </c>
    </row>
    <row r="21" spans="1:10" hidden="1" x14ac:dyDescent="0.25">
      <c r="A21" t="s">
        <v>199</v>
      </c>
    </row>
    <row r="22" spans="1:10" hidden="1" x14ac:dyDescent="0.25">
      <c r="A22" t="s">
        <v>867</v>
      </c>
    </row>
    <row r="23" spans="1:10" hidden="1" x14ac:dyDescent="0.25">
      <c r="A23" t="s">
        <v>397</v>
      </c>
    </row>
    <row r="25" spans="1:10" x14ac:dyDescent="0.25">
      <c r="A25" t="s">
        <v>410</v>
      </c>
    </row>
    <row r="26" spans="1:10" x14ac:dyDescent="0.25">
      <c r="B26" t="s">
        <v>411</v>
      </c>
      <c r="C26" t="s">
        <v>412</v>
      </c>
      <c r="D26" t="s">
        <v>413</v>
      </c>
      <c r="E26" t="s">
        <v>414</v>
      </c>
      <c r="F26" s="12">
        <v>2.5000000000000001E-2</v>
      </c>
      <c r="G26" t="s">
        <v>415</v>
      </c>
      <c r="H26" s="12">
        <v>0.97499999999999998</v>
      </c>
      <c r="I26" t="s">
        <v>416</v>
      </c>
      <c r="J26" t="s">
        <v>417</v>
      </c>
    </row>
    <row r="27" spans="1:10" x14ac:dyDescent="0.25">
      <c r="B27" t="s">
        <v>804</v>
      </c>
      <c r="C27">
        <v>-0.26419999999999999</v>
      </c>
      <c r="D27">
        <v>0.22750000000000001</v>
      </c>
      <c r="E27">
        <v>5.1289999999999999E-3</v>
      </c>
      <c r="F27">
        <v>-0.73160000000000003</v>
      </c>
      <c r="G27">
        <v>-0.25969999999999999</v>
      </c>
      <c r="H27">
        <v>0.1804</v>
      </c>
      <c r="I27">
        <v>10001</v>
      </c>
      <c r="J27">
        <v>30000</v>
      </c>
    </row>
    <row r="28" spans="1:10" x14ac:dyDescent="0.25">
      <c r="B28" t="s">
        <v>805</v>
      </c>
      <c r="C28">
        <v>0.10780000000000001</v>
      </c>
      <c r="D28">
        <v>0.82809999999999995</v>
      </c>
      <c r="E28">
        <v>2.9319999999999999E-2</v>
      </c>
      <c r="F28">
        <v>-1.5980000000000001</v>
      </c>
      <c r="G28">
        <v>0.1129</v>
      </c>
      <c r="H28">
        <v>1.698</v>
      </c>
      <c r="I28">
        <v>10001</v>
      </c>
      <c r="J28">
        <v>30000</v>
      </c>
    </row>
    <row r="29" spans="1:10" x14ac:dyDescent="0.25">
      <c r="B29" t="s">
        <v>806</v>
      </c>
      <c r="C29">
        <v>0.81810000000000005</v>
      </c>
      <c r="D29">
        <v>1.417</v>
      </c>
      <c r="E29">
        <v>5.3839999999999999E-2</v>
      </c>
      <c r="F29">
        <v>-1.714</v>
      </c>
      <c r="G29">
        <v>0.66690000000000005</v>
      </c>
      <c r="H29">
        <v>4.173</v>
      </c>
      <c r="I29">
        <v>10001</v>
      </c>
      <c r="J29">
        <v>30000</v>
      </c>
    </row>
    <row r="30" spans="1:10" x14ac:dyDescent="0.25">
      <c r="B30" t="s">
        <v>807</v>
      </c>
      <c r="C30">
        <v>-0.2596</v>
      </c>
      <c r="D30">
        <v>99.94</v>
      </c>
      <c r="E30">
        <v>0.57279999999999998</v>
      </c>
      <c r="F30">
        <v>-197.9</v>
      </c>
      <c r="G30">
        <v>-1.617E-2</v>
      </c>
      <c r="H30">
        <v>195.1</v>
      </c>
      <c r="I30">
        <v>10001</v>
      </c>
      <c r="J30">
        <v>30000</v>
      </c>
    </row>
    <row r="31" spans="1:10" x14ac:dyDescent="0.25">
      <c r="B31" t="s">
        <v>808</v>
      </c>
      <c r="C31">
        <v>0.872</v>
      </c>
      <c r="D31">
        <v>99.55</v>
      </c>
      <c r="E31">
        <v>0.57999999999999996</v>
      </c>
      <c r="F31">
        <v>-194.7</v>
      </c>
      <c r="G31">
        <v>0.625</v>
      </c>
      <c r="H31">
        <v>197.6</v>
      </c>
      <c r="I31">
        <v>10001</v>
      </c>
      <c r="J31">
        <v>30000</v>
      </c>
    </row>
    <row r="32" spans="1:10" x14ac:dyDescent="0.25">
      <c r="B32" t="s">
        <v>809</v>
      </c>
      <c r="C32">
        <v>-0.68910000000000005</v>
      </c>
      <c r="D32">
        <v>99.85</v>
      </c>
      <c r="E32">
        <v>0.53849999999999998</v>
      </c>
      <c r="F32">
        <v>-196.7</v>
      </c>
      <c r="G32">
        <v>-0.41710000000000003</v>
      </c>
      <c r="H32">
        <v>197.1</v>
      </c>
      <c r="I32">
        <v>10001</v>
      </c>
      <c r="J32">
        <v>30000</v>
      </c>
    </row>
    <row r="33" spans="2:10" x14ac:dyDescent="0.25">
      <c r="B33" t="s">
        <v>810</v>
      </c>
      <c r="C33">
        <v>-0.88229999999999997</v>
      </c>
      <c r="D33">
        <v>0.75819999999999999</v>
      </c>
      <c r="E33">
        <v>2.5499999999999998E-2</v>
      </c>
      <c r="F33">
        <v>-2.4929999999999999</v>
      </c>
      <c r="G33">
        <v>-0.84140000000000004</v>
      </c>
      <c r="H33">
        <v>0.51749999999999996</v>
      </c>
      <c r="I33">
        <v>10001</v>
      </c>
      <c r="J33">
        <v>30000</v>
      </c>
    </row>
    <row r="34" spans="2:10" x14ac:dyDescent="0.25">
      <c r="B34" t="s">
        <v>811</v>
      </c>
      <c r="C34">
        <v>-0.53110000000000002</v>
      </c>
      <c r="D34">
        <v>0.33</v>
      </c>
      <c r="E34">
        <v>7.5469999999999999E-3</v>
      </c>
      <c r="F34">
        <v>-1.173</v>
      </c>
      <c r="G34">
        <v>-0.53180000000000005</v>
      </c>
      <c r="H34">
        <v>0.1263</v>
      </c>
      <c r="I34">
        <v>10001</v>
      </c>
      <c r="J34">
        <v>30000</v>
      </c>
    </row>
    <row r="35" spans="2:10" x14ac:dyDescent="0.25">
      <c r="B35" t="s">
        <v>812</v>
      </c>
      <c r="C35">
        <v>-1.8779999999999999</v>
      </c>
      <c r="D35">
        <v>0.37780000000000002</v>
      </c>
      <c r="E35">
        <v>7.7140000000000004E-3</v>
      </c>
      <c r="F35">
        <v>-2.6150000000000002</v>
      </c>
      <c r="G35">
        <v>-1.879</v>
      </c>
      <c r="H35">
        <v>-1.093</v>
      </c>
      <c r="I35">
        <v>10001</v>
      </c>
      <c r="J35">
        <v>30000</v>
      </c>
    </row>
    <row r="36" spans="2:10" x14ac:dyDescent="0.25">
      <c r="B36" t="s">
        <v>813</v>
      </c>
      <c r="C36">
        <v>1.357</v>
      </c>
      <c r="D36">
        <v>0.38329999999999997</v>
      </c>
      <c r="E36">
        <v>9.894E-3</v>
      </c>
      <c r="F36">
        <v>0.6129</v>
      </c>
      <c r="G36">
        <v>1.35</v>
      </c>
      <c r="H36">
        <v>2.13</v>
      </c>
      <c r="I36">
        <v>10001</v>
      </c>
      <c r="J36">
        <v>30000</v>
      </c>
    </row>
    <row r="37" spans="2:10" x14ac:dyDescent="0.25">
      <c r="B37" t="s">
        <v>814</v>
      </c>
      <c r="C37">
        <v>-3.04E-2</v>
      </c>
      <c r="D37">
        <v>100.1</v>
      </c>
      <c r="E37">
        <v>0.58650000000000002</v>
      </c>
      <c r="F37">
        <v>-197.4</v>
      </c>
      <c r="G37">
        <v>-0.28889999999999999</v>
      </c>
      <c r="H37">
        <v>196.3</v>
      </c>
      <c r="I37">
        <v>10001</v>
      </c>
      <c r="J37">
        <v>30000</v>
      </c>
    </row>
    <row r="38" spans="2:10" x14ac:dyDescent="0.25">
      <c r="B38" t="s">
        <v>815</v>
      </c>
      <c r="C38">
        <v>1.409</v>
      </c>
      <c r="D38">
        <v>0.69969999999999999</v>
      </c>
      <c r="E38">
        <v>1.9E-2</v>
      </c>
      <c r="F38">
        <v>7.6020000000000004E-2</v>
      </c>
      <c r="G38">
        <v>1.409</v>
      </c>
      <c r="H38">
        <v>2.823</v>
      </c>
      <c r="I38">
        <v>10001</v>
      </c>
      <c r="J38">
        <v>30000</v>
      </c>
    </row>
    <row r="39" spans="2:10" x14ac:dyDescent="0.25">
      <c r="B39" t="s">
        <v>816</v>
      </c>
      <c r="C39">
        <v>-0.26519999999999999</v>
      </c>
      <c r="D39">
        <v>99.52</v>
      </c>
      <c r="E39">
        <v>0.55189999999999995</v>
      </c>
      <c r="F39">
        <v>-196.8</v>
      </c>
      <c r="G39">
        <v>0.15049999999999999</v>
      </c>
      <c r="H39">
        <v>197</v>
      </c>
      <c r="I39">
        <v>10001</v>
      </c>
      <c r="J39">
        <v>30000</v>
      </c>
    </row>
    <row r="40" spans="2:10" x14ac:dyDescent="0.25">
      <c r="B40" t="s">
        <v>817</v>
      </c>
      <c r="C40">
        <v>-0.34079999999999999</v>
      </c>
      <c r="D40">
        <v>0.49819999999999998</v>
      </c>
      <c r="E40">
        <v>9.9290000000000003E-3</v>
      </c>
      <c r="F40">
        <v>-1.3129999999999999</v>
      </c>
      <c r="G40">
        <v>-0.34499999999999997</v>
      </c>
      <c r="H40">
        <v>0.66300000000000003</v>
      </c>
      <c r="I40">
        <v>10001</v>
      </c>
      <c r="J40">
        <v>30000</v>
      </c>
    </row>
    <row r="41" spans="2:10" x14ac:dyDescent="0.25">
      <c r="B41" t="s">
        <v>818</v>
      </c>
      <c r="C41">
        <v>0.73109999999999997</v>
      </c>
      <c r="D41">
        <v>0.64180000000000004</v>
      </c>
      <c r="E41">
        <v>1.536E-2</v>
      </c>
      <c r="F41">
        <v>-0.54620000000000002</v>
      </c>
      <c r="G41">
        <v>0.73070000000000002</v>
      </c>
      <c r="H41">
        <v>2.0070000000000001</v>
      </c>
      <c r="I41">
        <v>10001</v>
      </c>
      <c r="J41">
        <v>30000</v>
      </c>
    </row>
    <row r="42" spans="2:10" x14ac:dyDescent="0.25">
      <c r="B42" t="s">
        <v>819</v>
      </c>
      <c r="C42">
        <v>8.2970000000000002E-2</v>
      </c>
      <c r="D42">
        <v>100.4</v>
      </c>
      <c r="E42">
        <v>0.57240000000000002</v>
      </c>
      <c r="F42">
        <v>-195</v>
      </c>
      <c r="G42">
        <v>-0.2</v>
      </c>
      <c r="H42">
        <v>196.7</v>
      </c>
      <c r="I42">
        <v>10001</v>
      </c>
      <c r="J42">
        <v>30000</v>
      </c>
    </row>
    <row r="43" spans="2:10" x14ac:dyDescent="0.25">
      <c r="B43" t="s">
        <v>820</v>
      </c>
      <c r="C43">
        <v>-0.93210000000000004</v>
      </c>
      <c r="D43">
        <v>0.48530000000000001</v>
      </c>
      <c r="E43">
        <v>9.8359999999999993E-3</v>
      </c>
      <c r="F43">
        <v>-1.877</v>
      </c>
      <c r="G43">
        <v>-0.94099999999999995</v>
      </c>
      <c r="H43">
        <v>2.9069999999999999E-2</v>
      </c>
      <c r="I43">
        <v>10001</v>
      </c>
      <c r="J43">
        <v>30000</v>
      </c>
    </row>
    <row r="44" spans="2:10" x14ac:dyDescent="0.25">
      <c r="B44" t="s">
        <v>821</v>
      </c>
      <c r="C44">
        <v>0.1313</v>
      </c>
      <c r="D44">
        <v>0.36520000000000002</v>
      </c>
      <c r="E44">
        <v>7.8050000000000003E-3</v>
      </c>
      <c r="F44">
        <v>-0.58089999999999997</v>
      </c>
      <c r="G44">
        <v>0.12770000000000001</v>
      </c>
      <c r="H44">
        <v>0.86109999999999998</v>
      </c>
      <c r="I44">
        <v>10001</v>
      </c>
      <c r="J44">
        <v>30000</v>
      </c>
    </row>
    <row r="45" spans="2:10" x14ac:dyDescent="0.25">
      <c r="B45" t="s">
        <v>822</v>
      </c>
      <c r="C45">
        <v>-0.67330000000000001</v>
      </c>
      <c r="D45">
        <v>100.2</v>
      </c>
      <c r="E45">
        <v>0.54110000000000003</v>
      </c>
      <c r="F45">
        <v>-196.4</v>
      </c>
      <c r="G45">
        <v>-1.1919999999999999</v>
      </c>
      <c r="H45">
        <v>197.5</v>
      </c>
      <c r="I45">
        <v>10001</v>
      </c>
      <c r="J45">
        <v>30000</v>
      </c>
    </row>
    <row r="46" spans="2:10" x14ac:dyDescent="0.25">
      <c r="B46" t="s">
        <v>823</v>
      </c>
      <c r="C46">
        <v>1.1319999999999999</v>
      </c>
      <c r="D46">
        <v>0.46820000000000001</v>
      </c>
      <c r="E46">
        <v>1.184E-2</v>
      </c>
      <c r="F46">
        <v>0.19409999999999999</v>
      </c>
      <c r="G46">
        <v>1.127</v>
      </c>
      <c r="H46">
        <v>2.0539999999999998</v>
      </c>
      <c r="I46">
        <v>10001</v>
      </c>
      <c r="J46">
        <v>30000</v>
      </c>
    </row>
    <row r="47" spans="2:10" x14ac:dyDescent="0.25">
      <c r="B47" t="s">
        <v>824</v>
      </c>
      <c r="C47">
        <v>0.50649999999999995</v>
      </c>
      <c r="D47">
        <v>99.88</v>
      </c>
      <c r="E47">
        <v>0.59079999999999999</v>
      </c>
      <c r="F47">
        <v>-197.2</v>
      </c>
      <c r="G47">
        <v>0.19259999999999999</v>
      </c>
      <c r="H47">
        <v>194.2</v>
      </c>
      <c r="I47">
        <v>10001</v>
      </c>
      <c r="J47">
        <v>30000</v>
      </c>
    </row>
    <row r="48" spans="2:10" x14ac:dyDescent="0.25">
      <c r="B48" t="s">
        <v>825</v>
      </c>
      <c r="C48">
        <v>-2.708E-2</v>
      </c>
      <c r="D48">
        <v>99.96</v>
      </c>
      <c r="E48">
        <v>0.6038</v>
      </c>
      <c r="F48">
        <v>-195.6</v>
      </c>
      <c r="G48">
        <v>0.50680000000000003</v>
      </c>
      <c r="H48">
        <v>196</v>
      </c>
      <c r="I48">
        <v>10001</v>
      </c>
      <c r="J48">
        <v>30000</v>
      </c>
    </row>
    <row r="49" spans="2:10" x14ac:dyDescent="0.25">
      <c r="B49" t="s">
        <v>826</v>
      </c>
      <c r="C49">
        <v>9.604E-2</v>
      </c>
      <c r="D49">
        <v>0.50919999999999999</v>
      </c>
      <c r="E49">
        <v>1.247E-2</v>
      </c>
      <c r="F49">
        <v>-0.92720000000000002</v>
      </c>
      <c r="G49">
        <v>0.10979999999999999</v>
      </c>
      <c r="H49">
        <v>1.0840000000000001</v>
      </c>
      <c r="I49">
        <v>10001</v>
      </c>
      <c r="J49">
        <v>30000</v>
      </c>
    </row>
    <row r="50" spans="2:10" x14ac:dyDescent="0.25">
      <c r="B50" t="s">
        <v>827</v>
      </c>
      <c r="C50">
        <v>-1.63</v>
      </c>
      <c r="D50">
        <v>0.47860000000000003</v>
      </c>
      <c r="E50">
        <v>1.227E-2</v>
      </c>
      <c r="F50">
        <v>-2.5920000000000001</v>
      </c>
      <c r="G50">
        <v>-1.6240000000000001</v>
      </c>
      <c r="H50">
        <v>-0.70760000000000001</v>
      </c>
      <c r="I50">
        <v>10001</v>
      </c>
      <c r="J50">
        <v>30000</v>
      </c>
    </row>
    <row r="51" spans="2:10" x14ac:dyDescent="0.25">
      <c r="B51" t="s">
        <v>828</v>
      </c>
      <c r="C51">
        <v>0.74639999999999995</v>
      </c>
      <c r="D51">
        <v>99.17</v>
      </c>
      <c r="E51">
        <v>0.59940000000000004</v>
      </c>
      <c r="F51">
        <v>-195.5</v>
      </c>
      <c r="G51">
        <v>1.139</v>
      </c>
      <c r="H51">
        <v>192.8</v>
      </c>
      <c r="I51">
        <v>10001</v>
      </c>
      <c r="J51">
        <v>30000</v>
      </c>
    </row>
    <row r="52" spans="2:10" x14ac:dyDescent="0.25">
      <c r="B52" t="s">
        <v>829</v>
      </c>
      <c r="C52">
        <v>-0.59199999999999997</v>
      </c>
      <c r="D52">
        <v>0.55130000000000001</v>
      </c>
      <c r="E52">
        <v>1.3509999999999999E-2</v>
      </c>
      <c r="F52">
        <v>-1.6759999999999999</v>
      </c>
      <c r="G52">
        <v>-0.58350000000000002</v>
      </c>
      <c r="H52">
        <v>0.48299999999999998</v>
      </c>
      <c r="I52">
        <v>10001</v>
      </c>
      <c r="J52">
        <v>30000</v>
      </c>
    </row>
    <row r="53" spans="2:10" x14ac:dyDescent="0.25">
      <c r="B53" t="s">
        <v>830</v>
      </c>
      <c r="C53">
        <v>0.30930000000000002</v>
      </c>
      <c r="D53">
        <v>100.1</v>
      </c>
      <c r="E53">
        <v>0.58160000000000001</v>
      </c>
      <c r="F53">
        <v>-196.5</v>
      </c>
      <c r="G53">
        <v>0.68240000000000001</v>
      </c>
      <c r="H53">
        <v>196.5</v>
      </c>
      <c r="I53">
        <v>10001</v>
      </c>
      <c r="J53">
        <v>30000</v>
      </c>
    </row>
    <row r="54" spans="2:10" x14ac:dyDescent="0.25">
      <c r="B54" t="s">
        <v>831</v>
      </c>
      <c r="C54">
        <v>-0.1019</v>
      </c>
      <c r="D54">
        <v>100.7</v>
      </c>
      <c r="E54">
        <v>0.52880000000000005</v>
      </c>
      <c r="F54">
        <v>-199</v>
      </c>
      <c r="G54">
        <v>1.306</v>
      </c>
      <c r="H54">
        <v>193.4</v>
      </c>
      <c r="I54">
        <v>10001</v>
      </c>
      <c r="J54">
        <v>30000</v>
      </c>
    </row>
    <row r="55" spans="2:10" x14ac:dyDescent="0.25">
      <c r="B55" t="s">
        <v>832</v>
      </c>
      <c r="C55">
        <v>-0.34300000000000003</v>
      </c>
      <c r="D55">
        <v>99.89</v>
      </c>
      <c r="E55">
        <v>0.58809999999999996</v>
      </c>
      <c r="F55">
        <v>-197.9</v>
      </c>
      <c r="G55">
        <v>0.1004</v>
      </c>
      <c r="H55">
        <v>194.6</v>
      </c>
      <c r="I55">
        <v>10001</v>
      </c>
      <c r="J55">
        <v>30000</v>
      </c>
    </row>
    <row r="56" spans="2:10" x14ac:dyDescent="0.25">
      <c r="B56" t="s">
        <v>833</v>
      </c>
      <c r="C56">
        <v>0.97350000000000003</v>
      </c>
      <c r="D56">
        <v>99.73</v>
      </c>
      <c r="E56">
        <v>0.57740000000000002</v>
      </c>
      <c r="F56">
        <v>-195</v>
      </c>
      <c r="G56">
        <v>0.35959999999999998</v>
      </c>
      <c r="H56">
        <v>198.3</v>
      </c>
      <c r="I56">
        <v>10001</v>
      </c>
      <c r="J56">
        <v>30000</v>
      </c>
    </row>
    <row r="57" spans="2:10" x14ac:dyDescent="0.25">
      <c r="B57" t="s">
        <v>834</v>
      </c>
      <c r="C57">
        <v>-0.15479999999999999</v>
      </c>
      <c r="D57">
        <v>99.6</v>
      </c>
      <c r="E57">
        <v>0.56989999999999996</v>
      </c>
      <c r="F57">
        <v>-194.6</v>
      </c>
      <c r="G57">
        <v>0.36359999999999998</v>
      </c>
      <c r="H57">
        <v>196.3</v>
      </c>
      <c r="I57">
        <v>10001</v>
      </c>
      <c r="J57">
        <v>30000</v>
      </c>
    </row>
    <row r="58" spans="2:10" x14ac:dyDescent="0.25">
      <c r="B58" t="s">
        <v>835</v>
      </c>
      <c r="C58">
        <v>0.4551</v>
      </c>
      <c r="D58">
        <v>100.1</v>
      </c>
      <c r="E58">
        <v>0.57489999999999997</v>
      </c>
      <c r="F58">
        <v>-196.5</v>
      </c>
      <c r="G58">
        <v>0.44979999999999998</v>
      </c>
      <c r="H58">
        <v>196</v>
      </c>
      <c r="I58">
        <v>10001</v>
      </c>
      <c r="J58">
        <v>30000</v>
      </c>
    </row>
    <row r="59" spans="2:10" x14ac:dyDescent="0.25">
      <c r="B59" t="s">
        <v>836</v>
      </c>
      <c r="C59">
        <v>-5.024E-2</v>
      </c>
      <c r="D59">
        <v>99.68</v>
      </c>
      <c r="E59">
        <v>0.59760000000000002</v>
      </c>
      <c r="F59">
        <v>-195.1</v>
      </c>
      <c r="G59">
        <v>1.8220000000000001E-3</v>
      </c>
      <c r="H59">
        <v>194</v>
      </c>
      <c r="I59">
        <v>10001</v>
      </c>
      <c r="J59">
        <v>30000</v>
      </c>
    </row>
    <row r="60" spans="2:10" x14ac:dyDescent="0.25">
      <c r="B60" t="s">
        <v>837</v>
      </c>
      <c r="C60">
        <v>-0.1076</v>
      </c>
      <c r="D60">
        <v>99.82</v>
      </c>
      <c r="E60">
        <v>0.55020000000000002</v>
      </c>
      <c r="F60">
        <v>-196.1</v>
      </c>
      <c r="G60">
        <v>-0.1308</v>
      </c>
      <c r="H60">
        <v>194.9</v>
      </c>
      <c r="I60">
        <v>10001</v>
      </c>
      <c r="J60">
        <v>30000</v>
      </c>
    </row>
    <row r="61" spans="2:10" x14ac:dyDescent="0.25">
      <c r="B61" t="s">
        <v>838</v>
      </c>
      <c r="C61">
        <v>-9.8059999999999994E-2</v>
      </c>
      <c r="D61">
        <v>101</v>
      </c>
      <c r="E61">
        <v>0.58499999999999996</v>
      </c>
      <c r="F61">
        <v>-197.3</v>
      </c>
      <c r="G61">
        <v>-0.312</v>
      </c>
      <c r="H61">
        <v>199.2</v>
      </c>
      <c r="I61">
        <v>10001</v>
      </c>
      <c r="J61">
        <v>30000</v>
      </c>
    </row>
    <row r="62" spans="2:10" x14ac:dyDescent="0.25">
      <c r="B62" t="s">
        <v>839</v>
      </c>
      <c r="C62">
        <v>-0.25559999999999999</v>
      </c>
      <c r="D62">
        <v>99.85</v>
      </c>
      <c r="E62">
        <v>0.55059999999999998</v>
      </c>
      <c r="F62">
        <v>-195.5</v>
      </c>
      <c r="G62">
        <v>-0.97829999999999995</v>
      </c>
      <c r="H62">
        <v>195.3</v>
      </c>
      <c r="I62">
        <v>10001</v>
      </c>
      <c r="J62">
        <v>30000</v>
      </c>
    </row>
    <row r="63" spans="2:10" x14ac:dyDescent="0.25">
      <c r="B63" t="s">
        <v>840</v>
      </c>
      <c r="C63">
        <v>0.21429999999999999</v>
      </c>
      <c r="D63">
        <v>99.64</v>
      </c>
      <c r="E63">
        <v>0.59399999999999997</v>
      </c>
      <c r="F63">
        <v>-193.4</v>
      </c>
      <c r="G63">
        <v>0.121</v>
      </c>
      <c r="H63">
        <v>196.6</v>
      </c>
      <c r="I63">
        <v>10001</v>
      </c>
      <c r="J63">
        <v>30000</v>
      </c>
    </row>
    <row r="64" spans="2:10" x14ac:dyDescent="0.25">
      <c r="B64" t="s">
        <v>841</v>
      </c>
      <c r="C64">
        <v>0.309</v>
      </c>
      <c r="D64">
        <v>99.97</v>
      </c>
      <c r="E64">
        <v>0.56759999999999999</v>
      </c>
      <c r="F64">
        <v>-196</v>
      </c>
      <c r="G64">
        <v>0.65639999999999998</v>
      </c>
      <c r="H64">
        <v>196.7</v>
      </c>
      <c r="I64">
        <v>10001</v>
      </c>
      <c r="J64">
        <v>30000</v>
      </c>
    </row>
    <row r="65" spans="2:10" x14ac:dyDescent="0.25">
      <c r="B65" t="s">
        <v>842</v>
      </c>
      <c r="C65">
        <v>-0.41880000000000001</v>
      </c>
      <c r="D65">
        <v>100.2</v>
      </c>
      <c r="E65">
        <v>0.5958</v>
      </c>
      <c r="F65">
        <v>-196.9</v>
      </c>
      <c r="G65">
        <v>-0.56089999999999995</v>
      </c>
      <c r="H65">
        <v>196.5</v>
      </c>
      <c r="I65">
        <v>10001</v>
      </c>
      <c r="J65">
        <v>30000</v>
      </c>
    </row>
    <row r="66" spans="2:10" x14ac:dyDescent="0.25">
      <c r="B66" t="s">
        <v>843</v>
      </c>
      <c r="C66">
        <v>-0.32990000000000003</v>
      </c>
      <c r="D66">
        <v>100.6</v>
      </c>
      <c r="E66">
        <v>0.5716</v>
      </c>
      <c r="F66">
        <v>-196.4</v>
      </c>
      <c r="G66">
        <v>-0.1176</v>
      </c>
      <c r="H66">
        <v>195.4</v>
      </c>
      <c r="I66">
        <v>10001</v>
      </c>
      <c r="J66">
        <v>30000</v>
      </c>
    </row>
    <row r="67" spans="2:10" x14ac:dyDescent="0.25">
      <c r="B67" t="s">
        <v>844</v>
      </c>
      <c r="C67">
        <v>0.33</v>
      </c>
      <c r="D67">
        <v>100</v>
      </c>
      <c r="E67">
        <v>0.58899999999999997</v>
      </c>
      <c r="F67">
        <v>-197.1</v>
      </c>
      <c r="G67">
        <v>0.50860000000000005</v>
      </c>
      <c r="H67">
        <v>197.5</v>
      </c>
      <c r="I67">
        <v>10001</v>
      </c>
      <c r="J67">
        <v>30000</v>
      </c>
    </row>
    <row r="68" spans="2:10" x14ac:dyDescent="0.25">
      <c r="B68" t="s">
        <v>845</v>
      </c>
      <c r="C68">
        <v>-0.54820000000000002</v>
      </c>
      <c r="D68">
        <v>99.67</v>
      </c>
      <c r="E68">
        <v>0.60009999999999997</v>
      </c>
      <c r="F68">
        <v>-196</v>
      </c>
      <c r="G68">
        <v>-0.19089999999999999</v>
      </c>
      <c r="H68">
        <v>195.2</v>
      </c>
      <c r="I68">
        <v>10001</v>
      </c>
      <c r="J68">
        <v>30000</v>
      </c>
    </row>
    <row r="69" spans="2:10" x14ac:dyDescent="0.25">
      <c r="B69" t="s">
        <v>846</v>
      </c>
      <c r="C69">
        <v>0.28760000000000002</v>
      </c>
      <c r="D69">
        <v>100.4</v>
      </c>
      <c r="E69">
        <v>0.59930000000000005</v>
      </c>
      <c r="F69">
        <v>-194.6</v>
      </c>
      <c r="G69">
        <v>-0.17</v>
      </c>
      <c r="H69">
        <v>197.8</v>
      </c>
      <c r="I69">
        <v>10001</v>
      </c>
      <c r="J69">
        <v>30000</v>
      </c>
    </row>
    <row r="70" spans="2:10" x14ac:dyDescent="0.25">
      <c r="B70" t="s">
        <v>847</v>
      </c>
      <c r="C70">
        <v>-0.82609999999999995</v>
      </c>
      <c r="D70">
        <v>99.52</v>
      </c>
      <c r="E70">
        <v>0.61050000000000004</v>
      </c>
      <c r="F70">
        <v>-196.7</v>
      </c>
      <c r="G70">
        <v>-0.65090000000000003</v>
      </c>
      <c r="H70">
        <v>192.7</v>
      </c>
      <c r="I70">
        <v>10001</v>
      </c>
      <c r="J70">
        <v>30000</v>
      </c>
    </row>
    <row r="71" spans="2:10" x14ac:dyDescent="0.25">
      <c r="B71" t="s">
        <v>848</v>
      </c>
      <c r="C71">
        <v>-2.76</v>
      </c>
      <c r="D71">
        <v>0.48449999999999999</v>
      </c>
      <c r="E71">
        <v>1.787E-2</v>
      </c>
      <c r="F71">
        <v>-3.9089999999999998</v>
      </c>
      <c r="G71">
        <v>-2.718</v>
      </c>
      <c r="H71">
        <v>-1.9179999999999999</v>
      </c>
      <c r="I71">
        <v>10001</v>
      </c>
      <c r="J71">
        <v>30000</v>
      </c>
    </row>
    <row r="72" spans="2:10" x14ac:dyDescent="0.25">
      <c r="B72" t="s">
        <v>483</v>
      </c>
      <c r="C72">
        <v>1.0169999999999999</v>
      </c>
      <c r="D72">
        <v>1.4219999999999999</v>
      </c>
      <c r="E72">
        <v>1.8720000000000001E-2</v>
      </c>
      <c r="F72">
        <v>1.0820000000000001E-3</v>
      </c>
      <c r="G72">
        <v>0.46839999999999998</v>
      </c>
      <c r="H72">
        <v>5.0629999999999997</v>
      </c>
      <c r="I72">
        <v>10001</v>
      </c>
      <c r="J72">
        <v>30000</v>
      </c>
    </row>
    <row r="73" spans="2:10" x14ac:dyDescent="0.25">
      <c r="B73" t="s">
        <v>484</v>
      </c>
      <c r="C73">
        <v>1.0209999999999999</v>
      </c>
      <c r="D73">
        <v>1.45</v>
      </c>
      <c r="E73">
        <v>1.417E-2</v>
      </c>
      <c r="F73" s="13">
        <v>8.1579999999999999E-4</v>
      </c>
      <c r="G73">
        <v>0.45989999999999998</v>
      </c>
      <c r="H73">
        <v>5.0789999999999997</v>
      </c>
      <c r="I73">
        <v>10001</v>
      </c>
      <c r="J73">
        <v>30000</v>
      </c>
    </row>
    <row r="74" spans="2:10" x14ac:dyDescent="0.25">
      <c r="B74" t="s">
        <v>485</v>
      </c>
      <c r="C74">
        <v>1.0329999999999999</v>
      </c>
      <c r="D74">
        <v>1.4510000000000001</v>
      </c>
      <c r="E74">
        <v>2.5760000000000002E-2</v>
      </c>
      <c r="F74">
        <v>1.036E-3</v>
      </c>
      <c r="G74">
        <v>0.46879999999999999</v>
      </c>
      <c r="H74">
        <v>5.1360000000000001</v>
      </c>
      <c r="I74">
        <v>10001</v>
      </c>
      <c r="J74">
        <v>30000</v>
      </c>
    </row>
    <row r="75" spans="2:10" x14ac:dyDescent="0.25">
      <c r="B75" t="s">
        <v>486</v>
      </c>
      <c r="C75">
        <v>0.98740000000000006</v>
      </c>
      <c r="D75">
        <v>1.43</v>
      </c>
      <c r="E75">
        <v>4.0829999999999998E-2</v>
      </c>
      <c r="F75" s="13">
        <v>8.7169999999999999E-4</v>
      </c>
      <c r="G75">
        <v>0.4269</v>
      </c>
      <c r="H75">
        <v>5.1539999999999999</v>
      </c>
      <c r="I75">
        <v>10001</v>
      </c>
      <c r="J75">
        <v>30000</v>
      </c>
    </row>
    <row r="76" spans="2:10" x14ac:dyDescent="0.25">
      <c r="B76" t="s">
        <v>487</v>
      </c>
      <c r="C76">
        <v>0.83160000000000001</v>
      </c>
      <c r="D76">
        <v>1.1739999999999999</v>
      </c>
      <c r="E76">
        <v>9.6539999999999994E-3</v>
      </c>
      <c r="F76" s="13">
        <v>8.3180000000000005E-4</v>
      </c>
      <c r="G76">
        <v>0.38080000000000003</v>
      </c>
      <c r="H76">
        <v>4.24</v>
      </c>
      <c r="I76">
        <v>10001</v>
      </c>
      <c r="J76">
        <v>30000</v>
      </c>
    </row>
    <row r="77" spans="2:10" x14ac:dyDescent="0.25">
      <c r="B77" t="s">
        <v>488</v>
      </c>
      <c r="C77">
        <v>0.74819999999999998</v>
      </c>
      <c r="D77">
        <v>1.0349999999999999</v>
      </c>
      <c r="E77">
        <v>1.261E-2</v>
      </c>
      <c r="F77" s="13">
        <v>6.9510000000000004E-4</v>
      </c>
      <c r="G77">
        <v>0.35260000000000002</v>
      </c>
      <c r="H77">
        <v>3.694</v>
      </c>
      <c r="I77">
        <v>10001</v>
      </c>
      <c r="J77">
        <v>30000</v>
      </c>
    </row>
    <row r="78" spans="2:10" x14ac:dyDescent="0.25">
      <c r="B78" t="s">
        <v>489</v>
      </c>
      <c r="C78">
        <v>0.91069999999999995</v>
      </c>
      <c r="D78">
        <v>1.2809999999999999</v>
      </c>
      <c r="E78">
        <v>9.4339999999999997E-3</v>
      </c>
      <c r="F78" s="13">
        <v>9.6650000000000002E-4</v>
      </c>
      <c r="G78">
        <v>0.41460000000000002</v>
      </c>
      <c r="H78">
        <v>4.5259999999999998</v>
      </c>
      <c r="I78">
        <v>10001</v>
      </c>
      <c r="J78">
        <v>30000</v>
      </c>
    </row>
    <row r="79" spans="2:10" x14ac:dyDescent="0.25">
      <c r="B79" t="s">
        <v>490</v>
      </c>
      <c r="C79">
        <v>0.71909999999999996</v>
      </c>
      <c r="D79">
        <v>1.0309999999999999</v>
      </c>
      <c r="E79">
        <v>1.0880000000000001E-2</v>
      </c>
      <c r="F79" s="13">
        <v>6.9340000000000005E-4</v>
      </c>
      <c r="G79">
        <v>0.32179999999999997</v>
      </c>
      <c r="H79">
        <v>3.673</v>
      </c>
      <c r="I79">
        <v>10001</v>
      </c>
      <c r="J79">
        <v>30000</v>
      </c>
    </row>
    <row r="80" spans="2:10" x14ac:dyDescent="0.25">
      <c r="B80" t="s">
        <v>491</v>
      </c>
      <c r="C80">
        <v>0.81859999999999999</v>
      </c>
      <c r="D80">
        <v>1.155</v>
      </c>
      <c r="E80">
        <v>7.77E-3</v>
      </c>
      <c r="F80" s="13">
        <v>7.316E-4</v>
      </c>
      <c r="G80">
        <v>0.37009999999999998</v>
      </c>
      <c r="H80">
        <v>4.1219999999999999</v>
      </c>
      <c r="I80">
        <v>10001</v>
      </c>
      <c r="J80">
        <v>30000</v>
      </c>
    </row>
    <row r="81" spans="2:10" x14ac:dyDescent="0.25">
      <c r="B81" t="s">
        <v>492</v>
      </c>
      <c r="C81">
        <v>0.68910000000000005</v>
      </c>
      <c r="D81">
        <v>0.94440000000000002</v>
      </c>
      <c r="E81">
        <v>1.061E-2</v>
      </c>
      <c r="F81" s="13">
        <v>7.9639999999999995E-4</v>
      </c>
      <c r="G81">
        <v>0.3261</v>
      </c>
      <c r="H81">
        <v>3.3319999999999999</v>
      </c>
      <c r="I81">
        <v>10001</v>
      </c>
      <c r="J81">
        <v>30000</v>
      </c>
    </row>
    <row r="82" spans="2:10" x14ac:dyDescent="0.25">
      <c r="B82" t="s">
        <v>493</v>
      </c>
      <c r="C82">
        <v>1.014</v>
      </c>
      <c r="D82">
        <v>1.4590000000000001</v>
      </c>
      <c r="E82">
        <v>1.686E-2</v>
      </c>
      <c r="F82">
        <v>1.042E-3</v>
      </c>
      <c r="G82">
        <v>0.45100000000000001</v>
      </c>
      <c r="H82">
        <v>5.1449999999999996</v>
      </c>
      <c r="I82">
        <v>10001</v>
      </c>
      <c r="J82">
        <v>30000</v>
      </c>
    </row>
    <row r="83" spans="2:10" x14ac:dyDescent="0.25">
      <c r="B83" t="s">
        <v>494</v>
      </c>
      <c r="C83">
        <v>1.02</v>
      </c>
      <c r="D83">
        <v>1.4430000000000001</v>
      </c>
      <c r="E83">
        <v>1.933E-2</v>
      </c>
      <c r="F83">
        <v>1.073E-3</v>
      </c>
      <c r="G83">
        <v>0.45739999999999997</v>
      </c>
      <c r="H83">
        <v>5.141</v>
      </c>
      <c r="I83">
        <v>10001</v>
      </c>
      <c r="J83">
        <v>30000</v>
      </c>
    </row>
    <row r="84" spans="2:10" x14ac:dyDescent="0.25">
      <c r="B84" t="s">
        <v>495</v>
      </c>
      <c r="C84">
        <v>1.03</v>
      </c>
      <c r="D84">
        <v>1.4430000000000001</v>
      </c>
      <c r="E84">
        <v>1.3469999999999999E-2</v>
      </c>
      <c r="F84" s="13">
        <v>9.9550000000000007E-4</v>
      </c>
      <c r="G84">
        <v>0.46739999999999998</v>
      </c>
      <c r="H84">
        <v>5.1580000000000004</v>
      </c>
      <c r="I84">
        <v>10001</v>
      </c>
      <c r="J84">
        <v>30000</v>
      </c>
    </row>
    <row r="85" spans="2:10" x14ac:dyDescent="0.25">
      <c r="B85" t="s">
        <v>496</v>
      </c>
      <c r="C85">
        <v>1.0760000000000001</v>
      </c>
      <c r="D85">
        <v>1.486</v>
      </c>
      <c r="E85">
        <v>2.895E-2</v>
      </c>
      <c r="F85">
        <v>1.077E-3</v>
      </c>
      <c r="G85">
        <v>0.49909999999999999</v>
      </c>
      <c r="H85">
        <v>5.3470000000000004</v>
      </c>
      <c r="I85">
        <v>10001</v>
      </c>
      <c r="J85">
        <v>30000</v>
      </c>
    </row>
    <row r="86" spans="2:10" x14ac:dyDescent="0.25">
      <c r="B86" t="s">
        <v>497</v>
      </c>
      <c r="C86">
        <v>1.0029999999999999</v>
      </c>
      <c r="D86">
        <v>1.413</v>
      </c>
      <c r="E86">
        <v>2.4479999999999998E-2</v>
      </c>
      <c r="F86" s="13">
        <v>9.1200000000000005E-4</v>
      </c>
      <c r="G86">
        <v>0.44929999999999998</v>
      </c>
      <c r="H86">
        <v>5.0060000000000002</v>
      </c>
      <c r="I86">
        <v>10001</v>
      </c>
      <c r="J86">
        <v>30000</v>
      </c>
    </row>
    <row r="87" spans="2:10" x14ac:dyDescent="0.25">
      <c r="B87" t="s">
        <v>498</v>
      </c>
      <c r="C87">
        <v>1.0149999999999999</v>
      </c>
      <c r="D87">
        <v>1.4239999999999999</v>
      </c>
      <c r="E87">
        <v>1.0869999999999999E-2</v>
      </c>
      <c r="F87" s="13">
        <v>9.5759999999999997E-4</v>
      </c>
      <c r="G87">
        <v>0.46679999999999999</v>
      </c>
      <c r="H87">
        <v>5.1050000000000004</v>
      </c>
      <c r="I87">
        <v>10001</v>
      </c>
      <c r="J87">
        <v>30000</v>
      </c>
    </row>
    <row r="88" spans="2:10" x14ac:dyDescent="0.25">
      <c r="B88" t="s">
        <v>499</v>
      </c>
      <c r="C88">
        <v>0.99170000000000003</v>
      </c>
      <c r="D88">
        <v>1.3959999999999999</v>
      </c>
      <c r="E88">
        <v>1.566E-2</v>
      </c>
      <c r="F88" s="13">
        <v>9.4220000000000003E-4</v>
      </c>
      <c r="G88">
        <v>0.45469999999999999</v>
      </c>
      <c r="H88">
        <v>4.9989999999999997</v>
      </c>
      <c r="I88">
        <v>10001</v>
      </c>
      <c r="J88">
        <v>30000</v>
      </c>
    </row>
    <row r="89" spans="2:10" x14ac:dyDescent="0.25">
      <c r="B89" t="s">
        <v>500</v>
      </c>
      <c r="C89">
        <v>1.0049999999999999</v>
      </c>
      <c r="D89">
        <v>1.397</v>
      </c>
      <c r="E89">
        <v>1.4189999999999999E-2</v>
      </c>
      <c r="F89">
        <v>1.0319999999999999E-3</v>
      </c>
      <c r="G89">
        <v>0.46179999999999999</v>
      </c>
      <c r="H89">
        <v>4.9829999999999997</v>
      </c>
      <c r="I89">
        <v>10001</v>
      </c>
      <c r="J89">
        <v>30000</v>
      </c>
    </row>
    <row r="90" spans="2:10" x14ac:dyDescent="0.25">
      <c r="B90" t="s">
        <v>501</v>
      </c>
      <c r="C90">
        <v>0.83889999999999998</v>
      </c>
      <c r="D90">
        <v>1.179</v>
      </c>
      <c r="E90">
        <v>1.0290000000000001E-2</v>
      </c>
      <c r="F90" s="13">
        <v>7.5750000000000004E-4</v>
      </c>
      <c r="G90">
        <v>0.37940000000000002</v>
      </c>
      <c r="H90">
        <v>4.2039999999999997</v>
      </c>
      <c r="I90">
        <v>10001</v>
      </c>
      <c r="J90">
        <v>30000</v>
      </c>
    </row>
    <row r="91" spans="2:10" x14ac:dyDescent="0.25">
      <c r="B91" t="s">
        <v>502</v>
      </c>
      <c r="C91">
        <v>0.90129999999999999</v>
      </c>
      <c r="D91">
        <v>1.2569999999999999</v>
      </c>
      <c r="E91">
        <v>1.03E-2</v>
      </c>
      <c r="F91" s="13">
        <v>9.1739999999999996E-4</v>
      </c>
      <c r="G91">
        <v>0.4143</v>
      </c>
      <c r="H91">
        <v>4.452</v>
      </c>
      <c r="I91">
        <v>10001</v>
      </c>
      <c r="J91">
        <v>30000</v>
      </c>
    </row>
    <row r="92" spans="2:10" x14ac:dyDescent="0.25">
      <c r="B92" t="s">
        <v>503</v>
      </c>
      <c r="C92">
        <v>0.84019999999999995</v>
      </c>
      <c r="D92">
        <v>1.145</v>
      </c>
      <c r="E92">
        <v>1.7659999999999999E-2</v>
      </c>
      <c r="F92" s="13">
        <v>8.1220000000000001E-4</v>
      </c>
      <c r="G92">
        <v>0.3952</v>
      </c>
      <c r="H92">
        <v>4.1029999999999998</v>
      </c>
      <c r="I92">
        <v>10001</v>
      </c>
      <c r="J92">
        <v>30000</v>
      </c>
    </row>
    <row r="93" spans="2:10" x14ac:dyDescent="0.25">
      <c r="B93" t="s">
        <v>504</v>
      </c>
      <c r="C93">
        <v>0.78390000000000004</v>
      </c>
      <c r="D93">
        <v>1.1100000000000001</v>
      </c>
      <c r="E93">
        <v>1.0449999999999999E-2</v>
      </c>
      <c r="F93" s="13">
        <v>6.9070000000000004E-4</v>
      </c>
      <c r="G93">
        <v>0.35759999999999997</v>
      </c>
      <c r="H93">
        <v>3.9420000000000002</v>
      </c>
      <c r="I93">
        <v>10001</v>
      </c>
      <c r="J93">
        <v>30000</v>
      </c>
    </row>
    <row r="94" spans="2:10" x14ac:dyDescent="0.25">
      <c r="B94" t="s">
        <v>505</v>
      </c>
      <c r="C94">
        <v>1.0349999999999999</v>
      </c>
      <c r="D94">
        <v>1.425</v>
      </c>
      <c r="E94">
        <v>1.9779999999999999E-2</v>
      </c>
      <c r="F94" s="13">
        <v>9.8050000000000003E-4</v>
      </c>
      <c r="G94">
        <v>0.49</v>
      </c>
      <c r="H94">
        <v>5.0359999999999996</v>
      </c>
      <c r="I94">
        <v>10001</v>
      </c>
      <c r="J94">
        <v>30000</v>
      </c>
    </row>
    <row r="95" spans="2:10" x14ac:dyDescent="0.25">
      <c r="B95" t="s">
        <v>506</v>
      </c>
      <c r="C95">
        <v>1.0129999999999999</v>
      </c>
      <c r="D95">
        <v>1.4119999999999999</v>
      </c>
      <c r="E95">
        <v>1.7330000000000002E-2</v>
      </c>
      <c r="F95">
        <v>1.013E-3</v>
      </c>
      <c r="G95">
        <v>0.46700000000000003</v>
      </c>
      <c r="H95">
        <v>4.9889999999999999</v>
      </c>
      <c r="I95">
        <v>10001</v>
      </c>
      <c r="J95">
        <v>30000</v>
      </c>
    </row>
    <row r="96" spans="2:10" x14ac:dyDescent="0.25">
      <c r="B96" t="s">
        <v>507</v>
      </c>
      <c r="C96">
        <v>0.86629999999999996</v>
      </c>
      <c r="D96">
        <v>1.2150000000000001</v>
      </c>
      <c r="E96">
        <v>2.035E-2</v>
      </c>
      <c r="F96" s="13">
        <v>8.7149999999999999E-4</v>
      </c>
      <c r="G96">
        <v>0.40139999999999998</v>
      </c>
      <c r="H96">
        <v>4.2350000000000003</v>
      </c>
      <c r="I96">
        <v>10001</v>
      </c>
      <c r="J96">
        <v>30000</v>
      </c>
    </row>
    <row r="97" spans="2:10" x14ac:dyDescent="0.25">
      <c r="B97" t="s">
        <v>508</v>
      </c>
      <c r="C97">
        <v>0.98499999999999999</v>
      </c>
      <c r="D97">
        <v>1.381</v>
      </c>
      <c r="E97">
        <v>1.4019999999999999E-2</v>
      </c>
      <c r="F97" s="13">
        <v>9.5819999999999998E-4</v>
      </c>
      <c r="G97">
        <v>0.45579999999999998</v>
      </c>
      <c r="H97">
        <v>4.883</v>
      </c>
      <c r="I97">
        <v>10001</v>
      </c>
      <c r="J97">
        <v>30000</v>
      </c>
    </row>
    <row r="98" spans="2:10" x14ac:dyDescent="0.25">
      <c r="B98" t="s">
        <v>509</v>
      </c>
      <c r="C98">
        <v>0.83109999999999995</v>
      </c>
      <c r="D98">
        <v>0.96609999999999996</v>
      </c>
      <c r="E98">
        <v>1.197E-2</v>
      </c>
      <c r="F98">
        <v>1.292E-3</v>
      </c>
      <c r="G98">
        <v>0.49930000000000002</v>
      </c>
      <c r="H98">
        <v>3.4489999999999998</v>
      </c>
      <c r="I98">
        <v>10001</v>
      </c>
      <c r="J98">
        <v>30000</v>
      </c>
    </row>
    <row r="99" spans="2:10" x14ac:dyDescent="0.25">
      <c r="B99" t="s">
        <v>510</v>
      </c>
      <c r="C99">
        <v>0.87670000000000003</v>
      </c>
      <c r="D99">
        <v>1.2350000000000001</v>
      </c>
      <c r="E99">
        <v>7.1289999999999999E-3</v>
      </c>
      <c r="F99" s="13">
        <v>8.3089999999999998E-4</v>
      </c>
      <c r="G99">
        <v>0.4047</v>
      </c>
      <c r="H99">
        <v>4.4790000000000001</v>
      </c>
      <c r="I99">
        <v>10001</v>
      </c>
      <c r="J99">
        <v>30000</v>
      </c>
    </row>
    <row r="100" spans="2:10" x14ac:dyDescent="0.25">
      <c r="B100" t="s">
        <v>511</v>
      </c>
      <c r="C100">
        <v>0.90480000000000005</v>
      </c>
      <c r="D100">
        <v>1.1180000000000001</v>
      </c>
      <c r="E100">
        <v>1.6619999999999999E-2</v>
      </c>
      <c r="F100" s="13">
        <v>9.5489999999999995E-4</v>
      </c>
      <c r="G100">
        <v>0.49070000000000003</v>
      </c>
      <c r="H100">
        <v>4.0010000000000003</v>
      </c>
      <c r="I100">
        <v>10001</v>
      </c>
      <c r="J100">
        <v>30000</v>
      </c>
    </row>
    <row r="101" spans="2:10" x14ac:dyDescent="0.25">
      <c r="B101" t="s">
        <v>512</v>
      </c>
      <c r="C101">
        <v>0.72599999999999998</v>
      </c>
      <c r="D101">
        <v>1.048</v>
      </c>
      <c r="E101">
        <v>8.2290000000000002E-3</v>
      </c>
      <c r="F101" s="13">
        <v>6.0229999999999995E-4</v>
      </c>
      <c r="G101">
        <v>0.31969999999999998</v>
      </c>
      <c r="H101">
        <v>3.7530000000000001</v>
      </c>
      <c r="I101">
        <v>10001</v>
      </c>
      <c r="J101">
        <v>30000</v>
      </c>
    </row>
    <row r="102" spans="2:10" x14ac:dyDescent="0.25">
      <c r="B102" t="s">
        <v>513</v>
      </c>
      <c r="C102">
        <v>0.87980000000000003</v>
      </c>
      <c r="D102">
        <v>1.23</v>
      </c>
      <c r="E102">
        <v>1.332E-2</v>
      </c>
      <c r="F102" s="13">
        <v>8.9309999999999997E-4</v>
      </c>
      <c r="G102">
        <v>0.4002</v>
      </c>
      <c r="H102">
        <v>4.3860000000000001</v>
      </c>
      <c r="I102">
        <v>10001</v>
      </c>
      <c r="J102">
        <v>30000</v>
      </c>
    </row>
    <row r="103" spans="2:10" x14ac:dyDescent="0.25">
      <c r="B103" t="s">
        <v>514</v>
      </c>
      <c r="C103">
        <v>0.98540000000000005</v>
      </c>
      <c r="D103">
        <v>1.333</v>
      </c>
      <c r="E103">
        <v>1.478E-2</v>
      </c>
      <c r="F103">
        <v>1.0020000000000001E-3</v>
      </c>
      <c r="G103">
        <v>0.46929999999999999</v>
      </c>
      <c r="H103">
        <v>4.7969999999999997</v>
      </c>
      <c r="I103">
        <v>10001</v>
      </c>
      <c r="J103">
        <v>30000</v>
      </c>
    </row>
    <row r="104" spans="2:10" x14ac:dyDescent="0.25">
      <c r="B104" t="s">
        <v>515</v>
      </c>
      <c r="C104">
        <v>0.87119999999999997</v>
      </c>
      <c r="D104">
        <v>1.1599999999999999</v>
      </c>
      <c r="E104">
        <v>8.3890000000000006E-3</v>
      </c>
      <c r="F104" s="13">
        <v>9.2559999999999995E-4</v>
      </c>
      <c r="G104">
        <v>0.42320000000000002</v>
      </c>
      <c r="H104">
        <v>4.1630000000000003</v>
      </c>
      <c r="I104">
        <v>10001</v>
      </c>
      <c r="J104">
        <v>30000</v>
      </c>
    </row>
    <row r="105" spans="2:10" x14ac:dyDescent="0.25">
      <c r="B105" t="s">
        <v>516</v>
      </c>
      <c r="C105">
        <v>0.74580000000000002</v>
      </c>
      <c r="D105">
        <v>1.052</v>
      </c>
      <c r="E105">
        <v>6.9119999999999997E-3</v>
      </c>
      <c r="F105" s="13">
        <v>7.6789999999999996E-4</v>
      </c>
      <c r="G105">
        <v>0.33900000000000002</v>
      </c>
      <c r="H105">
        <v>3.738</v>
      </c>
      <c r="I105">
        <v>10001</v>
      </c>
      <c r="J105">
        <v>30000</v>
      </c>
    </row>
    <row r="106" spans="2:10" x14ac:dyDescent="0.25">
      <c r="B106" t="s">
        <v>517</v>
      </c>
      <c r="C106">
        <v>0.9022</v>
      </c>
      <c r="D106">
        <v>1.107</v>
      </c>
      <c r="E106">
        <v>9.2879999999999994E-3</v>
      </c>
      <c r="F106">
        <v>1.397E-3</v>
      </c>
      <c r="G106">
        <v>0.50509999999999999</v>
      </c>
      <c r="H106">
        <v>3.9569999999999999</v>
      </c>
      <c r="I106">
        <v>10001</v>
      </c>
      <c r="J106">
        <v>30000</v>
      </c>
    </row>
    <row r="107" spans="2:10" x14ac:dyDescent="0.25">
      <c r="B107" t="s">
        <v>518</v>
      </c>
      <c r="C107">
        <v>1.1539999999999999</v>
      </c>
      <c r="D107">
        <v>1.516</v>
      </c>
      <c r="E107">
        <v>9.2090000000000002E-3</v>
      </c>
      <c r="F107">
        <v>1.4220000000000001E-3</v>
      </c>
      <c r="G107">
        <v>0.58120000000000005</v>
      </c>
      <c r="H107">
        <v>5.4139999999999997</v>
      </c>
      <c r="I107">
        <v>10001</v>
      </c>
      <c r="J107">
        <v>30000</v>
      </c>
    </row>
    <row r="108" spans="2:10" x14ac:dyDescent="0.25">
      <c r="B108" t="s">
        <v>519</v>
      </c>
      <c r="C108">
        <v>0.73629999999999995</v>
      </c>
      <c r="D108">
        <v>1.0309999999999999</v>
      </c>
      <c r="E108">
        <v>8.9269999999999992E-3</v>
      </c>
      <c r="F108" s="13">
        <v>7.9639999999999995E-4</v>
      </c>
      <c r="G108">
        <v>0.33860000000000001</v>
      </c>
      <c r="H108">
        <v>3.6760000000000002</v>
      </c>
      <c r="I108">
        <v>10001</v>
      </c>
      <c r="J108">
        <v>30000</v>
      </c>
    </row>
    <row r="109" spans="2:10" x14ac:dyDescent="0.25">
      <c r="B109" t="s">
        <v>520</v>
      </c>
      <c r="C109">
        <v>0.90980000000000005</v>
      </c>
      <c r="D109">
        <v>1.2290000000000001</v>
      </c>
      <c r="E109">
        <v>1.0829999999999999E-2</v>
      </c>
      <c r="F109" s="13">
        <v>9.0580000000000001E-4</v>
      </c>
      <c r="G109">
        <v>0.43909999999999999</v>
      </c>
      <c r="H109">
        <v>4.3600000000000003</v>
      </c>
      <c r="I109">
        <v>10001</v>
      </c>
      <c r="J109">
        <v>30000</v>
      </c>
    </row>
    <row r="110" spans="2:10" x14ac:dyDescent="0.25">
      <c r="B110" t="s">
        <v>521</v>
      </c>
      <c r="C110">
        <v>0.89480000000000004</v>
      </c>
      <c r="D110">
        <v>1.2589999999999999</v>
      </c>
      <c r="E110">
        <v>1.5429999999999999E-2</v>
      </c>
      <c r="F110" s="13">
        <v>8.5019999999999996E-4</v>
      </c>
      <c r="G110">
        <v>0.40360000000000001</v>
      </c>
      <c r="H110">
        <v>4.524</v>
      </c>
      <c r="I110">
        <v>10001</v>
      </c>
      <c r="J110">
        <v>30000</v>
      </c>
    </row>
    <row r="111" spans="2:10" x14ac:dyDescent="0.25">
      <c r="B111" t="s">
        <v>522</v>
      </c>
      <c r="C111">
        <v>0.90029999999999999</v>
      </c>
      <c r="D111">
        <v>1.266</v>
      </c>
      <c r="E111">
        <v>1.468E-2</v>
      </c>
      <c r="F111" s="13">
        <v>8.922E-4</v>
      </c>
      <c r="G111">
        <v>0.41170000000000001</v>
      </c>
      <c r="H111">
        <v>4.444</v>
      </c>
      <c r="I111">
        <v>10001</v>
      </c>
      <c r="J111">
        <v>30000</v>
      </c>
    </row>
    <row r="112" spans="2:10" x14ac:dyDescent="0.25">
      <c r="B112" t="s">
        <v>523</v>
      </c>
      <c r="C112">
        <v>1.135</v>
      </c>
      <c r="D112">
        <v>1.486</v>
      </c>
      <c r="E112">
        <v>2.7980000000000001E-2</v>
      </c>
      <c r="F112">
        <v>1.343E-3</v>
      </c>
      <c r="G112">
        <v>0.56440000000000001</v>
      </c>
      <c r="H112">
        <v>5.3609999999999998</v>
      </c>
      <c r="I112">
        <v>10001</v>
      </c>
      <c r="J112">
        <v>30000</v>
      </c>
    </row>
    <row r="113" spans="2:10" x14ac:dyDescent="0.25">
      <c r="B113" t="s">
        <v>524</v>
      </c>
      <c r="C113">
        <v>1.01</v>
      </c>
      <c r="D113">
        <v>1.41</v>
      </c>
      <c r="E113">
        <v>1.374E-2</v>
      </c>
      <c r="F113">
        <v>1.0529999999999999E-3</v>
      </c>
      <c r="G113">
        <v>0.47210000000000002</v>
      </c>
      <c r="H113">
        <v>4.9969999999999999</v>
      </c>
      <c r="I113">
        <v>10001</v>
      </c>
      <c r="J113">
        <v>30000</v>
      </c>
    </row>
    <row r="114" spans="2:10" x14ac:dyDescent="0.25">
      <c r="B114" t="s">
        <v>525</v>
      </c>
      <c r="C114">
        <v>0.76910000000000001</v>
      </c>
      <c r="D114">
        <v>1.0860000000000001</v>
      </c>
      <c r="E114">
        <v>1.022E-2</v>
      </c>
      <c r="F114" s="13">
        <v>8.0119999999999996E-4</v>
      </c>
      <c r="G114">
        <v>0.34939999999999999</v>
      </c>
      <c r="H114">
        <v>3.831</v>
      </c>
      <c r="I114">
        <v>10001</v>
      </c>
      <c r="J114">
        <v>30000</v>
      </c>
    </row>
    <row r="115" spans="2:10" x14ac:dyDescent="0.25">
      <c r="B115" t="s">
        <v>526</v>
      </c>
      <c r="C115">
        <v>0.74719999999999998</v>
      </c>
      <c r="D115">
        <v>1.0669999999999999</v>
      </c>
      <c r="E115">
        <v>8.2559999999999995E-3</v>
      </c>
      <c r="F115" s="13">
        <v>7.3640000000000001E-4</v>
      </c>
      <c r="G115">
        <v>0.3407</v>
      </c>
      <c r="H115">
        <v>3.79</v>
      </c>
      <c r="I115">
        <v>10001</v>
      </c>
      <c r="J115">
        <v>30000</v>
      </c>
    </row>
    <row r="116" spans="2:10" x14ac:dyDescent="0.25">
      <c r="B116" t="s">
        <v>527</v>
      </c>
      <c r="C116">
        <v>1.1499999999999999</v>
      </c>
      <c r="D116">
        <v>1.49</v>
      </c>
      <c r="E116">
        <v>1.7180000000000001E-2</v>
      </c>
      <c r="F116">
        <v>1.1410000000000001E-3</v>
      </c>
      <c r="G116">
        <v>0.58079999999999998</v>
      </c>
      <c r="H116">
        <v>5.3310000000000004</v>
      </c>
      <c r="I116">
        <v>10001</v>
      </c>
      <c r="J116">
        <v>30000</v>
      </c>
    </row>
    <row r="117" spans="2:10" x14ac:dyDescent="0.25">
      <c r="B117" t="s">
        <v>528</v>
      </c>
      <c r="C117">
        <v>1.0860000000000001</v>
      </c>
      <c r="D117">
        <v>1.444</v>
      </c>
      <c r="E117">
        <v>1.4330000000000001E-2</v>
      </c>
      <c r="F117">
        <v>1.1609999999999999E-3</v>
      </c>
      <c r="G117">
        <v>0.53210000000000002</v>
      </c>
      <c r="H117">
        <v>5.125</v>
      </c>
      <c r="I117">
        <v>10001</v>
      </c>
      <c r="J117">
        <v>30000</v>
      </c>
    </row>
    <row r="118" spans="2:10" x14ac:dyDescent="0.25">
      <c r="B118" t="s">
        <v>529</v>
      </c>
      <c r="C118">
        <v>0.98850000000000005</v>
      </c>
      <c r="D118">
        <v>1.401</v>
      </c>
      <c r="E118">
        <v>1.506E-2</v>
      </c>
      <c r="F118" s="13">
        <v>9.3420000000000005E-4</v>
      </c>
      <c r="G118">
        <v>0.44779999999999998</v>
      </c>
      <c r="H118">
        <v>4.9089999999999998</v>
      </c>
      <c r="I118">
        <v>10001</v>
      </c>
      <c r="J118">
        <v>30000</v>
      </c>
    </row>
    <row r="119" spans="2:10" x14ac:dyDescent="0.25">
      <c r="B119" t="s">
        <v>530</v>
      </c>
      <c r="C119">
        <v>0.9466</v>
      </c>
      <c r="D119">
        <v>1.3320000000000001</v>
      </c>
      <c r="E119">
        <v>1.6160000000000001E-2</v>
      </c>
      <c r="F119" s="13">
        <v>8.8980000000000005E-4</v>
      </c>
      <c r="G119">
        <v>0.43219999999999997</v>
      </c>
      <c r="H119">
        <v>4.7699999999999996</v>
      </c>
      <c r="I119">
        <v>10001</v>
      </c>
      <c r="J119">
        <v>30000</v>
      </c>
    </row>
    <row r="120" spans="2:10" x14ac:dyDescent="0.25">
      <c r="B120" t="s">
        <v>531</v>
      </c>
      <c r="C120">
        <v>0.93210000000000004</v>
      </c>
      <c r="D120">
        <v>1.3069999999999999</v>
      </c>
      <c r="E120">
        <v>1.265E-2</v>
      </c>
      <c r="F120" s="13">
        <v>8.0610000000000002E-4</v>
      </c>
      <c r="G120">
        <v>0.42570000000000002</v>
      </c>
      <c r="H120">
        <v>4.5890000000000004</v>
      </c>
      <c r="I120">
        <v>10001</v>
      </c>
      <c r="J120">
        <v>30000</v>
      </c>
    </row>
    <row r="121" spans="2:10" x14ac:dyDescent="0.25">
      <c r="B121" t="s">
        <v>532</v>
      </c>
      <c r="C121">
        <v>1.0249999999999999</v>
      </c>
      <c r="D121">
        <v>1.3620000000000001</v>
      </c>
      <c r="E121">
        <v>2.137E-2</v>
      </c>
      <c r="F121">
        <v>1.1770000000000001E-3</v>
      </c>
      <c r="G121">
        <v>0.50329999999999997</v>
      </c>
      <c r="H121">
        <v>4.9180000000000001</v>
      </c>
      <c r="I121">
        <v>10001</v>
      </c>
      <c r="J121">
        <v>30000</v>
      </c>
    </row>
    <row r="122" spans="2:10" x14ac:dyDescent="0.25">
      <c r="B122" t="s">
        <v>533</v>
      </c>
      <c r="C122">
        <v>0.85040000000000004</v>
      </c>
      <c r="D122">
        <v>1.1579999999999999</v>
      </c>
      <c r="E122">
        <v>1.0290000000000001E-2</v>
      </c>
      <c r="F122" s="13">
        <v>8.631E-4</v>
      </c>
      <c r="G122">
        <v>0.4153</v>
      </c>
      <c r="H122">
        <v>4.0819999999999999</v>
      </c>
      <c r="I122">
        <v>10001</v>
      </c>
      <c r="J122">
        <v>30000</v>
      </c>
    </row>
    <row r="123" spans="2:10" x14ac:dyDescent="0.25">
      <c r="B123" t="s">
        <v>534</v>
      </c>
      <c r="C123">
        <v>1.032</v>
      </c>
      <c r="D123">
        <v>1.3440000000000001</v>
      </c>
      <c r="E123">
        <v>9.1470000000000006E-3</v>
      </c>
      <c r="F123">
        <v>1.2229999999999999E-3</v>
      </c>
      <c r="G123">
        <v>0.52569999999999995</v>
      </c>
      <c r="H123">
        <v>4.819</v>
      </c>
      <c r="I123">
        <v>10001</v>
      </c>
      <c r="J123">
        <v>30000</v>
      </c>
    </row>
    <row r="124" spans="2:10" x14ac:dyDescent="0.25">
      <c r="B124" t="s">
        <v>535</v>
      </c>
      <c r="C124">
        <v>0.95420000000000005</v>
      </c>
      <c r="D124">
        <v>1.3129999999999999</v>
      </c>
      <c r="E124">
        <v>2.0199999999999999E-2</v>
      </c>
      <c r="F124" s="13">
        <v>8.8940000000000004E-4</v>
      </c>
      <c r="G124">
        <v>0.44600000000000001</v>
      </c>
      <c r="H124">
        <v>4.6740000000000004</v>
      </c>
      <c r="I124">
        <v>10001</v>
      </c>
      <c r="J124">
        <v>30000</v>
      </c>
    </row>
    <row r="125" spans="2:10" x14ac:dyDescent="0.25">
      <c r="B125" t="s">
        <v>536</v>
      </c>
      <c r="C125">
        <v>1.022</v>
      </c>
      <c r="D125">
        <v>1.429</v>
      </c>
      <c r="E125">
        <v>1.353E-2</v>
      </c>
      <c r="F125">
        <v>1.026E-3</v>
      </c>
      <c r="G125">
        <v>0.46300000000000002</v>
      </c>
      <c r="H125">
        <v>5.0220000000000002</v>
      </c>
      <c r="I125">
        <v>10001</v>
      </c>
      <c r="J125">
        <v>30000</v>
      </c>
    </row>
    <row r="126" spans="2:10" x14ac:dyDescent="0.25">
      <c r="B126" t="s">
        <v>537</v>
      </c>
      <c r="C126">
        <v>0.54949999999999999</v>
      </c>
      <c r="D126">
        <v>0.78520000000000001</v>
      </c>
      <c r="E126">
        <v>5.424E-3</v>
      </c>
      <c r="F126" s="13">
        <v>6.3449999999999997E-4</v>
      </c>
      <c r="G126">
        <v>0.2482</v>
      </c>
      <c r="H126">
        <v>2.7679999999999998</v>
      </c>
      <c r="I126">
        <v>10001</v>
      </c>
      <c r="J126">
        <v>30000</v>
      </c>
    </row>
    <row r="127" spans="2:10" x14ac:dyDescent="0.25">
      <c r="B127" t="s">
        <v>538</v>
      </c>
      <c r="C127">
        <v>0.67420000000000002</v>
      </c>
      <c r="D127">
        <v>0.95830000000000004</v>
      </c>
      <c r="E127">
        <v>6.038E-3</v>
      </c>
      <c r="F127" s="13">
        <v>6.7210000000000002E-4</v>
      </c>
      <c r="G127">
        <v>0.30840000000000001</v>
      </c>
      <c r="H127">
        <v>3.3719999999999999</v>
      </c>
      <c r="I127">
        <v>10001</v>
      </c>
      <c r="J127">
        <v>30000</v>
      </c>
    </row>
    <row r="128" spans="2:10" x14ac:dyDescent="0.25">
      <c r="B128" t="s">
        <v>539</v>
      </c>
      <c r="C128">
        <v>0.62460000000000004</v>
      </c>
      <c r="D128">
        <v>0.8931</v>
      </c>
      <c r="E128">
        <v>6.1580000000000003E-3</v>
      </c>
      <c r="F128" s="13">
        <v>6.1289999999999999E-4</v>
      </c>
      <c r="G128">
        <v>0.28570000000000001</v>
      </c>
      <c r="H128">
        <v>3.194</v>
      </c>
      <c r="I128">
        <v>10001</v>
      </c>
      <c r="J128">
        <v>30000</v>
      </c>
    </row>
    <row r="129" spans="2:10" x14ac:dyDescent="0.25">
      <c r="B129" t="s">
        <v>540</v>
      </c>
      <c r="C129">
        <v>0.68100000000000005</v>
      </c>
      <c r="D129">
        <v>0.96909999999999996</v>
      </c>
      <c r="E129">
        <v>6.4000000000000003E-3</v>
      </c>
      <c r="F129" s="13">
        <v>6.6620000000000004E-4</v>
      </c>
      <c r="G129">
        <v>0.30580000000000002</v>
      </c>
      <c r="H129">
        <v>3.48</v>
      </c>
      <c r="I129">
        <v>10001</v>
      </c>
      <c r="J129">
        <v>30000</v>
      </c>
    </row>
    <row r="130" spans="2:10" x14ac:dyDescent="0.25">
      <c r="B130" t="s">
        <v>541</v>
      </c>
      <c r="C130">
        <v>0.78759999999999997</v>
      </c>
      <c r="D130">
        <v>1.107</v>
      </c>
      <c r="E130">
        <v>1.295E-2</v>
      </c>
      <c r="F130" s="13">
        <v>7.3010000000000002E-4</v>
      </c>
      <c r="G130">
        <v>0.36159999999999998</v>
      </c>
      <c r="H130">
        <v>3.919</v>
      </c>
      <c r="I130">
        <v>10001</v>
      </c>
      <c r="J130">
        <v>30000</v>
      </c>
    </row>
    <row r="131" spans="2:10" x14ac:dyDescent="0.25">
      <c r="B131" t="s">
        <v>542</v>
      </c>
      <c r="C131">
        <v>0.85629999999999995</v>
      </c>
      <c r="D131">
        <v>1.157</v>
      </c>
      <c r="E131">
        <v>1.6E-2</v>
      </c>
      <c r="F131" s="13">
        <v>8.7219999999999995E-4</v>
      </c>
      <c r="G131">
        <v>0.4083</v>
      </c>
      <c r="H131">
        <v>4.1159999999999997</v>
      </c>
      <c r="I131">
        <v>10001</v>
      </c>
      <c r="J131">
        <v>30000</v>
      </c>
    </row>
    <row r="132" spans="2:10" x14ac:dyDescent="0.25">
      <c r="B132" t="s">
        <v>543</v>
      </c>
      <c r="C132">
        <v>1.0529999999999999</v>
      </c>
      <c r="D132">
        <v>1.462</v>
      </c>
      <c r="E132">
        <v>2.538E-2</v>
      </c>
      <c r="F132">
        <v>1.126E-3</v>
      </c>
      <c r="G132">
        <v>0.48649999999999999</v>
      </c>
      <c r="H132">
        <v>5.2380000000000004</v>
      </c>
      <c r="I132">
        <v>10001</v>
      </c>
      <c r="J132">
        <v>30000</v>
      </c>
    </row>
    <row r="133" spans="2:10" x14ac:dyDescent="0.25">
      <c r="B133" t="s">
        <v>544</v>
      </c>
      <c r="C133">
        <v>1.038</v>
      </c>
      <c r="D133">
        <v>1.4690000000000001</v>
      </c>
      <c r="E133">
        <v>1.677E-2</v>
      </c>
      <c r="F133">
        <v>1.0809999999999999E-3</v>
      </c>
      <c r="G133">
        <v>0.47060000000000002</v>
      </c>
      <c r="H133">
        <v>5.3090000000000002</v>
      </c>
      <c r="I133">
        <v>10001</v>
      </c>
      <c r="J133">
        <v>30000</v>
      </c>
    </row>
    <row r="134" spans="2:10" x14ac:dyDescent="0.25">
      <c r="B134" t="s">
        <v>545</v>
      </c>
      <c r="C134">
        <v>1.899</v>
      </c>
      <c r="D134">
        <v>2.2770000000000001</v>
      </c>
      <c r="E134">
        <v>5.0319999999999997E-2</v>
      </c>
      <c r="F134">
        <v>2.689E-3</v>
      </c>
      <c r="G134">
        <v>1.075</v>
      </c>
      <c r="H134">
        <v>8.202</v>
      </c>
      <c r="I134">
        <v>10001</v>
      </c>
      <c r="J134">
        <v>30000</v>
      </c>
    </row>
    <row r="135" spans="2:10" x14ac:dyDescent="0.25">
      <c r="B135" t="s">
        <v>546</v>
      </c>
      <c r="C135">
        <v>1.675</v>
      </c>
      <c r="D135">
        <v>2.0779999999999998</v>
      </c>
      <c r="E135">
        <v>3.7039999999999997E-2</v>
      </c>
      <c r="F135">
        <v>1.9220000000000001E-3</v>
      </c>
      <c r="G135">
        <v>0.89910000000000001</v>
      </c>
      <c r="H135">
        <v>7.49</v>
      </c>
      <c r="I135">
        <v>10001</v>
      </c>
      <c r="J135">
        <v>30000</v>
      </c>
    </row>
    <row r="136" spans="2:10" x14ac:dyDescent="0.25">
      <c r="B136" t="s">
        <v>547</v>
      </c>
      <c r="C136">
        <v>0.98399999999999999</v>
      </c>
      <c r="D136">
        <v>1.3220000000000001</v>
      </c>
      <c r="E136">
        <v>1.2019999999999999E-2</v>
      </c>
      <c r="F136">
        <v>1.2279999999999999E-3</v>
      </c>
      <c r="G136">
        <v>0.47499999999999998</v>
      </c>
      <c r="H136">
        <v>4.6970000000000001</v>
      </c>
      <c r="I136">
        <v>10001</v>
      </c>
      <c r="J136">
        <v>30000</v>
      </c>
    </row>
    <row r="137" spans="2:10" x14ac:dyDescent="0.25">
      <c r="B137" t="s">
        <v>548</v>
      </c>
      <c r="C137">
        <v>0.96640000000000004</v>
      </c>
      <c r="D137">
        <v>1.1299999999999999</v>
      </c>
      <c r="E137">
        <v>2.4760000000000001E-2</v>
      </c>
      <c r="F137">
        <v>1.3370000000000001E-3</v>
      </c>
      <c r="G137">
        <v>0.55459999999999998</v>
      </c>
      <c r="H137">
        <v>4.0650000000000004</v>
      </c>
      <c r="I137">
        <v>10001</v>
      </c>
      <c r="J137">
        <v>30000</v>
      </c>
    </row>
    <row r="138" spans="2:10" x14ac:dyDescent="0.25">
      <c r="B138" t="s">
        <v>549</v>
      </c>
      <c r="C138">
        <v>0.7399</v>
      </c>
      <c r="D138">
        <v>1.014</v>
      </c>
      <c r="E138">
        <v>1.0279999999999999E-2</v>
      </c>
      <c r="F138" s="13">
        <v>8.3580000000000004E-4</v>
      </c>
      <c r="G138">
        <v>0.34839999999999999</v>
      </c>
      <c r="H138">
        <v>3.6179999999999999</v>
      </c>
      <c r="I138">
        <v>10001</v>
      </c>
      <c r="J138">
        <v>30000</v>
      </c>
    </row>
    <row r="139" spans="2:10" x14ac:dyDescent="0.25">
      <c r="B139" t="s">
        <v>550</v>
      </c>
      <c r="C139">
        <v>0.63219999999999998</v>
      </c>
      <c r="D139">
        <v>0.85489999999999999</v>
      </c>
      <c r="E139">
        <v>1.166E-2</v>
      </c>
      <c r="F139" s="13">
        <v>6.29E-4</v>
      </c>
      <c r="G139">
        <v>0.29880000000000001</v>
      </c>
      <c r="H139">
        <v>3.0409999999999999</v>
      </c>
      <c r="I139">
        <v>10001</v>
      </c>
      <c r="J139">
        <v>30000</v>
      </c>
    </row>
    <row r="140" spans="2:10" x14ac:dyDescent="0.25">
      <c r="B140" t="s">
        <v>551</v>
      </c>
      <c r="C140">
        <v>0.91890000000000005</v>
      </c>
      <c r="D140">
        <v>1.2929999999999999</v>
      </c>
      <c r="E140">
        <v>7.4729999999999996E-3</v>
      </c>
      <c r="F140" s="13">
        <v>9.1870000000000005E-4</v>
      </c>
      <c r="G140">
        <v>0.42830000000000001</v>
      </c>
      <c r="H140">
        <v>4.6420000000000003</v>
      </c>
      <c r="I140">
        <v>10001</v>
      </c>
      <c r="J140">
        <v>30000</v>
      </c>
    </row>
    <row r="141" spans="2:10" x14ac:dyDescent="0.25">
      <c r="B141" t="s">
        <v>552</v>
      </c>
      <c r="C141">
        <v>0.44669999999999999</v>
      </c>
      <c r="D141">
        <v>0.67169999999999996</v>
      </c>
      <c r="E141">
        <v>9.3640000000000008E-3</v>
      </c>
      <c r="F141" s="13">
        <v>4.7859999999999998E-4</v>
      </c>
      <c r="G141">
        <v>0.192</v>
      </c>
      <c r="H141">
        <v>2.3149999999999999</v>
      </c>
      <c r="I141">
        <v>10001</v>
      </c>
      <c r="J141">
        <v>30000</v>
      </c>
    </row>
    <row r="142" spans="2:10" x14ac:dyDescent="0.25">
      <c r="B142" t="s">
        <v>553</v>
      </c>
      <c r="C142">
        <v>1.7270000000000001</v>
      </c>
      <c r="D142">
        <v>2.0960000000000001</v>
      </c>
      <c r="E142">
        <v>4.1750000000000002E-2</v>
      </c>
      <c r="F142">
        <v>2.1210000000000001E-3</v>
      </c>
      <c r="G142">
        <v>0.96009999999999995</v>
      </c>
      <c r="H142">
        <v>7.516</v>
      </c>
      <c r="I142">
        <v>10001</v>
      </c>
      <c r="J142">
        <v>30000</v>
      </c>
    </row>
    <row r="143" spans="2:10" x14ac:dyDescent="0.25">
      <c r="B143" t="s">
        <v>554</v>
      </c>
      <c r="C143">
        <v>1.69</v>
      </c>
      <c r="D143">
        <v>2.0859999999999999</v>
      </c>
      <c r="E143">
        <v>3.8109999999999998E-2</v>
      </c>
      <c r="F143">
        <v>1.8550000000000001E-3</v>
      </c>
      <c r="G143">
        <v>0.91890000000000005</v>
      </c>
      <c r="H143">
        <v>7.4210000000000003</v>
      </c>
      <c r="I143">
        <v>10001</v>
      </c>
      <c r="J143">
        <v>30000</v>
      </c>
    </row>
    <row r="144" spans="2:10" x14ac:dyDescent="0.25">
      <c r="B144" t="s">
        <v>555</v>
      </c>
      <c r="C144">
        <v>0.71850000000000003</v>
      </c>
      <c r="D144">
        <v>1.044</v>
      </c>
      <c r="E144">
        <v>1.0789999999999999E-2</v>
      </c>
      <c r="F144" s="13">
        <v>7.1560000000000005E-4</v>
      </c>
      <c r="G144">
        <v>0.31659999999999999</v>
      </c>
      <c r="H144">
        <v>3.7450000000000001</v>
      </c>
      <c r="I144">
        <v>10001</v>
      </c>
      <c r="J144">
        <v>30000</v>
      </c>
    </row>
    <row r="145" spans="1:10" x14ac:dyDescent="0.25">
      <c r="B145" t="s">
        <v>556</v>
      </c>
      <c r="C145">
        <v>0.79369999999999996</v>
      </c>
      <c r="D145">
        <v>1.161</v>
      </c>
      <c r="E145">
        <v>8.9169999999999996E-3</v>
      </c>
      <c r="F145" s="13">
        <v>8.0179999999999997E-4</v>
      </c>
      <c r="G145">
        <v>0.34689999999999999</v>
      </c>
      <c r="H145">
        <v>4.1120000000000001</v>
      </c>
      <c r="I145">
        <v>10001</v>
      </c>
      <c r="J145">
        <v>30000</v>
      </c>
    </row>
    <row r="146" spans="1:10" x14ac:dyDescent="0.25">
      <c r="B146" t="s">
        <v>557</v>
      </c>
      <c r="C146">
        <v>0.82879999999999998</v>
      </c>
      <c r="D146">
        <v>1.1459999999999999</v>
      </c>
      <c r="E146">
        <v>1.993E-2</v>
      </c>
      <c r="F146" s="13">
        <v>8.1990000000000003E-4</v>
      </c>
      <c r="G146">
        <v>0.38500000000000001</v>
      </c>
      <c r="H146">
        <v>4.1429999999999998</v>
      </c>
      <c r="I146">
        <v>10001</v>
      </c>
      <c r="J146">
        <v>30000</v>
      </c>
    </row>
    <row r="147" spans="1:10" x14ac:dyDescent="0.25">
      <c r="B147" t="s">
        <v>558</v>
      </c>
      <c r="C147">
        <v>0.82979999999999998</v>
      </c>
      <c r="D147">
        <v>1.145</v>
      </c>
      <c r="E147">
        <v>1.9460000000000002E-2</v>
      </c>
      <c r="F147" s="13">
        <v>8.1800000000000004E-4</v>
      </c>
      <c r="G147">
        <v>0.38490000000000002</v>
      </c>
      <c r="H147">
        <v>4.085</v>
      </c>
      <c r="I147">
        <v>10001</v>
      </c>
      <c r="J147">
        <v>30000</v>
      </c>
    </row>
    <row r="148" spans="1:10" x14ac:dyDescent="0.25">
      <c r="B148" t="s">
        <v>559</v>
      </c>
      <c r="C148">
        <v>0.53029999999999999</v>
      </c>
      <c r="D148">
        <v>0.73429999999999995</v>
      </c>
      <c r="E148">
        <v>5.0159999999999996E-3</v>
      </c>
      <c r="F148" s="13">
        <v>5.2789999999999998E-4</v>
      </c>
      <c r="G148">
        <v>0.247</v>
      </c>
      <c r="H148">
        <v>2.6110000000000002</v>
      </c>
      <c r="I148">
        <v>10001</v>
      </c>
      <c r="J148">
        <v>30000</v>
      </c>
    </row>
    <row r="149" spans="1:10" x14ac:dyDescent="0.25">
      <c r="B149" t="s">
        <v>560</v>
      </c>
      <c r="C149">
        <v>0.6603</v>
      </c>
      <c r="D149">
        <v>0.92949999999999999</v>
      </c>
      <c r="E149">
        <v>5.7099999999999998E-3</v>
      </c>
      <c r="F149" s="13">
        <v>6.2920000000000001E-4</v>
      </c>
      <c r="G149">
        <v>0.30430000000000001</v>
      </c>
      <c r="H149">
        <v>3.32</v>
      </c>
      <c r="I149">
        <v>10001</v>
      </c>
      <c r="J149">
        <v>30000</v>
      </c>
    </row>
    <row r="150" spans="1:10" x14ac:dyDescent="0.25">
      <c r="B150" t="s">
        <v>710</v>
      </c>
      <c r="C150">
        <v>72.47</v>
      </c>
      <c r="D150">
        <v>11.54</v>
      </c>
      <c r="E150">
        <v>0.2215</v>
      </c>
      <c r="F150">
        <v>51.77</v>
      </c>
      <c r="G150">
        <v>71.83</v>
      </c>
      <c r="H150">
        <v>97.27</v>
      </c>
      <c r="I150">
        <v>10001</v>
      </c>
      <c r="J150">
        <v>30000</v>
      </c>
    </row>
    <row r="151" spans="1:10" x14ac:dyDescent="0.25">
      <c r="A151" t="s">
        <v>876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3"/>
  </sheetPr>
  <dimension ref="E3:V21"/>
  <sheetViews>
    <sheetView showGridLines="0" workbookViewId="0">
      <selection activeCell="I16" sqref="I16"/>
    </sheetView>
  </sheetViews>
  <sheetFormatPr defaultRowHeight="15" x14ac:dyDescent="0.25"/>
  <cols>
    <col min="5" max="5" width="17.7109375" customWidth="1"/>
    <col min="6" max="6" width="16.140625" customWidth="1"/>
    <col min="7" max="7" width="17.140625" customWidth="1"/>
    <col min="8" max="8" width="15.85546875" customWidth="1"/>
    <col min="22" max="24" width="0" hidden="1" customWidth="1"/>
  </cols>
  <sheetData>
    <row r="3" spans="5:22" x14ac:dyDescent="0.25">
      <c r="E3" t="s">
        <v>215</v>
      </c>
    </row>
    <row r="4" spans="5:22" ht="15.75" thickBot="1" x14ac:dyDescent="0.3"/>
    <row r="5" spans="5:22" ht="15.75" thickBot="1" x14ac:dyDescent="0.3">
      <c r="E5" s="274" t="s">
        <v>149</v>
      </c>
      <c r="F5" s="275"/>
      <c r="G5" s="275"/>
      <c r="H5" s="276"/>
    </row>
    <row r="6" spans="5:22" ht="45.75" thickBot="1" x14ac:dyDescent="0.3">
      <c r="E6" s="38" t="s">
        <v>154</v>
      </c>
      <c r="F6" s="34" t="s">
        <v>227</v>
      </c>
      <c r="G6" s="34" t="s">
        <v>146</v>
      </c>
      <c r="H6" s="35" t="s">
        <v>147</v>
      </c>
      <c r="V6" t="s">
        <v>227</v>
      </c>
    </row>
    <row r="7" spans="5:22" ht="30" x14ac:dyDescent="0.25">
      <c r="E7" s="36" t="s">
        <v>144</v>
      </c>
      <c r="F7" s="31">
        <v>-4.0599999999999996</v>
      </c>
      <c r="G7" s="31">
        <v>-4.2699999999999996</v>
      </c>
      <c r="H7" s="1">
        <v>-3.93</v>
      </c>
      <c r="V7" t="s">
        <v>146</v>
      </c>
    </row>
    <row r="8" spans="5:22" x14ac:dyDescent="0.25">
      <c r="E8" s="36" t="s">
        <v>148</v>
      </c>
      <c r="F8" s="31">
        <v>-3.02</v>
      </c>
      <c r="G8" s="31">
        <v>-3.23</v>
      </c>
      <c r="H8" s="1">
        <v>-2.89</v>
      </c>
      <c r="M8" t="s">
        <v>82</v>
      </c>
      <c r="V8" t="s">
        <v>147</v>
      </c>
    </row>
    <row r="9" spans="5:22" ht="15.75" thickBot="1" x14ac:dyDescent="0.3">
      <c r="E9" s="37" t="s">
        <v>145</v>
      </c>
      <c r="F9" s="32">
        <v>-2.13</v>
      </c>
      <c r="G9" s="32">
        <v>-2.34</v>
      </c>
      <c r="H9" s="2">
        <v>-2.0099999999999998</v>
      </c>
    </row>
    <row r="10" spans="5:22" ht="15.75" thickBot="1" x14ac:dyDescent="0.3"/>
    <row r="11" spans="5:22" ht="15.75" thickBot="1" x14ac:dyDescent="0.3">
      <c r="E11" s="274" t="s">
        <v>151</v>
      </c>
      <c r="F11" s="275"/>
      <c r="G11" s="275"/>
      <c r="H11" s="276"/>
    </row>
    <row r="12" spans="5:22" ht="45.75" thickBot="1" x14ac:dyDescent="0.3">
      <c r="E12" s="38" t="s">
        <v>154</v>
      </c>
      <c r="F12" s="34" t="str">
        <f>F6</f>
        <v>Pharmacological vs Control/Placebo</v>
      </c>
      <c r="G12" s="34" t="str">
        <f>G6</f>
        <v>Pharmacological vs Pharmacological</v>
      </c>
      <c r="H12" s="35" t="str">
        <f>H6</f>
        <v>Non-Pharmacological (Any)</v>
      </c>
    </row>
    <row r="13" spans="5:22" ht="30" x14ac:dyDescent="0.25">
      <c r="E13" s="36" t="str">
        <f>E7</f>
        <v>All Cause Mortality</v>
      </c>
      <c r="F13" s="31">
        <v>1.45</v>
      </c>
      <c r="G13" s="31">
        <v>1.48</v>
      </c>
      <c r="H13" s="1">
        <v>1.51</v>
      </c>
    </row>
    <row r="14" spans="5:22" x14ac:dyDescent="0.25">
      <c r="E14" s="36" t="str">
        <f>E8</f>
        <v>Semi-Objective</v>
      </c>
      <c r="F14" s="31">
        <v>1.85</v>
      </c>
      <c r="G14" s="31">
        <v>1.88</v>
      </c>
      <c r="H14" s="1">
        <v>1.91</v>
      </c>
    </row>
    <row r="15" spans="5:22" ht="15.75" thickBot="1" x14ac:dyDescent="0.3">
      <c r="E15" s="37" t="str">
        <f>E9</f>
        <v>Subjective</v>
      </c>
      <c r="F15" s="32">
        <v>1.58</v>
      </c>
      <c r="G15" s="32">
        <v>1.62</v>
      </c>
      <c r="H15" s="2">
        <v>1.64</v>
      </c>
    </row>
    <row r="16" spans="5:22" ht="15.75" thickBot="1" x14ac:dyDescent="0.3"/>
    <row r="17" spans="5:8" ht="15.75" thickBot="1" x14ac:dyDescent="0.3">
      <c r="E17" s="274" t="s">
        <v>150</v>
      </c>
      <c r="F17" s="275"/>
      <c r="G17" s="275"/>
      <c r="H17" s="276"/>
    </row>
    <row r="18" spans="5:8" ht="45.75" thickBot="1" x14ac:dyDescent="0.3">
      <c r="E18" s="38" t="s">
        <v>154</v>
      </c>
      <c r="F18" s="34" t="str">
        <f>F12</f>
        <v>Pharmacological vs Control/Placebo</v>
      </c>
      <c r="G18" s="34" t="str">
        <f>G12</f>
        <v>Pharmacological vs Pharmacological</v>
      </c>
      <c r="H18" s="35" t="str">
        <f>H12</f>
        <v>Non-Pharmacological (Any)</v>
      </c>
    </row>
    <row r="19" spans="5:8" ht="30" x14ac:dyDescent="0.25">
      <c r="E19" s="36" t="str">
        <f>E13</f>
        <v>All Cause Mortality</v>
      </c>
      <c r="F19" s="31">
        <f t="shared" ref="F19:H21" si="0">F13^2</f>
        <v>2.1025</v>
      </c>
      <c r="G19" s="31">
        <f t="shared" si="0"/>
        <v>2.1903999999999999</v>
      </c>
      <c r="H19" s="1">
        <f t="shared" si="0"/>
        <v>2.2801</v>
      </c>
    </row>
    <row r="20" spans="5:8" x14ac:dyDescent="0.25">
      <c r="E20" s="36" t="str">
        <f>E14</f>
        <v>Semi-Objective</v>
      </c>
      <c r="F20" s="31">
        <f t="shared" si="0"/>
        <v>3.4225000000000003</v>
      </c>
      <c r="G20" s="31">
        <f t="shared" si="0"/>
        <v>3.5343999999999998</v>
      </c>
      <c r="H20" s="1">
        <f t="shared" si="0"/>
        <v>3.6480999999999999</v>
      </c>
    </row>
    <row r="21" spans="5:8" ht="15.75" thickBot="1" x14ac:dyDescent="0.3">
      <c r="E21" s="37" t="str">
        <f>E15</f>
        <v>Subjective</v>
      </c>
      <c r="F21" s="32">
        <f t="shared" si="0"/>
        <v>2.4964000000000004</v>
      </c>
      <c r="G21" s="32">
        <f t="shared" si="0"/>
        <v>2.6244000000000005</v>
      </c>
      <c r="H21" s="2">
        <f t="shared" si="0"/>
        <v>2.6895999999999995</v>
      </c>
    </row>
  </sheetData>
  <mergeCells count="3">
    <mergeCell ref="E5:H5"/>
    <mergeCell ref="E11:H11"/>
    <mergeCell ref="E17:H17"/>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3"/>
  </sheetPr>
  <dimension ref="A1:AE52"/>
  <sheetViews>
    <sheetView showGridLines="0" showRowColHeaders="0" topLeftCell="A2" workbookViewId="0">
      <selection activeCell="A2" sqref="A2:P2"/>
    </sheetView>
  </sheetViews>
  <sheetFormatPr defaultRowHeight="15" x14ac:dyDescent="0.25"/>
  <sheetData>
    <row r="1" spans="1:31" x14ac:dyDescent="0.25">
      <c r="A1" s="19" t="s">
        <v>0</v>
      </c>
      <c r="B1" s="19" t="s">
        <v>1</v>
      </c>
      <c r="C1" s="19" t="s">
        <v>2</v>
      </c>
      <c r="D1" s="19" t="s">
        <v>3</v>
      </c>
      <c r="E1" s="19" t="s">
        <v>42</v>
      </c>
      <c r="F1" s="19" t="s">
        <v>43</v>
      </c>
      <c r="G1" s="19" t="s">
        <v>44</v>
      </c>
      <c r="H1" s="19" t="s">
        <v>45</v>
      </c>
      <c r="I1" s="19" t="s">
        <v>251</v>
      </c>
      <c r="J1" s="19" t="s">
        <v>252</v>
      </c>
      <c r="K1" s="19" t="s">
        <v>361</v>
      </c>
      <c r="L1" s="19" t="s">
        <v>362</v>
      </c>
      <c r="M1" s="19" t="s">
        <v>363</v>
      </c>
      <c r="N1" s="19" t="s">
        <v>364</v>
      </c>
      <c r="O1" s="19" t="s">
        <v>365</v>
      </c>
      <c r="P1" s="19" t="s">
        <v>366</v>
      </c>
      <c r="Q1" s="19" t="s">
        <v>367</v>
      </c>
      <c r="R1" s="19" t="s">
        <v>368</v>
      </c>
      <c r="S1" s="19" t="s">
        <v>369</v>
      </c>
      <c r="T1" s="16" t="s">
        <v>370</v>
      </c>
      <c r="U1" s="16" t="s">
        <v>4</v>
      </c>
      <c r="V1" s="16" t="s">
        <v>5</v>
      </c>
      <c r="W1" s="16" t="s">
        <v>46</v>
      </c>
      <c r="X1" s="16" t="s">
        <v>47</v>
      </c>
      <c r="Y1" t="s">
        <v>253</v>
      </c>
      <c r="Z1" t="s">
        <v>371</v>
      </c>
      <c r="AA1" t="s">
        <v>372</v>
      </c>
      <c r="AB1" t="s">
        <v>373</v>
      </c>
      <c r="AC1" t="s">
        <v>374</v>
      </c>
      <c r="AD1" t="s">
        <v>375</v>
      </c>
      <c r="AE1" t="s">
        <v>6</v>
      </c>
    </row>
    <row r="2" spans="1:31" x14ac:dyDescent="0.25">
      <c r="A2" s="19">
        <v>47</v>
      </c>
      <c r="B2" s="19">
        <v>68</v>
      </c>
      <c r="C2" s="19">
        <v>32</v>
      </c>
      <c r="D2" s="19">
        <v>68</v>
      </c>
      <c r="E2" s="19" t="s">
        <v>376</v>
      </c>
      <c r="F2" s="19">
        <v>1</v>
      </c>
      <c r="G2" s="19" t="s">
        <v>376</v>
      </c>
      <c r="H2" s="19">
        <v>1</v>
      </c>
      <c r="I2" s="19" t="s">
        <v>376</v>
      </c>
      <c r="J2" s="19">
        <v>1</v>
      </c>
      <c r="K2" s="19" t="s">
        <v>376</v>
      </c>
      <c r="L2" s="19">
        <v>1</v>
      </c>
      <c r="M2" s="19" t="s">
        <v>376</v>
      </c>
      <c r="N2" s="19">
        <v>1</v>
      </c>
      <c r="O2" s="19" t="s">
        <v>376</v>
      </c>
      <c r="P2" s="19">
        <v>1</v>
      </c>
      <c r="Q2" s="19" t="s">
        <v>376</v>
      </c>
      <c r="R2" s="19">
        <v>1</v>
      </c>
      <c r="S2" s="19" t="s">
        <v>376</v>
      </c>
      <c r="T2" s="16">
        <v>1</v>
      </c>
      <c r="U2" s="16">
        <v>2</v>
      </c>
      <c r="V2" s="16">
        <v>10</v>
      </c>
      <c r="W2" s="16" t="s">
        <v>376</v>
      </c>
      <c r="X2" s="16" t="s">
        <v>376</v>
      </c>
      <c r="Y2" t="s">
        <v>376</v>
      </c>
      <c r="Z2" t="s">
        <v>376</v>
      </c>
      <c r="AA2" t="s">
        <v>376</v>
      </c>
      <c r="AB2" t="s">
        <v>376</v>
      </c>
      <c r="AC2" t="s">
        <v>376</v>
      </c>
      <c r="AD2" t="s">
        <v>376</v>
      </c>
      <c r="AE2">
        <v>2</v>
      </c>
    </row>
    <row r="3" spans="1:31" x14ac:dyDescent="0.25">
      <c r="A3" s="19">
        <v>35</v>
      </c>
      <c r="B3" s="19">
        <v>37</v>
      </c>
      <c r="C3" s="19">
        <v>35</v>
      </c>
      <c r="D3" s="19">
        <v>36</v>
      </c>
      <c r="E3" s="19" t="s">
        <v>376</v>
      </c>
      <c r="F3" s="19">
        <v>1</v>
      </c>
      <c r="G3" s="19" t="s">
        <v>376</v>
      </c>
      <c r="H3" s="19">
        <v>1</v>
      </c>
      <c r="I3" s="19" t="s">
        <v>376</v>
      </c>
      <c r="J3" s="19">
        <v>1</v>
      </c>
      <c r="K3" s="19" t="s">
        <v>376</v>
      </c>
      <c r="L3" s="19">
        <v>1</v>
      </c>
      <c r="M3" s="19" t="s">
        <v>376</v>
      </c>
      <c r="N3" s="19">
        <v>1</v>
      </c>
      <c r="O3" s="19" t="s">
        <v>376</v>
      </c>
      <c r="P3" s="19">
        <v>1</v>
      </c>
      <c r="Q3" s="19" t="s">
        <v>376</v>
      </c>
      <c r="R3" s="19">
        <v>1</v>
      </c>
      <c r="S3" s="19" t="s">
        <v>376</v>
      </c>
      <c r="T3" s="16">
        <v>1</v>
      </c>
      <c r="U3" s="16">
        <v>1</v>
      </c>
      <c r="V3" s="16">
        <v>4</v>
      </c>
      <c r="W3" s="16" t="s">
        <v>376</v>
      </c>
      <c r="X3" s="16" t="s">
        <v>376</v>
      </c>
      <c r="Y3" t="s">
        <v>376</v>
      </c>
      <c r="Z3" t="s">
        <v>376</v>
      </c>
      <c r="AA3" t="s">
        <v>376</v>
      </c>
      <c r="AB3" t="s">
        <v>376</v>
      </c>
      <c r="AC3" t="s">
        <v>376</v>
      </c>
      <c r="AD3" t="s">
        <v>376</v>
      </c>
      <c r="AE3">
        <v>2</v>
      </c>
    </row>
    <row r="4" spans="1:31" x14ac:dyDescent="0.25">
      <c r="A4" s="19">
        <v>21</v>
      </c>
      <c r="B4" s="19">
        <v>34</v>
      </c>
      <c r="C4" s="19">
        <v>30</v>
      </c>
      <c r="D4" s="19">
        <v>36</v>
      </c>
      <c r="E4" s="19" t="s">
        <v>376</v>
      </c>
      <c r="F4" s="19">
        <v>1</v>
      </c>
      <c r="G4" s="19" t="s">
        <v>376</v>
      </c>
      <c r="H4" s="19">
        <v>1</v>
      </c>
      <c r="I4" s="19" t="s">
        <v>376</v>
      </c>
      <c r="J4" s="19">
        <v>1</v>
      </c>
      <c r="K4" s="19" t="s">
        <v>376</v>
      </c>
      <c r="L4" s="19">
        <v>1</v>
      </c>
      <c r="M4" s="19" t="s">
        <v>376</v>
      </c>
      <c r="N4" s="19">
        <v>1</v>
      </c>
      <c r="O4" s="19" t="s">
        <v>376</v>
      </c>
      <c r="P4" s="19">
        <v>1</v>
      </c>
      <c r="Q4" s="19" t="s">
        <v>376</v>
      </c>
      <c r="R4" s="19">
        <v>1</v>
      </c>
      <c r="S4" s="19" t="s">
        <v>376</v>
      </c>
      <c r="T4" s="16">
        <v>1</v>
      </c>
      <c r="U4" s="16">
        <v>2</v>
      </c>
      <c r="V4" s="16">
        <v>3</v>
      </c>
      <c r="W4" s="16" t="s">
        <v>376</v>
      </c>
      <c r="X4" s="16" t="s">
        <v>376</v>
      </c>
      <c r="Y4" t="s">
        <v>376</v>
      </c>
      <c r="Z4" t="s">
        <v>376</v>
      </c>
      <c r="AA4" t="s">
        <v>376</v>
      </c>
      <c r="AB4" t="s">
        <v>376</v>
      </c>
      <c r="AC4" t="s">
        <v>376</v>
      </c>
      <c r="AD4" t="s">
        <v>376</v>
      </c>
      <c r="AE4">
        <v>2</v>
      </c>
    </row>
    <row r="5" spans="1:31" x14ac:dyDescent="0.25">
      <c r="A5" s="19">
        <v>31</v>
      </c>
      <c r="B5" s="19">
        <v>50</v>
      </c>
      <c r="C5" s="19">
        <v>46</v>
      </c>
      <c r="D5" s="19">
        <v>52</v>
      </c>
      <c r="E5" s="19" t="s">
        <v>376</v>
      </c>
      <c r="F5" s="19">
        <v>1</v>
      </c>
      <c r="G5" s="19" t="s">
        <v>376</v>
      </c>
      <c r="H5" s="19">
        <v>1</v>
      </c>
      <c r="I5" s="19" t="s">
        <v>376</v>
      </c>
      <c r="J5" s="19">
        <v>1</v>
      </c>
      <c r="K5" s="19" t="s">
        <v>376</v>
      </c>
      <c r="L5" s="19">
        <v>1</v>
      </c>
      <c r="M5" s="19" t="s">
        <v>376</v>
      </c>
      <c r="N5" s="19">
        <v>1</v>
      </c>
      <c r="O5" s="19" t="s">
        <v>376</v>
      </c>
      <c r="P5" s="19">
        <v>1</v>
      </c>
      <c r="Q5" s="19" t="s">
        <v>376</v>
      </c>
      <c r="R5" s="19">
        <v>1</v>
      </c>
      <c r="S5" s="19" t="s">
        <v>376</v>
      </c>
      <c r="T5" s="16">
        <v>1</v>
      </c>
      <c r="U5" s="16">
        <v>2</v>
      </c>
      <c r="V5" s="16">
        <v>3</v>
      </c>
      <c r="W5" s="16" t="s">
        <v>376</v>
      </c>
      <c r="X5" s="16" t="s">
        <v>376</v>
      </c>
      <c r="Y5" t="s">
        <v>376</v>
      </c>
      <c r="Z5" t="s">
        <v>376</v>
      </c>
      <c r="AA5" t="s">
        <v>376</v>
      </c>
      <c r="AB5" t="s">
        <v>376</v>
      </c>
      <c r="AC5" t="s">
        <v>376</v>
      </c>
      <c r="AD5" t="s">
        <v>376</v>
      </c>
      <c r="AE5">
        <v>2</v>
      </c>
    </row>
    <row r="6" spans="1:31" x14ac:dyDescent="0.25">
      <c r="A6" s="19">
        <v>20</v>
      </c>
      <c r="B6" s="19">
        <v>32</v>
      </c>
      <c r="C6" s="19">
        <v>27</v>
      </c>
      <c r="D6" s="19">
        <v>32</v>
      </c>
      <c r="E6" s="19" t="s">
        <v>376</v>
      </c>
      <c r="F6" s="19">
        <v>1</v>
      </c>
      <c r="G6" s="19" t="s">
        <v>376</v>
      </c>
      <c r="H6" s="19">
        <v>1</v>
      </c>
      <c r="I6" s="19" t="s">
        <v>376</v>
      </c>
      <c r="J6" s="19">
        <v>1</v>
      </c>
      <c r="K6" s="19" t="s">
        <v>376</v>
      </c>
      <c r="L6" s="19">
        <v>1</v>
      </c>
      <c r="M6" s="19" t="s">
        <v>376</v>
      </c>
      <c r="N6" s="19">
        <v>1</v>
      </c>
      <c r="O6" s="19" t="s">
        <v>376</v>
      </c>
      <c r="P6" s="19">
        <v>1</v>
      </c>
      <c r="Q6" s="19" t="s">
        <v>376</v>
      </c>
      <c r="R6" s="19">
        <v>1</v>
      </c>
      <c r="S6" s="19" t="s">
        <v>376</v>
      </c>
      <c r="T6" s="16">
        <v>1</v>
      </c>
      <c r="U6" s="16">
        <v>2</v>
      </c>
      <c r="V6" s="16">
        <v>3</v>
      </c>
      <c r="W6" s="16" t="s">
        <v>376</v>
      </c>
      <c r="X6" s="16" t="s">
        <v>376</v>
      </c>
      <c r="Y6" t="s">
        <v>376</v>
      </c>
      <c r="Z6" t="s">
        <v>376</v>
      </c>
      <c r="AA6" t="s">
        <v>376</v>
      </c>
      <c r="AB6" t="s">
        <v>376</v>
      </c>
      <c r="AC6" t="s">
        <v>376</v>
      </c>
      <c r="AD6" t="s">
        <v>376</v>
      </c>
      <c r="AE6">
        <v>2</v>
      </c>
    </row>
    <row r="7" spans="1:31" x14ac:dyDescent="0.25">
      <c r="A7" s="19">
        <v>19</v>
      </c>
      <c r="B7" s="19">
        <v>32</v>
      </c>
      <c r="C7" s="19">
        <v>23</v>
      </c>
      <c r="D7" s="19">
        <v>31</v>
      </c>
      <c r="E7" s="19" t="s">
        <v>376</v>
      </c>
      <c r="F7" s="19">
        <v>1</v>
      </c>
      <c r="G7" s="19" t="s">
        <v>376</v>
      </c>
      <c r="H7" s="19">
        <v>1</v>
      </c>
      <c r="I7" s="19" t="s">
        <v>376</v>
      </c>
      <c r="J7" s="19">
        <v>1</v>
      </c>
      <c r="K7" s="19" t="s">
        <v>376</v>
      </c>
      <c r="L7" s="19">
        <v>1</v>
      </c>
      <c r="M7" s="19" t="s">
        <v>376</v>
      </c>
      <c r="N7" s="19">
        <v>1</v>
      </c>
      <c r="O7" s="19" t="s">
        <v>376</v>
      </c>
      <c r="P7" s="19">
        <v>1</v>
      </c>
      <c r="Q7" s="19" t="s">
        <v>376</v>
      </c>
      <c r="R7" s="19">
        <v>1</v>
      </c>
      <c r="S7" s="19" t="s">
        <v>376</v>
      </c>
      <c r="T7" s="16">
        <v>1</v>
      </c>
      <c r="U7" s="16">
        <v>2</v>
      </c>
      <c r="V7" s="16">
        <v>8</v>
      </c>
      <c r="W7" s="16" t="s">
        <v>376</v>
      </c>
      <c r="X7" s="16" t="s">
        <v>376</v>
      </c>
      <c r="Y7" t="s">
        <v>376</v>
      </c>
      <c r="Z7" t="s">
        <v>376</v>
      </c>
      <c r="AA7" t="s">
        <v>376</v>
      </c>
      <c r="AB7" t="s">
        <v>376</v>
      </c>
      <c r="AC7" t="s">
        <v>376</v>
      </c>
      <c r="AD7" t="s">
        <v>376</v>
      </c>
      <c r="AE7">
        <v>2</v>
      </c>
    </row>
    <row r="8" spans="1:31" x14ac:dyDescent="0.25">
      <c r="A8" s="19">
        <v>22</v>
      </c>
      <c r="B8" s="19">
        <v>35</v>
      </c>
      <c r="C8" s="19">
        <v>30</v>
      </c>
      <c r="D8" s="19">
        <v>35</v>
      </c>
      <c r="E8" s="19" t="s">
        <v>376</v>
      </c>
      <c r="F8" s="19">
        <v>1</v>
      </c>
      <c r="G8" s="19" t="s">
        <v>376</v>
      </c>
      <c r="H8" s="19">
        <v>1</v>
      </c>
      <c r="I8" s="19" t="s">
        <v>376</v>
      </c>
      <c r="J8" s="19">
        <v>1</v>
      </c>
      <c r="K8" s="19" t="s">
        <v>376</v>
      </c>
      <c r="L8" s="19">
        <v>1</v>
      </c>
      <c r="M8" s="19" t="s">
        <v>376</v>
      </c>
      <c r="N8" s="19">
        <v>1</v>
      </c>
      <c r="O8" s="19" t="s">
        <v>376</v>
      </c>
      <c r="P8" s="19">
        <v>1</v>
      </c>
      <c r="Q8" s="19" t="s">
        <v>376</v>
      </c>
      <c r="R8" s="19">
        <v>1</v>
      </c>
      <c r="S8" s="19" t="s">
        <v>376</v>
      </c>
      <c r="T8" s="16">
        <v>1</v>
      </c>
      <c r="U8" s="16">
        <v>2</v>
      </c>
      <c r="V8" s="16">
        <v>5</v>
      </c>
      <c r="W8" s="16" t="s">
        <v>376</v>
      </c>
      <c r="X8" s="16" t="s">
        <v>376</v>
      </c>
      <c r="Y8" t="s">
        <v>376</v>
      </c>
      <c r="Z8" t="s">
        <v>376</v>
      </c>
      <c r="AA8" t="s">
        <v>376</v>
      </c>
      <c r="AB8" t="s">
        <v>376</v>
      </c>
      <c r="AC8" t="s">
        <v>376</v>
      </c>
      <c r="AD8" t="s">
        <v>376</v>
      </c>
      <c r="AE8">
        <v>2</v>
      </c>
    </row>
    <row r="9" spans="1:31" x14ac:dyDescent="0.25">
      <c r="A9" s="19">
        <v>107</v>
      </c>
      <c r="B9" s="19">
        <v>135</v>
      </c>
      <c r="C9" s="19">
        <v>95</v>
      </c>
      <c r="D9" s="19">
        <v>270</v>
      </c>
      <c r="E9" s="19" t="s">
        <v>376</v>
      </c>
      <c r="F9" s="19">
        <v>1</v>
      </c>
      <c r="G9" s="19" t="s">
        <v>376</v>
      </c>
      <c r="H9" s="19">
        <v>1</v>
      </c>
      <c r="I9" s="19" t="s">
        <v>376</v>
      </c>
      <c r="J9" s="19">
        <v>1</v>
      </c>
      <c r="K9" s="19" t="s">
        <v>376</v>
      </c>
      <c r="L9" s="19">
        <v>1</v>
      </c>
      <c r="M9" s="19" t="s">
        <v>376</v>
      </c>
      <c r="N9" s="19">
        <v>1</v>
      </c>
      <c r="O9" s="19" t="s">
        <v>376</v>
      </c>
      <c r="P9" s="19">
        <v>1</v>
      </c>
      <c r="Q9" s="19" t="s">
        <v>376</v>
      </c>
      <c r="R9" s="19">
        <v>1</v>
      </c>
      <c r="S9" s="19" t="s">
        <v>376</v>
      </c>
      <c r="T9" s="16">
        <v>1</v>
      </c>
      <c r="U9" s="16">
        <v>1</v>
      </c>
      <c r="V9" s="16">
        <v>10</v>
      </c>
      <c r="W9" s="16" t="s">
        <v>376</v>
      </c>
      <c r="X9" s="16" t="s">
        <v>376</v>
      </c>
      <c r="Y9" t="s">
        <v>376</v>
      </c>
      <c r="Z9" t="s">
        <v>376</v>
      </c>
      <c r="AA9" t="s">
        <v>376</v>
      </c>
      <c r="AB9" t="s">
        <v>376</v>
      </c>
      <c r="AC9" t="s">
        <v>376</v>
      </c>
      <c r="AD9" t="s">
        <v>376</v>
      </c>
      <c r="AE9">
        <v>2</v>
      </c>
    </row>
    <row r="10" spans="1:31" x14ac:dyDescent="0.25">
      <c r="A10" s="19">
        <v>32</v>
      </c>
      <c r="B10" s="19">
        <v>56</v>
      </c>
      <c r="C10" s="19">
        <v>27</v>
      </c>
      <c r="D10" s="19">
        <v>55</v>
      </c>
      <c r="E10" s="19" t="s">
        <v>376</v>
      </c>
      <c r="F10" s="19">
        <v>1</v>
      </c>
      <c r="G10" s="19" t="s">
        <v>376</v>
      </c>
      <c r="H10" s="19">
        <v>1</v>
      </c>
      <c r="I10" s="19" t="s">
        <v>376</v>
      </c>
      <c r="J10" s="19">
        <v>1</v>
      </c>
      <c r="K10" s="19" t="s">
        <v>376</v>
      </c>
      <c r="L10" s="19">
        <v>1</v>
      </c>
      <c r="M10" s="19" t="s">
        <v>376</v>
      </c>
      <c r="N10" s="19">
        <v>1</v>
      </c>
      <c r="O10" s="19" t="s">
        <v>376</v>
      </c>
      <c r="P10" s="19">
        <v>1</v>
      </c>
      <c r="Q10" s="19" t="s">
        <v>376</v>
      </c>
      <c r="R10" s="19">
        <v>1</v>
      </c>
      <c r="S10" s="19" t="s">
        <v>376</v>
      </c>
      <c r="T10" s="16">
        <v>1</v>
      </c>
      <c r="U10" s="16">
        <v>2</v>
      </c>
      <c r="V10" s="16">
        <v>7</v>
      </c>
      <c r="W10" s="16" t="s">
        <v>376</v>
      </c>
      <c r="X10" s="16" t="s">
        <v>376</v>
      </c>
      <c r="Y10" t="s">
        <v>376</v>
      </c>
      <c r="Z10" t="s">
        <v>376</v>
      </c>
      <c r="AA10" t="s">
        <v>376</v>
      </c>
      <c r="AB10" t="s">
        <v>376</v>
      </c>
      <c r="AC10" t="s">
        <v>376</v>
      </c>
      <c r="AD10" t="s">
        <v>376</v>
      </c>
      <c r="AE10">
        <v>2</v>
      </c>
    </row>
    <row r="11" spans="1:31" x14ac:dyDescent="0.25">
      <c r="A11" s="19">
        <v>55</v>
      </c>
      <c r="B11" s="19">
        <v>73</v>
      </c>
      <c r="C11" s="19">
        <v>46</v>
      </c>
      <c r="D11" s="19">
        <v>71</v>
      </c>
      <c r="E11" s="19" t="s">
        <v>376</v>
      </c>
      <c r="F11" s="19">
        <v>1</v>
      </c>
      <c r="G11" s="19" t="s">
        <v>376</v>
      </c>
      <c r="H11" s="19">
        <v>1</v>
      </c>
      <c r="I11" s="19" t="s">
        <v>376</v>
      </c>
      <c r="J11" s="19">
        <v>1</v>
      </c>
      <c r="K11" s="19" t="s">
        <v>376</v>
      </c>
      <c r="L11" s="19">
        <v>1</v>
      </c>
      <c r="M11" s="19" t="s">
        <v>376</v>
      </c>
      <c r="N11" s="19">
        <v>1</v>
      </c>
      <c r="O11" s="19" t="s">
        <v>376</v>
      </c>
      <c r="P11" s="19">
        <v>1</v>
      </c>
      <c r="Q11" s="19" t="s">
        <v>376</v>
      </c>
      <c r="R11" s="19">
        <v>1</v>
      </c>
      <c r="S11" s="19" t="s">
        <v>376</v>
      </c>
      <c r="T11" s="16">
        <v>1</v>
      </c>
      <c r="U11" s="16">
        <v>1</v>
      </c>
      <c r="V11" s="16">
        <v>2</v>
      </c>
      <c r="W11" s="16" t="s">
        <v>376</v>
      </c>
      <c r="X11" s="16" t="s">
        <v>376</v>
      </c>
      <c r="Y11" t="s">
        <v>376</v>
      </c>
      <c r="Z11" t="s">
        <v>376</v>
      </c>
      <c r="AA11" t="s">
        <v>376</v>
      </c>
      <c r="AB11" t="s">
        <v>376</v>
      </c>
      <c r="AC11" t="s">
        <v>376</v>
      </c>
      <c r="AD11" t="s">
        <v>376</v>
      </c>
      <c r="AE11">
        <v>2</v>
      </c>
    </row>
    <row r="12" spans="1:31" x14ac:dyDescent="0.25">
      <c r="A12" s="19">
        <v>7</v>
      </c>
      <c r="B12" s="19">
        <v>9</v>
      </c>
      <c r="C12" s="19">
        <v>10</v>
      </c>
      <c r="D12" s="19">
        <v>12</v>
      </c>
      <c r="E12" s="19" t="s">
        <v>376</v>
      </c>
      <c r="F12" s="19">
        <v>1</v>
      </c>
      <c r="G12" s="19" t="s">
        <v>376</v>
      </c>
      <c r="H12" s="19">
        <v>1</v>
      </c>
      <c r="I12" s="19" t="s">
        <v>376</v>
      </c>
      <c r="J12" s="19">
        <v>1</v>
      </c>
      <c r="K12" s="19" t="s">
        <v>376</v>
      </c>
      <c r="L12" s="19">
        <v>1</v>
      </c>
      <c r="M12" s="19" t="s">
        <v>376</v>
      </c>
      <c r="N12" s="19">
        <v>1</v>
      </c>
      <c r="O12" s="19" t="s">
        <v>376</v>
      </c>
      <c r="P12" s="19">
        <v>1</v>
      </c>
      <c r="Q12" s="19" t="s">
        <v>376</v>
      </c>
      <c r="R12" s="19">
        <v>1</v>
      </c>
      <c r="S12" s="19" t="s">
        <v>376</v>
      </c>
      <c r="T12" s="16">
        <v>1</v>
      </c>
      <c r="U12" s="16">
        <v>1</v>
      </c>
      <c r="V12" s="16">
        <v>3</v>
      </c>
      <c r="W12" s="16" t="s">
        <v>376</v>
      </c>
      <c r="X12" s="16" t="s">
        <v>376</v>
      </c>
      <c r="Y12" t="s">
        <v>376</v>
      </c>
      <c r="Z12" t="s">
        <v>376</v>
      </c>
      <c r="AA12" t="s">
        <v>376</v>
      </c>
      <c r="AB12" t="s">
        <v>376</v>
      </c>
      <c r="AC12" t="s">
        <v>376</v>
      </c>
      <c r="AD12" t="s">
        <v>376</v>
      </c>
      <c r="AE12">
        <v>2</v>
      </c>
    </row>
    <row r="13" spans="1:31" x14ac:dyDescent="0.25">
      <c r="A13" s="19">
        <v>38</v>
      </c>
      <c r="B13" s="19">
        <v>80</v>
      </c>
      <c r="C13" s="19">
        <v>45</v>
      </c>
      <c r="D13" s="19">
        <v>80</v>
      </c>
      <c r="E13" s="19" t="s">
        <v>376</v>
      </c>
      <c r="F13" s="19">
        <v>1</v>
      </c>
      <c r="G13" s="19" t="s">
        <v>376</v>
      </c>
      <c r="H13" s="19">
        <v>1</v>
      </c>
      <c r="I13" s="19" t="s">
        <v>376</v>
      </c>
      <c r="J13" s="19">
        <v>1</v>
      </c>
      <c r="K13" s="19" t="s">
        <v>376</v>
      </c>
      <c r="L13" s="19">
        <v>1</v>
      </c>
      <c r="M13" s="19" t="s">
        <v>376</v>
      </c>
      <c r="N13" s="19">
        <v>1</v>
      </c>
      <c r="O13" s="19" t="s">
        <v>376</v>
      </c>
      <c r="P13" s="19">
        <v>1</v>
      </c>
      <c r="Q13" s="19" t="s">
        <v>376</v>
      </c>
      <c r="R13" s="19">
        <v>1</v>
      </c>
      <c r="S13" s="19" t="s">
        <v>376</v>
      </c>
      <c r="T13" s="16">
        <v>1</v>
      </c>
      <c r="U13" s="16">
        <v>3</v>
      </c>
      <c r="V13" s="16">
        <v>4</v>
      </c>
      <c r="W13" s="16" t="s">
        <v>376</v>
      </c>
      <c r="X13" s="16" t="s">
        <v>376</v>
      </c>
      <c r="Y13" t="s">
        <v>376</v>
      </c>
      <c r="Z13" t="s">
        <v>376</v>
      </c>
      <c r="AA13" t="s">
        <v>376</v>
      </c>
      <c r="AB13" t="s">
        <v>376</v>
      </c>
      <c r="AC13" t="s">
        <v>376</v>
      </c>
      <c r="AD13" t="s">
        <v>376</v>
      </c>
      <c r="AE13">
        <v>2</v>
      </c>
    </row>
    <row r="14" spans="1:31" x14ac:dyDescent="0.25">
      <c r="A14" s="19">
        <v>11</v>
      </c>
      <c r="B14" s="19">
        <v>14</v>
      </c>
      <c r="C14" s="19">
        <v>10</v>
      </c>
      <c r="D14" s="19">
        <v>18</v>
      </c>
      <c r="E14" s="19" t="s">
        <v>376</v>
      </c>
      <c r="F14" s="19">
        <v>1</v>
      </c>
      <c r="G14" s="19" t="s">
        <v>376</v>
      </c>
      <c r="H14" s="19">
        <v>1</v>
      </c>
      <c r="I14" s="19" t="s">
        <v>376</v>
      </c>
      <c r="J14" s="19">
        <v>1</v>
      </c>
      <c r="K14" s="19" t="s">
        <v>376</v>
      </c>
      <c r="L14" s="19">
        <v>1</v>
      </c>
      <c r="M14" s="19" t="s">
        <v>376</v>
      </c>
      <c r="N14" s="19">
        <v>1</v>
      </c>
      <c r="O14" s="19" t="s">
        <v>376</v>
      </c>
      <c r="P14" s="19">
        <v>1</v>
      </c>
      <c r="Q14" s="19" t="s">
        <v>376</v>
      </c>
      <c r="R14" s="19">
        <v>1</v>
      </c>
      <c r="S14" s="19" t="s">
        <v>376</v>
      </c>
      <c r="T14" s="16">
        <v>1</v>
      </c>
      <c r="U14" s="16">
        <v>1</v>
      </c>
      <c r="V14" s="16">
        <v>8</v>
      </c>
      <c r="W14" s="16" t="s">
        <v>376</v>
      </c>
      <c r="X14" s="16" t="s">
        <v>376</v>
      </c>
      <c r="Y14" t="s">
        <v>376</v>
      </c>
      <c r="Z14" t="s">
        <v>376</v>
      </c>
      <c r="AA14" t="s">
        <v>376</v>
      </c>
      <c r="AB14" t="s">
        <v>376</v>
      </c>
      <c r="AC14" t="s">
        <v>376</v>
      </c>
      <c r="AD14" t="s">
        <v>376</v>
      </c>
      <c r="AE14">
        <v>2</v>
      </c>
    </row>
    <row r="15" spans="1:31" x14ac:dyDescent="0.25">
      <c r="A15" s="19">
        <v>18</v>
      </c>
      <c r="B15" s="19">
        <v>20</v>
      </c>
      <c r="C15" s="19">
        <v>14</v>
      </c>
      <c r="D15" s="19">
        <v>19</v>
      </c>
      <c r="E15" s="19" t="s">
        <v>376</v>
      </c>
      <c r="F15" s="19">
        <v>1</v>
      </c>
      <c r="G15" s="19" t="s">
        <v>376</v>
      </c>
      <c r="H15" s="19">
        <v>1</v>
      </c>
      <c r="I15" s="19" t="s">
        <v>376</v>
      </c>
      <c r="J15" s="19">
        <v>1</v>
      </c>
      <c r="K15" s="19" t="s">
        <v>376</v>
      </c>
      <c r="L15" s="19">
        <v>1</v>
      </c>
      <c r="M15" s="19" t="s">
        <v>376</v>
      </c>
      <c r="N15" s="19">
        <v>1</v>
      </c>
      <c r="O15" s="19" t="s">
        <v>376</v>
      </c>
      <c r="P15" s="19">
        <v>1</v>
      </c>
      <c r="Q15" s="19" t="s">
        <v>376</v>
      </c>
      <c r="R15" s="19">
        <v>1</v>
      </c>
      <c r="S15" s="19" t="s">
        <v>376</v>
      </c>
      <c r="T15" s="16">
        <v>1</v>
      </c>
      <c r="U15" s="16">
        <v>1</v>
      </c>
      <c r="V15" s="16">
        <v>10</v>
      </c>
      <c r="W15" s="16" t="s">
        <v>376</v>
      </c>
      <c r="X15" s="16" t="s">
        <v>376</v>
      </c>
      <c r="Y15" t="s">
        <v>376</v>
      </c>
      <c r="Z15" t="s">
        <v>376</v>
      </c>
      <c r="AA15" t="s">
        <v>376</v>
      </c>
      <c r="AB15" t="s">
        <v>376</v>
      </c>
      <c r="AC15" t="s">
        <v>376</v>
      </c>
      <c r="AD15" t="s">
        <v>376</v>
      </c>
      <c r="AE15">
        <v>2</v>
      </c>
    </row>
    <row r="16" spans="1:31" x14ac:dyDescent="0.25">
      <c r="A16" s="19">
        <v>8</v>
      </c>
      <c r="B16" s="19">
        <v>9</v>
      </c>
      <c r="C16" s="19">
        <v>8</v>
      </c>
      <c r="D16" s="19">
        <v>9</v>
      </c>
      <c r="E16" s="19" t="s">
        <v>376</v>
      </c>
      <c r="F16" s="19">
        <v>1</v>
      </c>
      <c r="G16" s="19" t="s">
        <v>376</v>
      </c>
      <c r="H16" s="19">
        <v>1</v>
      </c>
      <c r="I16" s="19" t="s">
        <v>376</v>
      </c>
      <c r="J16" s="19">
        <v>1</v>
      </c>
      <c r="K16" s="19" t="s">
        <v>376</v>
      </c>
      <c r="L16" s="19">
        <v>1</v>
      </c>
      <c r="M16" s="19" t="s">
        <v>376</v>
      </c>
      <c r="N16" s="19">
        <v>1</v>
      </c>
      <c r="O16" s="19" t="s">
        <v>376</v>
      </c>
      <c r="P16" s="19">
        <v>1</v>
      </c>
      <c r="Q16" s="19" t="s">
        <v>376</v>
      </c>
      <c r="R16" s="19">
        <v>1</v>
      </c>
      <c r="S16" s="19" t="s">
        <v>376</v>
      </c>
      <c r="T16" s="16">
        <v>1</v>
      </c>
      <c r="U16" s="16">
        <v>1</v>
      </c>
      <c r="V16" s="16">
        <v>8</v>
      </c>
      <c r="W16" s="16" t="s">
        <v>376</v>
      </c>
      <c r="X16" s="16" t="s">
        <v>376</v>
      </c>
      <c r="Y16" t="s">
        <v>376</v>
      </c>
      <c r="Z16" t="s">
        <v>376</v>
      </c>
      <c r="AA16" t="s">
        <v>376</v>
      </c>
      <c r="AB16" t="s">
        <v>376</v>
      </c>
      <c r="AC16" t="s">
        <v>376</v>
      </c>
      <c r="AD16" t="s">
        <v>376</v>
      </c>
      <c r="AE16">
        <v>2</v>
      </c>
    </row>
    <row r="17" spans="1:31" x14ac:dyDescent="0.25">
      <c r="A17" s="19">
        <v>31</v>
      </c>
      <c r="B17" s="19">
        <v>40</v>
      </c>
      <c r="C17" s="19">
        <v>29</v>
      </c>
      <c r="D17" s="19">
        <v>40</v>
      </c>
      <c r="E17" s="19" t="s">
        <v>376</v>
      </c>
      <c r="F17" s="19">
        <v>1</v>
      </c>
      <c r="G17" s="19" t="s">
        <v>376</v>
      </c>
      <c r="H17" s="19">
        <v>1</v>
      </c>
      <c r="I17" s="19" t="s">
        <v>376</v>
      </c>
      <c r="J17" s="19">
        <v>1</v>
      </c>
      <c r="K17" s="19" t="s">
        <v>376</v>
      </c>
      <c r="L17" s="19">
        <v>1</v>
      </c>
      <c r="M17" s="19" t="s">
        <v>376</v>
      </c>
      <c r="N17" s="19">
        <v>1</v>
      </c>
      <c r="O17" s="19" t="s">
        <v>376</v>
      </c>
      <c r="P17" s="19">
        <v>1</v>
      </c>
      <c r="Q17" s="19" t="s">
        <v>376</v>
      </c>
      <c r="R17" s="19">
        <v>1</v>
      </c>
      <c r="S17" s="19" t="s">
        <v>376</v>
      </c>
      <c r="T17" s="16">
        <v>1</v>
      </c>
      <c r="U17" s="16">
        <v>3</v>
      </c>
      <c r="V17" s="16">
        <v>4</v>
      </c>
      <c r="W17" s="16" t="s">
        <v>376</v>
      </c>
      <c r="X17" s="16" t="s">
        <v>376</v>
      </c>
      <c r="Y17" t="s">
        <v>376</v>
      </c>
      <c r="Z17" t="s">
        <v>376</v>
      </c>
      <c r="AA17" t="s">
        <v>376</v>
      </c>
      <c r="AB17" t="s">
        <v>376</v>
      </c>
      <c r="AC17" t="s">
        <v>376</v>
      </c>
      <c r="AD17" t="s">
        <v>376</v>
      </c>
      <c r="AE17">
        <v>2</v>
      </c>
    </row>
    <row r="18" spans="1:31" x14ac:dyDescent="0.25">
      <c r="A18" s="19">
        <v>15</v>
      </c>
      <c r="B18" s="19">
        <v>20</v>
      </c>
      <c r="C18" s="19">
        <v>16</v>
      </c>
      <c r="D18" s="19">
        <v>20</v>
      </c>
      <c r="E18" s="19" t="s">
        <v>376</v>
      </c>
      <c r="F18" s="19">
        <v>1</v>
      </c>
      <c r="G18" s="19" t="s">
        <v>376</v>
      </c>
      <c r="H18" s="19">
        <v>1</v>
      </c>
      <c r="I18" s="19" t="s">
        <v>376</v>
      </c>
      <c r="J18" s="19">
        <v>1</v>
      </c>
      <c r="K18" s="19" t="s">
        <v>376</v>
      </c>
      <c r="L18" s="19">
        <v>1</v>
      </c>
      <c r="M18" s="19" t="s">
        <v>376</v>
      </c>
      <c r="N18" s="19">
        <v>1</v>
      </c>
      <c r="O18" s="19" t="s">
        <v>376</v>
      </c>
      <c r="P18" s="19">
        <v>1</v>
      </c>
      <c r="Q18" s="19" t="s">
        <v>376</v>
      </c>
      <c r="R18" s="19">
        <v>1</v>
      </c>
      <c r="S18" s="19" t="s">
        <v>376</v>
      </c>
      <c r="T18" s="16">
        <v>1</v>
      </c>
      <c r="U18" s="16">
        <v>1</v>
      </c>
      <c r="V18" s="16">
        <v>2</v>
      </c>
      <c r="W18" s="16" t="s">
        <v>376</v>
      </c>
      <c r="X18" s="16" t="s">
        <v>376</v>
      </c>
      <c r="Y18" t="s">
        <v>376</v>
      </c>
      <c r="Z18" t="s">
        <v>376</v>
      </c>
      <c r="AA18" t="s">
        <v>376</v>
      </c>
      <c r="AB18" t="s">
        <v>376</v>
      </c>
      <c r="AC18" t="s">
        <v>376</v>
      </c>
      <c r="AD18" t="s">
        <v>376</v>
      </c>
      <c r="AE18">
        <v>2</v>
      </c>
    </row>
    <row r="19" spans="1:31" x14ac:dyDescent="0.25">
      <c r="A19" s="19">
        <v>14</v>
      </c>
      <c r="B19" s="19">
        <v>15</v>
      </c>
      <c r="C19" s="19">
        <v>14</v>
      </c>
      <c r="D19" s="19">
        <v>18</v>
      </c>
      <c r="E19" s="19" t="s">
        <v>376</v>
      </c>
      <c r="F19" s="19">
        <v>1</v>
      </c>
      <c r="G19" s="19" t="s">
        <v>376</v>
      </c>
      <c r="H19" s="19">
        <v>1</v>
      </c>
      <c r="I19" s="19" t="s">
        <v>376</v>
      </c>
      <c r="J19" s="19">
        <v>1</v>
      </c>
      <c r="K19" s="19" t="s">
        <v>376</v>
      </c>
      <c r="L19" s="19">
        <v>1</v>
      </c>
      <c r="M19" s="19" t="s">
        <v>376</v>
      </c>
      <c r="N19" s="19">
        <v>1</v>
      </c>
      <c r="O19" s="19" t="s">
        <v>376</v>
      </c>
      <c r="P19" s="19">
        <v>1</v>
      </c>
      <c r="Q19" s="19" t="s">
        <v>376</v>
      </c>
      <c r="R19" s="19">
        <v>1</v>
      </c>
      <c r="S19" s="19" t="s">
        <v>376</v>
      </c>
      <c r="T19" s="16">
        <v>1</v>
      </c>
      <c r="U19" s="16">
        <v>1</v>
      </c>
      <c r="V19" s="16">
        <v>2</v>
      </c>
      <c r="W19" s="16" t="s">
        <v>376</v>
      </c>
      <c r="X19" s="16" t="s">
        <v>376</v>
      </c>
      <c r="Y19" t="s">
        <v>376</v>
      </c>
      <c r="Z19" t="s">
        <v>376</v>
      </c>
      <c r="AA19" t="s">
        <v>376</v>
      </c>
      <c r="AB19" t="s">
        <v>376</v>
      </c>
      <c r="AC19" t="s">
        <v>376</v>
      </c>
      <c r="AD19" t="s">
        <v>376</v>
      </c>
      <c r="AE19">
        <v>2</v>
      </c>
    </row>
    <row r="20" spans="1:31" x14ac:dyDescent="0.25">
      <c r="A20" s="19">
        <v>8</v>
      </c>
      <c r="B20" s="19">
        <v>10</v>
      </c>
      <c r="C20" s="19">
        <v>7</v>
      </c>
      <c r="D20" s="19">
        <v>10</v>
      </c>
      <c r="E20" s="19" t="s">
        <v>376</v>
      </c>
      <c r="F20" s="19">
        <v>1</v>
      </c>
      <c r="G20" s="19" t="s">
        <v>376</v>
      </c>
      <c r="H20" s="19">
        <v>1</v>
      </c>
      <c r="I20" s="19" t="s">
        <v>376</v>
      </c>
      <c r="J20" s="19">
        <v>1</v>
      </c>
      <c r="K20" s="19" t="s">
        <v>376</v>
      </c>
      <c r="L20" s="19">
        <v>1</v>
      </c>
      <c r="M20" s="19" t="s">
        <v>376</v>
      </c>
      <c r="N20" s="19">
        <v>1</v>
      </c>
      <c r="O20" s="19" t="s">
        <v>376</v>
      </c>
      <c r="P20" s="19">
        <v>1</v>
      </c>
      <c r="Q20" s="19" t="s">
        <v>376</v>
      </c>
      <c r="R20" s="19">
        <v>1</v>
      </c>
      <c r="S20" s="19" t="s">
        <v>376</v>
      </c>
      <c r="T20" s="16">
        <v>1</v>
      </c>
      <c r="U20" s="16">
        <v>3</v>
      </c>
      <c r="V20" s="16">
        <v>9</v>
      </c>
      <c r="W20" s="16" t="s">
        <v>376</v>
      </c>
      <c r="X20" s="16" t="s">
        <v>376</v>
      </c>
      <c r="Y20" t="s">
        <v>376</v>
      </c>
      <c r="Z20" t="s">
        <v>376</v>
      </c>
      <c r="AA20" t="s">
        <v>376</v>
      </c>
      <c r="AB20" t="s">
        <v>376</v>
      </c>
      <c r="AC20" t="s">
        <v>376</v>
      </c>
      <c r="AD20" t="s">
        <v>376</v>
      </c>
      <c r="AE20">
        <v>2</v>
      </c>
    </row>
    <row r="21" spans="1:31" x14ac:dyDescent="0.25">
      <c r="A21" s="19">
        <v>11</v>
      </c>
      <c r="B21" s="19">
        <v>30</v>
      </c>
      <c r="C21" s="19">
        <v>21</v>
      </c>
      <c r="D21" s="19">
        <v>30</v>
      </c>
      <c r="E21" s="19" t="s">
        <v>376</v>
      </c>
      <c r="F21" s="19">
        <v>1</v>
      </c>
      <c r="G21" s="19" t="s">
        <v>376</v>
      </c>
      <c r="H21" s="19">
        <v>1</v>
      </c>
      <c r="I21" s="19" t="s">
        <v>376</v>
      </c>
      <c r="J21" s="19">
        <v>1</v>
      </c>
      <c r="K21" s="19" t="s">
        <v>376</v>
      </c>
      <c r="L21" s="19">
        <v>1</v>
      </c>
      <c r="M21" s="19" t="s">
        <v>376</v>
      </c>
      <c r="N21" s="19">
        <v>1</v>
      </c>
      <c r="O21" s="19" t="s">
        <v>376</v>
      </c>
      <c r="P21" s="19">
        <v>1</v>
      </c>
      <c r="Q21" s="19" t="s">
        <v>376</v>
      </c>
      <c r="R21" s="19">
        <v>1</v>
      </c>
      <c r="S21" s="19" t="s">
        <v>376</v>
      </c>
      <c r="T21" s="16">
        <v>1</v>
      </c>
      <c r="U21" s="16">
        <v>3</v>
      </c>
      <c r="V21" s="16">
        <v>6</v>
      </c>
      <c r="W21" s="16" t="s">
        <v>376</v>
      </c>
      <c r="X21" s="16" t="s">
        <v>376</v>
      </c>
      <c r="Y21" t="s">
        <v>376</v>
      </c>
      <c r="Z21" t="s">
        <v>376</v>
      </c>
      <c r="AA21" t="s">
        <v>376</v>
      </c>
      <c r="AB21" t="s">
        <v>376</v>
      </c>
      <c r="AC21" t="s">
        <v>376</v>
      </c>
      <c r="AD21" t="s">
        <v>376</v>
      </c>
      <c r="AE21">
        <v>2</v>
      </c>
    </row>
    <row r="22" spans="1:31" x14ac:dyDescent="0.25">
      <c r="A22" s="19">
        <v>25</v>
      </c>
      <c r="B22" s="19">
        <v>31</v>
      </c>
      <c r="C22" s="19">
        <v>18</v>
      </c>
      <c r="D22" s="19">
        <v>31</v>
      </c>
      <c r="E22" s="19" t="s">
        <v>376</v>
      </c>
      <c r="F22" s="19">
        <v>1</v>
      </c>
      <c r="G22" s="19" t="s">
        <v>376</v>
      </c>
      <c r="H22" s="19">
        <v>1</v>
      </c>
      <c r="I22" s="19" t="s">
        <v>376</v>
      </c>
      <c r="J22" s="19">
        <v>1</v>
      </c>
      <c r="K22" s="19" t="s">
        <v>376</v>
      </c>
      <c r="L22" s="19">
        <v>1</v>
      </c>
      <c r="M22" s="19" t="s">
        <v>376</v>
      </c>
      <c r="N22" s="19">
        <v>1</v>
      </c>
      <c r="O22" s="19" t="s">
        <v>376</v>
      </c>
      <c r="P22" s="19">
        <v>1</v>
      </c>
      <c r="Q22" s="19" t="s">
        <v>376</v>
      </c>
      <c r="R22" s="19">
        <v>1</v>
      </c>
      <c r="S22" s="19" t="s">
        <v>376</v>
      </c>
      <c r="T22" s="16">
        <v>1</v>
      </c>
      <c r="U22" s="16">
        <v>3</v>
      </c>
      <c r="V22" s="16">
        <v>10</v>
      </c>
      <c r="W22" s="16" t="s">
        <v>376</v>
      </c>
      <c r="X22" s="16" t="s">
        <v>376</v>
      </c>
      <c r="Y22" t="s">
        <v>376</v>
      </c>
      <c r="Z22" t="s">
        <v>376</v>
      </c>
      <c r="AA22" t="s">
        <v>376</v>
      </c>
      <c r="AB22" t="s">
        <v>376</v>
      </c>
      <c r="AC22" t="s">
        <v>376</v>
      </c>
      <c r="AD22" t="s">
        <v>376</v>
      </c>
      <c r="AE22">
        <v>2</v>
      </c>
    </row>
    <row r="23" spans="1:31" x14ac:dyDescent="0.25">
      <c r="A23" s="19">
        <v>45</v>
      </c>
      <c r="B23" s="19">
        <v>59</v>
      </c>
      <c r="C23" s="19">
        <v>45</v>
      </c>
      <c r="D23" s="19">
        <v>60</v>
      </c>
      <c r="E23" s="19" t="s">
        <v>376</v>
      </c>
      <c r="F23" s="19">
        <v>1</v>
      </c>
      <c r="G23" s="19" t="s">
        <v>376</v>
      </c>
      <c r="H23" s="19">
        <v>1</v>
      </c>
      <c r="I23" s="19" t="s">
        <v>376</v>
      </c>
      <c r="J23" s="19">
        <v>1</v>
      </c>
      <c r="K23" s="19" t="s">
        <v>376</v>
      </c>
      <c r="L23" s="19">
        <v>1</v>
      </c>
      <c r="M23" s="19" t="s">
        <v>376</v>
      </c>
      <c r="N23" s="19">
        <v>1</v>
      </c>
      <c r="O23" s="19" t="s">
        <v>376</v>
      </c>
      <c r="P23" s="19">
        <v>1</v>
      </c>
      <c r="Q23" s="19" t="s">
        <v>376</v>
      </c>
      <c r="R23" s="19">
        <v>1</v>
      </c>
      <c r="S23" s="19" t="s">
        <v>376</v>
      </c>
      <c r="T23" s="16">
        <v>1</v>
      </c>
      <c r="U23" s="16">
        <v>1</v>
      </c>
      <c r="V23" s="16">
        <v>2</v>
      </c>
      <c r="W23" s="16" t="s">
        <v>376</v>
      </c>
      <c r="X23" s="16" t="s">
        <v>376</v>
      </c>
      <c r="Y23" t="s">
        <v>376</v>
      </c>
      <c r="Z23" t="s">
        <v>376</v>
      </c>
      <c r="AA23" t="s">
        <v>376</v>
      </c>
      <c r="AB23" t="s">
        <v>376</v>
      </c>
      <c r="AC23" t="s">
        <v>376</v>
      </c>
      <c r="AD23" t="s">
        <v>376</v>
      </c>
      <c r="AE23">
        <v>2</v>
      </c>
    </row>
    <row r="24" spans="1:31" x14ac:dyDescent="0.25">
      <c r="A24" s="19">
        <v>49</v>
      </c>
      <c r="B24" s="19">
        <v>74</v>
      </c>
      <c r="C24" s="19">
        <v>52</v>
      </c>
      <c r="D24" s="19">
        <v>74</v>
      </c>
      <c r="E24" s="19" t="s">
        <v>376</v>
      </c>
      <c r="F24" s="19">
        <v>1</v>
      </c>
      <c r="G24" s="19" t="s">
        <v>376</v>
      </c>
      <c r="H24" s="19">
        <v>1</v>
      </c>
      <c r="I24" s="19" t="s">
        <v>376</v>
      </c>
      <c r="J24" s="19">
        <v>1</v>
      </c>
      <c r="K24" s="19" t="s">
        <v>376</v>
      </c>
      <c r="L24" s="19">
        <v>1</v>
      </c>
      <c r="M24" s="19" t="s">
        <v>376</v>
      </c>
      <c r="N24" s="19">
        <v>1</v>
      </c>
      <c r="O24" s="19" t="s">
        <v>376</v>
      </c>
      <c r="P24" s="19">
        <v>1</v>
      </c>
      <c r="Q24" s="19" t="s">
        <v>376</v>
      </c>
      <c r="R24" s="19">
        <v>1</v>
      </c>
      <c r="S24" s="19" t="s">
        <v>376</v>
      </c>
      <c r="T24" s="16">
        <v>1</v>
      </c>
      <c r="U24" s="16">
        <v>1</v>
      </c>
      <c r="V24" s="16">
        <v>2</v>
      </c>
      <c r="W24" s="16" t="s">
        <v>376</v>
      </c>
      <c r="X24" s="16" t="s">
        <v>376</v>
      </c>
      <c r="Y24" t="s">
        <v>376</v>
      </c>
      <c r="Z24" t="s">
        <v>376</v>
      </c>
      <c r="AA24" t="s">
        <v>376</v>
      </c>
      <c r="AB24" t="s">
        <v>376</v>
      </c>
      <c r="AC24" t="s">
        <v>376</v>
      </c>
      <c r="AD24" t="s">
        <v>376</v>
      </c>
      <c r="AE24">
        <v>2</v>
      </c>
    </row>
    <row r="25" spans="1:31" x14ac:dyDescent="0.25">
      <c r="A25" s="19">
        <v>29</v>
      </c>
      <c r="B25" s="19">
        <v>48</v>
      </c>
      <c r="C25" s="19">
        <v>23</v>
      </c>
      <c r="D25" s="19">
        <v>35</v>
      </c>
      <c r="E25" s="19" t="s">
        <v>376</v>
      </c>
      <c r="F25" s="19">
        <v>1</v>
      </c>
      <c r="G25" s="19" t="s">
        <v>376</v>
      </c>
      <c r="H25" s="19">
        <v>1</v>
      </c>
      <c r="I25" s="19" t="s">
        <v>376</v>
      </c>
      <c r="J25" s="19">
        <v>1</v>
      </c>
      <c r="K25" s="19" t="s">
        <v>376</v>
      </c>
      <c r="L25" s="19">
        <v>1</v>
      </c>
      <c r="M25" s="19" t="s">
        <v>376</v>
      </c>
      <c r="N25" s="19">
        <v>1</v>
      </c>
      <c r="O25" s="19" t="s">
        <v>376</v>
      </c>
      <c r="P25" s="19">
        <v>1</v>
      </c>
      <c r="Q25" s="19" t="s">
        <v>376</v>
      </c>
      <c r="R25" s="19">
        <v>1</v>
      </c>
      <c r="S25" s="19" t="s">
        <v>376</v>
      </c>
      <c r="T25" s="16">
        <v>1</v>
      </c>
      <c r="U25" s="16">
        <v>3</v>
      </c>
      <c r="V25" s="16">
        <v>9</v>
      </c>
      <c r="W25" s="16" t="s">
        <v>376</v>
      </c>
      <c r="X25" s="16" t="s">
        <v>376</v>
      </c>
      <c r="Y25" t="s">
        <v>376</v>
      </c>
      <c r="Z25" t="s">
        <v>376</v>
      </c>
      <c r="AA25" t="s">
        <v>376</v>
      </c>
      <c r="AB25" t="s">
        <v>376</v>
      </c>
      <c r="AC25" t="s">
        <v>376</v>
      </c>
      <c r="AD25" t="s">
        <v>376</v>
      </c>
      <c r="AE25">
        <v>2</v>
      </c>
    </row>
    <row r="26" spans="1:31" x14ac:dyDescent="0.25">
      <c r="A26" s="19">
        <v>20</v>
      </c>
      <c r="B26" s="19">
        <v>30</v>
      </c>
      <c r="C26" s="19">
        <v>24</v>
      </c>
      <c r="D26" s="19">
        <v>30</v>
      </c>
      <c r="E26" s="19" t="s">
        <v>376</v>
      </c>
      <c r="F26" s="19">
        <v>1</v>
      </c>
      <c r="G26" s="19" t="s">
        <v>376</v>
      </c>
      <c r="H26" s="19">
        <v>1</v>
      </c>
      <c r="I26" s="19" t="s">
        <v>376</v>
      </c>
      <c r="J26" s="19">
        <v>1</v>
      </c>
      <c r="K26" s="19" t="s">
        <v>376</v>
      </c>
      <c r="L26" s="19">
        <v>1</v>
      </c>
      <c r="M26" s="19" t="s">
        <v>376</v>
      </c>
      <c r="N26" s="19">
        <v>1</v>
      </c>
      <c r="O26" s="19" t="s">
        <v>376</v>
      </c>
      <c r="P26" s="19">
        <v>1</v>
      </c>
      <c r="Q26" s="19" t="s">
        <v>376</v>
      </c>
      <c r="R26" s="19">
        <v>1</v>
      </c>
      <c r="S26" s="19" t="s">
        <v>376</v>
      </c>
      <c r="T26" s="16">
        <v>1</v>
      </c>
      <c r="U26" s="16">
        <v>3</v>
      </c>
      <c r="V26" s="16">
        <v>6</v>
      </c>
      <c r="W26" s="16" t="s">
        <v>376</v>
      </c>
      <c r="X26" s="16" t="s">
        <v>376</v>
      </c>
      <c r="Y26" t="s">
        <v>376</v>
      </c>
      <c r="Z26" t="s">
        <v>376</v>
      </c>
      <c r="AA26" t="s">
        <v>376</v>
      </c>
      <c r="AB26" t="s">
        <v>376</v>
      </c>
      <c r="AC26" t="s">
        <v>376</v>
      </c>
      <c r="AD26" t="s">
        <v>376</v>
      </c>
      <c r="AE26">
        <v>2</v>
      </c>
    </row>
    <row r="27" spans="1:31" x14ac:dyDescent="0.25">
      <c r="A27" s="19">
        <v>21</v>
      </c>
      <c r="B27" s="19">
        <v>24</v>
      </c>
      <c r="C27" s="19">
        <v>16</v>
      </c>
      <c r="D27" s="19">
        <v>22</v>
      </c>
      <c r="E27" s="19" t="s">
        <v>376</v>
      </c>
      <c r="F27" s="19">
        <v>1</v>
      </c>
      <c r="G27" s="19" t="s">
        <v>376</v>
      </c>
      <c r="H27" s="19">
        <v>1</v>
      </c>
      <c r="I27" s="19" t="s">
        <v>376</v>
      </c>
      <c r="J27" s="19">
        <v>1</v>
      </c>
      <c r="K27" s="19" t="s">
        <v>376</v>
      </c>
      <c r="L27" s="19">
        <v>1</v>
      </c>
      <c r="M27" s="19" t="s">
        <v>376</v>
      </c>
      <c r="N27" s="19">
        <v>1</v>
      </c>
      <c r="O27" s="19" t="s">
        <v>376</v>
      </c>
      <c r="P27" s="19">
        <v>1</v>
      </c>
      <c r="Q27" s="19" t="s">
        <v>376</v>
      </c>
      <c r="R27" s="19">
        <v>1</v>
      </c>
      <c r="S27" s="19" t="s">
        <v>376</v>
      </c>
      <c r="T27" s="16">
        <v>1</v>
      </c>
      <c r="U27" s="16">
        <v>1</v>
      </c>
      <c r="V27" s="16">
        <v>2</v>
      </c>
      <c r="W27" s="16" t="s">
        <v>376</v>
      </c>
      <c r="X27" s="16" t="s">
        <v>376</v>
      </c>
      <c r="Y27" t="s">
        <v>376</v>
      </c>
      <c r="Z27" t="s">
        <v>376</v>
      </c>
      <c r="AA27" t="s">
        <v>376</v>
      </c>
      <c r="AB27" t="s">
        <v>376</v>
      </c>
      <c r="AC27" t="s">
        <v>376</v>
      </c>
      <c r="AD27" t="s">
        <v>376</v>
      </c>
      <c r="AE27">
        <v>2</v>
      </c>
    </row>
    <row r="28" spans="1:31" x14ac:dyDescent="0.25">
      <c r="A28" s="19">
        <v>27</v>
      </c>
      <c r="B28" s="19">
        <v>32</v>
      </c>
      <c r="C28" s="19">
        <v>13</v>
      </c>
      <c r="D28" s="19">
        <v>32</v>
      </c>
      <c r="E28" s="19" t="s">
        <v>376</v>
      </c>
      <c r="F28" s="19">
        <v>1</v>
      </c>
      <c r="G28" s="19" t="s">
        <v>376</v>
      </c>
      <c r="H28" s="19">
        <v>1</v>
      </c>
      <c r="I28" s="19" t="s">
        <v>376</v>
      </c>
      <c r="J28" s="19">
        <v>1</v>
      </c>
      <c r="K28" s="19" t="s">
        <v>376</v>
      </c>
      <c r="L28" s="19">
        <v>1</v>
      </c>
      <c r="M28" s="19" t="s">
        <v>376</v>
      </c>
      <c r="N28" s="19">
        <v>1</v>
      </c>
      <c r="O28" s="19" t="s">
        <v>376</v>
      </c>
      <c r="P28" s="19">
        <v>1</v>
      </c>
      <c r="Q28" s="19" t="s">
        <v>376</v>
      </c>
      <c r="R28" s="19">
        <v>1</v>
      </c>
      <c r="S28" s="19" t="s">
        <v>376</v>
      </c>
      <c r="T28" s="16">
        <v>1</v>
      </c>
      <c r="U28" s="16">
        <v>3</v>
      </c>
      <c r="V28" s="16">
        <v>10</v>
      </c>
      <c r="W28" s="16" t="s">
        <v>376</v>
      </c>
      <c r="X28" s="16" t="s">
        <v>376</v>
      </c>
      <c r="Y28" t="s">
        <v>376</v>
      </c>
      <c r="Z28" t="s">
        <v>376</v>
      </c>
      <c r="AA28" t="s">
        <v>376</v>
      </c>
      <c r="AB28" t="s">
        <v>376</v>
      </c>
      <c r="AC28" t="s">
        <v>376</v>
      </c>
      <c r="AD28" t="s">
        <v>376</v>
      </c>
      <c r="AE28">
        <v>2</v>
      </c>
    </row>
    <row r="29" spans="1:31" x14ac:dyDescent="0.25">
      <c r="A29" s="19">
        <v>21</v>
      </c>
      <c r="B29" s="19">
        <v>24</v>
      </c>
      <c r="C29" s="19">
        <v>19</v>
      </c>
      <c r="D29" s="19">
        <v>23</v>
      </c>
      <c r="E29" s="19" t="s">
        <v>376</v>
      </c>
      <c r="F29" s="19">
        <v>1</v>
      </c>
      <c r="G29" s="19" t="s">
        <v>376</v>
      </c>
      <c r="H29" s="19">
        <v>1</v>
      </c>
      <c r="I29" s="19" t="s">
        <v>376</v>
      </c>
      <c r="J29" s="19">
        <v>1</v>
      </c>
      <c r="K29" s="19" t="s">
        <v>376</v>
      </c>
      <c r="L29" s="19">
        <v>1</v>
      </c>
      <c r="M29" s="19" t="s">
        <v>376</v>
      </c>
      <c r="N29" s="19">
        <v>1</v>
      </c>
      <c r="O29" s="19" t="s">
        <v>376</v>
      </c>
      <c r="P29" s="19">
        <v>1</v>
      </c>
      <c r="Q29" s="19" t="s">
        <v>376</v>
      </c>
      <c r="R29" s="19">
        <v>1</v>
      </c>
      <c r="S29" s="19" t="s">
        <v>376</v>
      </c>
      <c r="T29" s="16">
        <v>1</v>
      </c>
      <c r="U29" s="16">
        <v>1</v>
      </c>
      <c r="V29" s="16">
        <v>2</v>
      </c>
      <c r="W29" s="16" t="s">
        <v>376</v>
      </c>
      <c r="X29" s="16" t="s">
        <v>376</v>
      </c>
      <c r="Y29" t="s">
        <v>376</v>
      </c>
      <c r="Z29" t="s">
        <v>376</v>
      </c>
      <c r="AA29" t="s">
        <v>376</v>
      </c>
      <c r="AB29" t="s">
        <v>376</v>
      </c>
      <c r="AC29" t="s">
        <v>376</v>
      </c>
      <c r="AD29" t="s">
        <v>376</v>
      </c>
      <c r="AE29">
        <v>2</v>
      </c>
    </row>
    <row r="30" spans="1:31" x14ac:dyDescent="0.25">
      <c r="A30" s="19">
        <v>15</v>
      </c>
      <c r="B30" s="19">
        <v>19</v>
      </c>
      <c r="C30" s="19">
        <v>11</v>
      </c>
      <c r="D30" s="19">
        <v>16</v>
      </c>
      <c r="E30" s="19" t="s">
        <v>376</v>
      </c>
      <c r="F30" s="19">
        <v>1</v>
      </c>
      <c r="G30" s="19" t="s">
        <v>376</v>
      </c>
      <c r="H30" s="19">
        <v>1</v>
      </c>
      <c r="I30" s="19" t="s">
        <v>376</v>
      </c>
      <c r="J30" s="19">
        <v>1</v>
      </c>
      <c r="K30" s="19" t="s">
        <v>376</v>
      </c>
      <c r="L30" s="19">
        <v>1</v>
      </c>
      <c r="M30" s="19" t="s">
        <v>376</v>
      </c>
      <c r="N30" s="19">
        <v>1</v>
      </c>
      <c r="O30" s="19" t="s">
        <v>376</v>
      </c>
      <c r="P30" s="19">
        <v>1</v>
      </c>
      <c r="Q30" s="19" t="s">
        <v>376</v>
      </c>
      <c r="R30" s="19">
        <v>1</v>
      </c>
      <c r="S30" s="19" t="s">
        <v>376</v>
      </c>
      <c r="T30" s="16">
        <v>1</v>
      </c>
      <c r="U30" s="16">
        <v>1</v>
      </c>
      <c r="V30" s="16">
        <v>2</v>
      </c>
      <c r="W30" s="16" t="s">
        <v>376</v>
      </c>
      <c r="X30" s="16" t="s">
        <v>376</v>
      </c>
      <c r="Y30" t="s">
        <v>376</v>
      </c>
      <c r="Z30" t="s">
        <v>376</v>
      </c>
      <c r="AA30" t="s">
        <v>376</v>
      </c>
      <c r="AB30" t="s">
        <v>376</v>
      </c>
      <c r="AC30" t="s">
        <v>376</v>
      </c>
      <c r="AD30" t="s">
        <v>376</v>
      </c>
      <c r="AE30">
        <v>2</v>
      </c>
    </row>
    <row r="31" spans="1:31" x14ac:dyDescent="0.25">
      <c r="A31" s="19">
        <v>16</v>
      </c>
      <c r="B31" s="19">
        <v>18</v>
      </c>
      <c r="C31" s="19">
        <v>14</v>
      </c>
      <c r="D31" s="19">
        <v>16</v>
      </c>
      <c r="E31" s="19" t="s">
        <v>376</v>
      </c>
      <c r="F31" s="19">
        <v>1</v>
      </c>
      <c r="G31" s="19" t="s">
        <v>376</v>
      </c>
      <c r="H31" s="19">
        <v>1</v>
      </c>
      <c r="I31" s="19" t="s">
        <v>376</v>
      </c>
      <c r="J31" s="19">
        <v>1</v>
      </c>
      <c r="K31" s="19" t="s">
        <v>376</v>
      </c>
      <c r="L31" s="19">
        <v>1</v>
      </c>
      <c r="M31" s="19" t="s">
        <v>376</v>
      </c>
      <c r="N31" s="19">
        <v>1</v>
      </c>
      <c r="O31" s="19" t="s">
        <v>376</v>
      </c>
      <c r="P31" s="19">
        <v>1</v>
      </c>
      <c r="Q31" s="19" t="s">
        <v>376</v>
      </c>
      <c r="R31" s="19">
        <v>1</v>
      </c>
      <c r="S31" s="19" t="s">
        <v>376</v>
      </c>
      <c r="T31" s="16">
        <v>1</v>
      </c>
      <c r="U31" s="16">
        <v>1</v>
      </c>
      <c r="V31" s="16">
        <v>3</v>
      </c>
      <c r="W31" s="16" t="s">
        <v>376</v>
      </c>
      <c r="X31" s="16" t="s">
        <v>376</v>
      </c>
      <c r="Y31" t="s">
        <v>376</v>
      </c>
      <c r="Z31" t="s">
        <v>376</v>
      </c>
      <c r="AA31" t="s">
        <v>376</v>
      </c>
      <c r="AB31" t="s">
        <v>376</v>
      </c>
      <c r="AC31" t="s">
        <v>376</v>
      </c>
      <c r="AD31" t="s">
        <v>376</v>
      </c>
      <c r="AE31">
        <v>2</v>
      </c>
    </row>
    <row r="32" spans="1:31" x14ac:dyDescent="0.25">
      <c r="A32" s="19">
        <v>55</v>
      </c>
      <c r="B32" s="19">
        <v>67</v>
      </c>
      <c r="C32" s="19">
        <v>45</v>
      </c>
      <c r="D32" s="19">
        <v>62</v>
      </c>
      <c r="E32" s="19" t="s">
        <v>376</v>
      </c>
      <c r="F32" s="19">
        <v>1</v>
      </c>
      <c r="G32" s="19" t="s">
        <v>376</v>
      </c>
      <c r="H32" s="19">
        <v>1</v>
      </c>
      <c r="I32" s="19" t="s">
        <v>376</v>
      </c>
      <c r="J32" s="19">
        <v>1</v>
      </c>
      <c r="K32" s="19" t="s">
        <v>376</v>
      </c>
      <c r="L32" s="19">
        <v>1</v>
      </c>
      <c r="M32" s="19" t="s">
        <v>376</v>
      </c>
      <c r="N32" s="19">
        <v>1</v>
      </c>
      <c r="O32" s="19" t="s">
        <v>376</v>
      </c>
      <c r="P32" s="19">
        <v>1</v>
      </c>
      <c r="Q32" s="19" t="s">
        <v>376</v>
      </c>
      <c r="R32" s="19">
        <v>1</v>
      </c>
      <c r="S32" s="19" t="s">
        <v>376</v>
      </c>
      <c r="T32" s="16">
        <v>1</v>
      </c>
      <c r="U32" s="16">
        <v>4</v>
      </c>
      <c r="V32" s="16">
        <v>6</v>
      </c>
      <c r="W32" s="16" t="s">
        <v>376</v>
      </c>
      <c r="X32" s="16" t="s">
        <v>376</v>
      </c>
      <c r="Y32" t="s">
        <v>376</v>
      </c>
      <c r="Z32" t="s">
        <v>376</v>
      </c>
      <c r="AA32" t="s">
        <v>376</v>
      </c>
      <c r="AB32" t="s">
        <v>376</v>
      </c>
      <c r="AC32" t="s">
        <v>376</v>
      </c>
      <c r="AD32" t="s">
        <v>376</v>
      </c>
      <c r="AE32">
        <v>2</v>
      </c>
    </row>
    <row r="33" spans="1:31" x14ac:dyDescent="0.25">
      <c r="A33" s="19">
        <v>47</v>
      </c>
      <c r="B33" s="19">
        <v>69</v>
      </c>
      <c r="C33" s="19">
        <v>51</v>
      </c>
      <c r="D33" s="19">
        <v>71</v>
      </c>
      <c r="E33" s="19" t="s">
        <v>376</v>
      </c>
      <c r="F33" s="19">
        <v>1</v>
      </c>
      <c r="G33" s="19" t="s">
        <v>376</v>
      </c>
      <c r="H33" s="19">
        <v>1</v>
      </c>
      <c r="I33" s="19" t="s">
        <v>376</v>
      </c>
      <c r="J33" s="19">
        <v>1</v>
      </c>
      <c r="K33" s="19" t="s">
        <v>376</v>
      </c>
      <c r="L33" s="19">
        <v>1</v>
      </c>
      <c r="M33" s="19" t="s">
        <v>376</v>
      </c>
      <c r="N33" s="19">
        <v>1</v>
      </c>
      <c r="O33" s="19" t="s">
        <v>376</v>
      </c>
      <c r="P33" s="19">
        <v>1</v>
      </c>
      <c r="Q33" s="19" t="s">
        <v>376</v>
      </c>
      <c r="R33" s="19">
        <v>1</v>
      </c>
      <c r="S33" s="19" t="s">
        <v>376</v>
      </c>
      <c r="T33" s="16">
        <v>1</v>
      </c>
      <c r="U33" s="16">
        <v>1</v>
      </c>
      <c r="V33" s="16">
        <v>9</v>
      </c>
      <c r="W33" s="16" t="s">
        <v>376</v>
      </c>
      <c r="X33" s="16" t="s">
        <v>376</v>
      </c>
      <c r="Y33" t="s">
        <v>376</v>
      </c>
      <c r="Z33" t="s">
        <v>376</v>
      </c>
      <c r="AA33" t="s">
        <v>376</v>
      </c>
      <c r="AB33" t="s">
        <v>376</v>
      </c>
      <c r="AC33" t="s">
        <v>376</v>
      </c>
      <c r="AD33" t="s">
        <v>376</v>
      </c>
      <c r="AE33">
        <v>2</v>
      </c>
    </row>
    <row r="34" spans="1:31" x14ac:dyDescent="0.25">
      <c r="A34" s="19">
        <v>7</v>
      </c>
      <c r="B34" s="19">
        <v>12</v>
      </c>
      <c r="C34" s="19">
        <v>2</v>
      </c>
      <c r="D34" s="19">
        <v>11</v>
      </c>
      <c r="E34" s="19" t="s">
        <v>376</v>
      </c>
      <c r="F34" s="19">
        <v>1</v>
      </c>
      <c r="G34" s="19" t="s">
        <v>376</v>
      </c>
      <c r="H34" s="19">
        <v>1</v>
      </c>
      <c r="I34" s="19" t="s">
        <v>376</v>
      </c>
      <c r="J34" s="19">
        <v>1</v>
      </c>
      <c r="K34" s="19" t="s">
        <v>376</v>
      </c>
      <c r="L34" s="19">
        <v>1</v>
      </c>
      <c r="M34" s="19" t="s">
        <v>376</v>
      </c>
      <c r="N34" s="19">
        <v>1</v>
      </c>
      <c r="O34" s="19" t="s">
        <v>376</v>
      </c>
      <c r="P34" s="19">
        <v>1</v>
      </c>
      <c r="Q34" s="19" t="s">
        <v>376</v>
      </c>
      <c r="R34" s="19">
        <v>1</v>
      </c>
      <c r="S34" s="19" t="s">
        <v>376</v>
      </c>
      <c r="T34" s="16">
        <v>1</v>
      </c>
      <c r="U34" s="16">
        <v>9</v>
      </c>
      <c r="V34" s="16">
        <v>10</v>
      </c>
      <c r="W34" s="16" t="s">
        <v>376</v>
      </c>
      <c r="X34" s="16" t="s">
        <v>376</v>
      </c>
      <c r="Y34" t="s">
        <v>376</v>
      </c>
      <c r="Z34" t="s">
        <v>376</v>
      </c>
      <c r="AA34" t="s">
        <v>376</v>
      </c>
      <c r="AB34" t="s">
        <v>376</v>
      </c>
      <c r="AC34" t="s">
        <v>376</v>
      </c>
      <c r="AD34" t="s">
        <v>376</v>
      </c>
      <c r="AE34">
        <v>2</v>
      </c>
    </row>
    <row r="35" spans="1:31" x14ac:dyDescent="0.25">
      <c r="A35" s="19">
        <v>8</v>
      </c>
      <c r="B35" s="19">
        <v>11</v>
      </c>
      <c r="C35" s="19">
        <v>2</v>
      </c>
      <c r="D35" s="19">
        <v>10</v>
      </c>
      <c r="E35" s="19" t="s">
        <v>376</v>
      </c>
      <c r="F35" s="19">
        <v>1</v>
      </c>
      <c r="G35" s="19" t="s">
        <v>376</v>
      </c>
      <c r="H35" s="19">
        <v>1</v>
      </c>
      <c r="I35" s="19" t="s">
        <v>376</v>
      </c>
      <c r="J35" s="19">
        <v>1</v>
      </c>
      <c r="K35" s="19" t="s">
        <v>376</v>
      </c>
      <c r="L35" s="19">
        <v>1</v>
      </c>
      <c r="M35" s="19" t="s">
        <v>376</v>
      </c>
      <c r="N35" s="19">
        <v>1</v>
      </c>
      <c r="O35" s="19" t="s">
        <v>376</v>
      </c>
      <c r="P35" s="19">
        <v>1</v>
      </c>
      <c r="Q35" s="19" t="s">
        <v>376</v>
      </c>
      <c r="R35" s="19">
        <v>1</v>
      </c>
      <c r="S35" s="19" t="s">
        <v>376</v>
      </c>
      <c r="T35" s="16">
        <v>1</v>
      </c>
      <c r="U35" s="16">
        <v>9</v>
      </c>
      <c r="V35" s="16">
        <v>10</v>
      </c>
      <c r="W35" s="16" t="s">
        <v>376</v>
      </c>
      <c r="X35" s="16" t="s">
        <v>376</v>
      </c>
      <c r="Y35" t="s">
        <v>376</v>
      </c>
      <c r="Z35" t="s">
        <v>376</v>
      </c>
      <c r="AA35" t="s">
        <v>376</v>
      </c>
      <c r="AB35" t="s">
        <v>376</v>
      </c>
      <c r="AC35" t="s">
        <v>376</v>
      </c>
      <c r="AD35" t="s">
        <v>376</v>
      </c>
      <c r="AE35">
        <v>2</v>
      </c>
    </row>
    <row r="36" spans="1:31" x14ac:dyDescent="0.25">
      <c r="A36" s="19">
        <v>12</v>
      </c>
      <c r="B36" s="19">
        <v>24</v>
      </c>
      <c r="C36" s="19">
        <v>1</v>
      </c>
      <c r="D36" s="19">
        <v>23</v>
      </c>
      <c r="E36" s="19" t="s">
        <v>376</v>
      </c>
      <c r="F36" s="19">
        <v>1</v>
      </c>
      <c r="G36" s="19" t="s">
        <v>376</v>
      </c>
      <c r="H36" s="19">
        <v>1</v>
      </c>
      <c r="I36" s="19" t="s">
        <v>376</v>
      </c>
      <c r="J36" s="19">
        <v>1</v>
      </c>
      <c r="K36" s="19" t="s">
        <v>376</v>
      </c>
      <c r="L36" s="19">
        <v>1</v>
      </c>
      <c r="M36" s="19" t="s">
        <v>376</v>
      </c>
      <c r="N36" s="19">
        <v>1</v>
      </c>
      <c r="O36" s="19" t="s">
        <v>376</v>
      </c>
      <c r="P36" s="19">
        <v>1</v>
      </c>
      <c r="Q36" s="19" t="s">
        <v>376</v>
      </c>
      <c r="R36" s="19">
        <v>1</v>
      </c>
      <c r="S36" s="19" t="s">
        <v>376</v>
      </c>
      <c r="T36" s="16">
        <v>1</v>
      </c>
      <c r="U36" s="16">
        <v>9</v>
      </c>
      <c r="V36" s="16">
        <v>10</v>
      </c>
      <c r="W36" s="16" t="s">
        <v>376</v>
      </c>
      <c r="X36" s="16" t="s">
        <v>376</v>
      </c>
      <c r="Y36" t="s">
        <v>376</v>
      </c>
      <c r="Z36" t="s">
        <v>376</v>
      </c>
      <c r="AA36" t="s">
        <v>376</v>
      </c>
      <c r="AB36" t="s">
        <v>376</v>
      </c>
      <c r="AC36" t="s">
        <v>376</v>
      </c>
      <c r="AD36" t="s">
        <v>376</v>
      </c>
      <c r="AE36">
        <v>2</v>
      </c>
    </row>
    <row r="37" spans="1:31" x14ac:dyDescent="0.25">
      <c r="A37" s="19">
        <v>47</v>
      </c>
      <c r="B37" s="19">
        <v>64</v>
      </c>
      <c r="C37" s="19">
        <v>28</v>
      </c>
      <c r="D37" s="19">
        <v>63</v>
      </c>
      <c r="E37" s="19" t="s">
        <v>376</v>
      </c>
      <c r="F37" s="19">
        <v>1</v>
      </c>
      <c r="G37" s="19" t="s">
        <v>376</v>
      </c>
      <c r="H37" s="19">
        <v>1</v>
      </c>
      <c r="I37" s="19" t="s">
        <v>376</v>
      </c>
      <c r="J37" s="19">
        <v>1</v>
      </c>
      <c r="K37" s="19" t="s">
        <v>376</v>
      </c>
      <c r="L37" s="19">
        <v>1</v>
      </c>
      <c r="M37" s="19" t="s">
        <v>376</v>
      </c>
      <c r="N37" s="19">
        <v>1</v>
      </c>
      <c r="O37" s="19" t="s">
        <v>376</v>
      </c>
      <c r="P37" s="19">
        <v>1</v>
      </c>
      <c r="Q37" s="19" t="s">
        <v>376</v>
      </c>
      <c r="R37" s="19">
        <v>1</v>
      </c>
      <c r="S37" s="19" t="s">
        <v>376</v>
      </c>
      <c r="T37" s="16">
        <v>1</v>
      </c>
      <c r="U37" s="16">
        <v>1</v>
      </c>
      <c r="V37" s="16">
        <v>9</v>
      </c>
      <c r="W37" s="16" t="s">
        <v>376</v>
      </c>
      <c r="X37" s="16" t="s">
        <v>376</v>
      </c>
      <c r="Y37" t="s">
        <v>376</v>
      </c>
      <c r="Z37" t="s">
        <v>376</v>
      </c>
      <c r="AA37" t="s">
        <v>376</v>
      </c>
      <c r="AB37" t="s">
        <v>376</v>
      </c>
      <c r="AC37" t="s">
        <v>376</v>
      </c>
      <c r="AD37" t="s">
        <v>376</v>
      </c>
      <c r="AE37">
        <v>2</v>
      </c>
    </row>
    <row r="38" spans="1:31" x14ac:dyDescent="0.25">
      <c r="A38" s="19">
        <v>13</v>
      </c>
      <c r="B38" s="19">
        <v>15</v>
      </c>
      <c r="C38" s="19">
        <v>3</v>
      </c>
      <c r="D38" s="19">
        <v>15</v>
      </c>
      <c r="E38" s="19" t="s">
        <v>376</v>
      </c>
      <c r="F38" s="19">
        <v>1</v>
      </c>
      <c r="G38" s="19" t="s">
        <v>376</v>
      </c>
      <c r="H38" s="19">
        <v>1</v>
      </c>
      <c r="I38" s="19" t="s">
        <v>376</v>
      </c>
      <c r="J38" s="19">
        <v>1</v>
      </c>
      <c r="K38" s="19" t="s">
        <v>376</v>
      </c>
      <c r="L38" s="19">
        <v>1</v>
      </c>
      <c r="M38" s="19" t="s">
        <v>376</v>
      </c>
      <c r="N38" s="19">
        <v>1</v>
      </c>
      <c r="O38" s="19" t="s">
        <v>376</v>
      </c>
      <c r="P38" s="19">
        <v>1</v>
      </c>
      <c r="Q38" s="19" t="s">
        <v>376</v>
      </c>
      <c r="R38" s="19">
        <v>1</v>
      </c>
      <c r="S38" s="19" t="s">
        <v>376</v>
      </c>
      <c r="T38" s="16">
        <v>1</v>
      </c>
      <c r="U38" s="16">
        <v>9</v>
      </c>
      <c r="V38" s="16">
        <v>10</v>
      </c>
      <c r="W38" s="16" t="s">
        <v>376</v>
      </c>
      <c r="X38" s="16" t="s">
        <v>376</v>
      </c>
      <c r="Y38" t="s">
        <v>376</v>
      </c>
      <c r="Z38" t="s">
        <v>376</v>
      </c>
      <c r="AA38" t="s">
        <v>376</v>
      </c>
      <c r="AB38" t="s">
        <v>376</v>
      </c>
      <c r="AC38" t="s">
        <v>376</v>
      </c>
      <c r="AD38" t="s">
        <v>376</v>
      </c>
      <c r="AE38">
        <v>2</v>
      </c>
    </row>
    <row r="39" spans="1:31" x14ac:dyDescent="0.25">
      <c r="A39" s="19">
        <v>17</v>
      </c>
      <c r="B39" s="19">
        <v>22</v>
      </c>
      <c r="C39" s="19">
        <v>5</v>
      </c>
      <c r="D39" s="19">
        <v>21</v>
      </c>
      <c r="E39" s="19" t="s">
        <v>376</v>
      </c>
      <c r="F39" s="19">
        <v>1</v>
      </c>
      <c r="G39" s="19" t="s">
        <v>376</v>
      </c>
      <c r="H39" s="19">
        <v>1</v>
      </c>
      <c r="I39" s="19" t="s">
        <v>376</v>
      </c>
      <c r="J39" s="19">
        <v>1</v>
      </c>
      <c r="K39" s="19" t="s">
        <v>376</v>
      </c>
      <c r="L39" s="19">
        <v>1</v>
      </c>
      <c r="M39" s="19" t="s">
        <v>376</v>
      </c>
      <c r="N39" s="19">
        <v>1</v>
      </c>
      <c r="O39" s="19" t="s">
        <v>376</v>
      </c>
      <c r="P39" s="19">
        <v>1</v>
      </c>
      <c r="Q39" s="19" t="s">
        <v>376</v>
      </c>
      <c r="R39" s="19">
        <v>1</v>
      </c>
      <c r="S39" s="19" t="s">
        <v>376</v>
      </c>
      <c r="T39" s="16">
        <v>1</v>
      </c>
      <c r="U39" s="16">
        <v>9</v>
      </c>
      <c r="V39" s="16">
        <v>10</v>
      </c>
      <c r="W39" s="16" t="s">
        <v>376</v>
      </c>
      <c r="X39" s="16" t="s">
        <v>376</v>
      </c>
      <c r="Y39" t="s">
        <v>376</v>
      </c>
      <c r="Z39" t="s">
        <v>376</v>
      </c>
      <c r="AA39" t="s">
        <v>376</v>
      </c>
      <c r="AB39" t="s">
        <v>376</v>
      </c>
      <c r="AC39" t="s">
        <v>376</v>
      </c>
      <c r="AD39" t="s">
        <v>376</v>
      </c>
      <c r="AE39">
        <v>2</v>
      </c>
    </row>
    <row r="40" spans="1:31" x14ac:dyDescent="0.25">
      <c r="A40" s="19">
        <v>7</v>
      </c>
      <c r="B40" s="19">
        <v>9</v>
      </c>
      <c r="C40" s="19">
        <v>7</v>
      </c>
      <c r="D40" s="19">
        <v>10</v>
      </c>
      <c r="E40" s="19" t="s">
        <v>376</v>
      </c>
      <c r="F40" s="19">
        <v>1</v>
      </c>
      <c r="G40" s="19" t="s">
        <v>376</v>
      </c>
      <c r="H40" s="19">
        <v>1</v>
      </c>
      <c r="I40" s="19" t="s">
        <v>376</v>
      </c>
      <c r="J40" s="19">
        <v>1</v>
      </c>
      <c r="K40" s="19" t="s">
        <v>376</v>
      </c>
      <c r="L40" s="19">
        <v>1</v>
      </c>
      <c r="M40" s="19" t="s">
        <v>376</v>
      </c>
      <c r="N40" s="19">
        <v>1</v>
      </c>
      <c r="O40" s="19" t="s">
        <v>376</v>
      </c>
      <c r="P40" s="19">
        <v>1</v>
      </c>
      <c r="Q40" s="19" t="s">
        <v>376</v>
      </c>
      <c r="R40" s="19">
        <v>1</v>
      </c>
      <c r="S40" s="19" t="s">
        <v>376</v>
      </c>
      <c r="T40" s="16">
        <v>1</v>
      </c>
      <c r="U40" s="16">
        <v>1</v>
      </c>
      <c r="V40" s="16">
        <v>9</v>
      </c>
      <c r="W40" s="16" t="s">
        <v>376</v>
      </c>
      <c r="X40" s="16" t="s">
        <v>376</v>
      </c>
      <c r="Y40" t="s">
        <v>376</v>
      </c>
      <c r="Z40" t="s">
        <v>376</v>
      </c>
      <c r="AA40" t="s">
        <v>376</v>
      </c>
      <c r="AB40" t="s">
        <v>376</v>
      </c>
      <c r="AC40" t="s">
        <v>376</v>
      </c>
      <c r="AD40" t="s">
        <v>376</v>
      </c>
      <c r="AE40">
        <v>2</v>
      </c>
    </row>
    <row r="41" spans="1:31" x14ac:dyDescent="0.25">
      <c r="A41" s="19" t="s">
        <v>377</v>
      </c>
      <c r="B41" s="19"/>
      <c r="C41" s="19"/>
      <c r="D41" s="19"/>
      <c r="E41" s="19"/>
      <c r="F41" s="19"/>
      <c r="G41" s="19"/>
      <c r="H41" s="19"/>
      <c r="I41" s="19"/>
      <c r="J41" s="19"/>
      <c r="K41" s="19"/>
      <c r="L41" s="19"/>
      <c r="M41" s="19"/>
      <c r="N41" s="19"/>
      <c r="O41" s="19"/>
      <c r="P41" s="19"/>
      <c r="Q41" s="19"/>
      <c r="R41" s="19"/>
      <c r="S41" s="19"/>
      <c r="T41" s="16"/>
      <c r="U41" s="16"/>
      <c r="V41" s="16"/>
      <c r="W41" s="16"/>
      <c r="X41" s="16"/>
    </row>
    <row r="42" spans="1:31" x14ac:dyDescent="0.25">
      <c r="A42" s="19"/>
      <c r="B42" s="19"/>
      <c r="C42" s="19"/>
      <c r="D42" s="19"/>
      <c r="E42" s="19"/>
      <c r="F42" s="19"/>
      <c r="G42" s="19"/>
      <c r="H42" s="19"/>
      <c r="I42" s="19"/>
      <c r="J42" s="19"/>
      <c r="K42" s="19"/>
      <c r="L42" s="19"/>
      <c r="M42" s="19"/>
      <c r="N42" s="19"/>
      <c r="O42" s="19"/>
      <c r="P42" s="19"/>
      <c r="Q42" s="19"/>
      <c r="R42" s="19"/>
      <c r="S42" s="19"/>
      <c r="T42" s="16"/>
      <c r="U42" s="16"/>
      <c r="V42" s="16"/>
      <c r="W42" s="16"/>
      <c r="X42" s="16"/>
    </row>
    <row r="43" spans="1:31" x14ac:dyDescent="0.25">
      <c r="A43" s="20"/>
      <c r="B43" s="20"/>
      <c r="C43" s="20"/>
      <c r="D43" s="20"/>
      <c r="E43" s="20"/>
      <c r="F43" s="20"/>
      <c r="G43" s="20"/>
      <c r="H43" s="20"/>
      <c r="I43" s="20"/>
      <c r="J43" s="20"/>
      <c r="K43" s="20"/>
      <c r="L43" s="20"/>
      <c r="M43" s="20"/>
      <c r="N43" s="20"/>
      <c r="O43" s="20"/>
      <c r="P43" s="20"/>
      <c r="Q43" s="20"/>
      <c r="R43" s="20"/>
      <c r="S43" s="20"/>
    </row>
    <row r="44" spans="1:31" x14ac:dyDescent="0.25">
      <c r="A44" s="20"/>
      <c r="B44" s="20"/>
      <c r="C44" s="20"/>
      <c r="D44" s="20"/>
      <c r="E44" s="20"/>
      <c r="F44" s="20"/>
      <c r="G44" s="20"/>
      <c r="H44" s="20"/>
      <c r="I44" s="20"/>
      <c r="J44" s="20"/>
      <c r="K44" s="20"/>
      <c r="L44" s="20"/>
      <c r="M44" s="20"/>
      <c r="N44" s="20"/>
      <c r="O44" s="20"/>
      <c r="P44" s="20"/>
      <c r="Q44" s="20"/>
      <c r="R44" s="20"/>
      <c r="S44" s="20"/>
    </row>
    <row r="45" spans="1:31" x14ac:dyDescent="0.25">
      <c r="A45" s="20"/>
      <c r="B45" s="20"/>
      <c r="C45" s="20"/>
      <c r="D45" s="20"/>
      <c r="E45" s="20"/>
      <c r="F45" s="20"/>
      <c r="G45" s="20"/>
      <c r="H45" s="20"/>
      <c r="I45" s="20"/>
      <c r="J45" s="20"/>
      <c r="K45" s="20"/>
      <c r="L45" s="20"/>
      <c r="M45" s="20"/>
      <c r="N45" s="20"/>
      <c r="O45" s="20"/>
      <c r="P45" s="20"/>
      <c r="Q45" s="20"/>
      <c r="R45" s="20"/>
      <c r="S45" s="20"/>
    </row>
    <row r="46" spans="1:31" x14ac:dyDescent="0.25">
      <c r="A46" s="20"/>
      <c r="B46" s="20"/>
      <c r="C46" s="20"/>
      <c r="D46" s="20"/>
      <c r="E46" s="20"/>
      <c r="F46" s="20"/>
      <c r="G46" s="20"/>
      <c r="H46" s="20"/>
      <c r="I46" s="20"/>
      <c r="J46" s="20"/>
      <c r="K46" s="20"/>
      <c r="L46" s="20"/>
      <c r="M46" s="20"/>
      <c r="N46" s="20"/>
      <c r="O46" s="20"/>
      <c r="P46" s="20"/>
      <c r="Q46" s="20"/>
      <c r="R46" s="20"/>
      <c r="S46" s="20"/>
    </row>
    <row r="47" spans="1:31" x14ac:dyDescent="0.25">
      <c r="A47" s="20"/>
      <c r="B47" s="20"/>
      <c r="C47" s="20"/>
      <c r="D47" s="20"/>
      <c r="E47" s="20"/>
      <c r="F47" s="20"/>
      <c r="G47" s="20"/>
      <c r="H47" s="20"/>
      <c r="I47" s="20"/>
      <c r="J47" s="20"/>
      <c r="K47" s="20"/>
      <c r="L47" s="20"/>
      <c r="M47" s="20"/>
      <c r="N47" s="20"/>
      <c r="O47" s="20"/>
      <c r="P47" s="20"/>
      <c r="Q47" s="20"/>
      <c r="R47" s="20"/>
      <c r="S47" s="20"/>
    </row>
    <row r="48" spans="1:31" x14ac:dyDescent="0.25">
      <c r="A48" s="20"/>
      <c r="B48" s="20"/>
      <c r="C48" s="20"/>
      <c r="D48" s="20"/>
      <c r="E48" s="20"/>
      <c r="F48" s="20"/>
      <c r="G48" s="20"/>
      <c r="H48" s="20"/>
      <c r="I48" s="20"/>
      <c r="J48" s="20"/>
      <c r="K48" s="20"/>
      <c r="L48" s="20"/>
      <c r="M48" s="20"/>
      <c r="N48" s="20"/>
      <c r="O48" s="20"/>
      <c r="P48" s="20"/>
      <c r="Q48" s="20"/>
      <c r="R48" s="20"/>
      <c r="S48" s="20"/>
    </row>
    <row r="49" spans="1:19" x14ac:dyDescent="0.25">
      <c r="A49" s="20"/>
      <c r="B49" s="20"/>
      <c r="C49" s="20"/>
      <c r="D49" s="20"/>
      <c r="E49" s="20"/>
      <c r="F49" s="20"/>
      <c r="G49" s="20"/>
      <c r="H49" s="20"/>
      <c r="I49" s="20"/>
      <c r="J49" s="20"/>
      <c r="K49" s="20"/>
      <c r="L49" s="20"/>
      <c r="M49" s="20"/>
      <c r="N49" s="20"/>
      <c r="O49" s="20"/>
      <c r="P49" s="20"/>
      <c r="Q49" s="20"/>
      <c r="R49" s="20"/>
      <c r="S49" s="20"/>
    </row>
    <row r="50" spans="1:19" x14ac:dyDescent="0.25">
      <c r="A50" s="20"/>
      <c r="B50" s="20"/>
      <c r="C50" s="20"/>
      <c r="D50" s="20"/>
      <c r="E50" s="20"/>
      <c r="F50" s="20"/>
      <c r="G50" s="20"/>
      <c r="H50" s="20"/>
      <c r="I50" s="20"/>
      <c r="J50" s="20"/>
      <c r="K50" s="20"/>
      <c r="L50" s="20"/>
      <c r="M50" s="20"/>
      <c r="N50" s="20"/>
      <c r="O50" s="20"/>
      <c r="P50" s="20"/>
      <c r="Q50" s="20"/>
      <c r="R50" s="20"/>
      <c r="S50" s="20"/>
    </row>
    <row r="51" spans="1:19" x14ac:dyDescent="0.25">
      <c r="A51" s="20"/>
      <c r="B51" s="20"/>
      <c r="C51" s="20"/>
      <c r="D51" s="20"/>
      <c r="E51" s="20"/>
      <c r="F51" s="20"/>
      <c r="G51" s="20"/>
      <c r="H51" s="20"/>
      <c r="I51" s="20"/>
      <c r="J51" s="20"/>
      <c r="K51" s="20"/>
      <c r="L51" s="20"/>
      <c r="M51" s="20"/>
      <c r="N51" s="20"/>
      <c r="O51" s="20"/>
      <c r="P51" s="20"/>
      <c r="Q51" s="20"/>
      <c r="R51" s="20"/>
      <c r="S51" s="20"/>
    </row>
    <row r="52" spans="1:19" x14ac:dyDescent="0.25">
      <c r="A52" s="20"/>
      <c r="B52" s="20"/>
      <c r="C52" s="20"/>
      <c r="D52" s="20"/>
      <c r="E52" s="20"/>
      <c r="F52" s="20"/>
      <c r="G52" s="20"/>
      <c r="H52" s="20"/>
      <c r="I52" s="20"/>
      <c r="J52" s="20"/>
      <c r="K52" s="20"/>
      <c r="L52" s="20"/>
      <c r="M52" s="20"/>
      <c r="N52" s="20"/>
      <c r="O52" s="20"/>
      <c r="P52" s="20"/>
      <c r="Q52" s="20"/>
      <c r="R52" s="20"/>
      <c r="S52" s="20"/>
    </row>
  </sheetData>
  <pageMargins left="0.7" right="0.7" top="0.75" bottom="0.75" header="0.3" footer="0.3"/>
  <customProperties>
    <customPr name="SSCSheetTrackingNo" r:id="rId1"/>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sheetPr>
  <dimension ref="A1:A47"/>
  <sheetViews>
    <sheetView showGridLines="0" zoomScale="90" zoomScaleNormal="90" workbookViewId="0">
      <selection activeCell="H29" sqref="H29"/>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CONCATENATE("check('",SUBSTITUTE(data_directory,"\","/"),FEmodel_name,".txt')")</f>
        <v>check('C:/WinBUGS data/Fixed Effect Model.txt')</v>
      </c>
    </row>
    <row r="5" spans="1:1" x14ac:dyDescent="0.25">
      <c r="A5" t="s">
        <v>19</v>
      </c>
    </row>
    <row r="6" spans="1:1" x14ac:dyDescent="0.25">
      <c r="A6" t="str">
        <f>CONCATENATE("data('",SUBSTITUTE(data_directory,"\","/"),datalist_name,".txt')")</f>
        <v>data('C:/WinBUGS data/Data List.txt')</v>
      </c>
    </row>
    <row r="7" spans="1:1" x14ac:dyDescent="0.25">
      <c r="A7" t="s">
        <v>75</v>
      </c>
    </row>
    <row r="8" spans="1:1" x14ac:dyDescent="0.25">
      <c r="A8" t="str">
        <f>CONCATENATE("data('",SUBSTITUTE(data_directory,"\","/"),data_name,".txt')")</f>
        <v>data('C:/WinBUGS data/Data Table.txt')</v>
      </c>
    </row>
    <row r="9" spans="1:1" x14ac:dyDescent="0.25">
      <c r="A9" t="s">
        <v>20</v>
      </c>
    </row>
    <row r="10" spans="1:1" x14ac:dyDescent="0.25">
      <c r="A10" t="s">
        <v>21</v>
      </c>
    </row>
    <row r="11" spans="1:1" x14ac:dyDescent="0.25">
      <c r="A11" t="s">
        <v>19</v>
      </c>
    </row>
    <row r="12" spans="1:1" x14ac:dyDescent="0.25">
      <c r="A12" t="str">
        <f>CONCATENATE("inits(1,'",SUBSTITUTE(data_directory,"\","/"),FEinits_name,"1.txt')")</f>
        <v>inits(1,'C:/WinBUGS data/Fixed Effect Inits1.txt')</v>
      </c>
    </row>
    <row r="13" spans="1:1" x14ac:dyDescent="0.25">
      <c r="A13" t="s">
        <v>19</v>
      </c>
    </row>
    <row r="14" spans="1:1" x14ac:dyDescent="0.25">
      <c r="A14" t="str">
        <f>CONCATENATE("inits(2,'",SUBSTITUTE(data_directory,"\","/"),FEinits_name,"2.txt')")</f>
        <v>inits(2,'C:/WinBUGS data/Fixed Effect Inits2.txt')</v>
      </c>
    </row>
    <row r="15" spans="1:1" x14ac:dyDescent="0.25">
      <c r="A15" t="s">
        <v>19</v>
      </c>
    </row>
    <row r="16" spans="1:1" x14ac:dyDescent="0.25">
      <c r="A16" t="str">
        <f>CONCATENATE("inits(3,'",SUBSTITUTE(data_directory,"\","/"),FEinits_name,"3.txt')")</f>
        <v>inits(3,'C:/WinBUGS data/Fixed Effect Inits3.txt')</v>
      </c>
    </row>
    <row r="17" spans="1:1" x14ac:dyDescent="0.25">
      <c r="A17" t="s">
        <v>22</v>
      </c>
    </row>
    <row r="18" spans="1:1" x14ac:dyDescent="0.25">
      <c r="A18" t="s">
        <v>23</v>
      </c>
    </row>
    <row r="19" spans="1:1" x14ac:dyDescent="0.25">
      <c r="A19" t="s">
        <v>24</v>
      </c>
    </row>
    <row r="20" spans="1:1" x14ac:dyDescent="0.25">
      <c r="A20" t="str">
        <f>IF(auto_run,CONCATENATE("update(",burn_in,")"),"")</f>
        <v>update(10000)</v>
      </c>
    </row>
    <row r="21" spans="1:1" x14ac:dyDescent="0.25">
      <c r="A21" t="s">
        <v>25</v>
      </c>
    </row>
    <row r="22" spans="1:1" x14ac:dyDescent="0.25">
      <c r="A22" t="str">
        <f>IF(auto_run,IF(DIC,"dic.set()",""),"")</f>
        <v>dic.set()</v>
      </c>
    </row>
    <row r="23" spans="1:1" x14ac:dyDescent="0.25">
      <c r="A23" t="str">
        <f>IF(auto_run,IF(rank,"set(rk)",""),"")</f>
        <v>set(rk)</v>
      </c>
    </row>
    <row r="24" spans="1:1" x14ac:dyDescent="0.25">
      <c r="A24" t="str">
        <f>IF(auto_run,IF(best,"set(best)",""),"")</f>
        <v>set(best)</v>
      </c>
    </row>
    <row r="25" spans="1:1" x14ac:dyDescent="0.25">
      <c r="A25" t="str">
        <f>IF(auto_run,IF(monitor_or,"set(OR)",""),"")</f>
        <v>set(OR)</v>
      </c>
    </row>
    <row r="26" spans="1:1" x14ac:dyDescent="0.25">
      <c r="A26" t="str">
        <f>IF(auto_run,IF(prob,"set(prob)",""),"")</f>
        <v>set(prob)</v>
      </c>
    </row>
    <row r="27" spans="1:1" x14ac:dyDescent="0.25">
      <c r="A27" t="str">
        <f>IF(auto_run,IF(monitor_resdev,"set(resdev)",""),"")</f>
        <v>set(resdev)</v>
      </c>
    </row>
    <row r="28" spans="1:1" x14ac:dyDescent="0.25">
      <c r="A28" t="s">
        <v>199</v>
      </c>
    </row>
    <row r="29" spans="1:1" x14ac:dyDescent="0.25">
      <c r="A29" t="str">
        <f>IF(auto_run,IF(monitor_rd,"set(RD)",""),"")</f>
        <v/>
      </c>
    </row>
    <row r="30" spans="1:1" x14ac:dyDescent="0.25">
      <c r="A30" t="str">
        <f>IF(auto_run,IF(monitor_nnt,"set(NNT)",""),"")</f>
        <v/>
      </c>
    </row>
    <row r="31" spans="1:1" x14ac:dyDescent="0.25">
      <c r="A31" t="str">
        <f>IF(auto_run,IF(monitor_SUCRA,"set(SUCRA)",""),"")</f>
        <v>set(SUCRA)</v>
      </c>
    </row>
    <row r="34" spans="1:1" x14ac:dyDescent="0.25">
      <c r="A34" t="s">
        <v>197</v>
      </c>
    </row>
    <row r="35" spans="1:1" x14ac:dyDescent="0.25">
      <c r="A35" t="s">
        <v>26</v>
      </c>
    </row>
    <row r="36" spans="1:1" x14ac:dyDescent="0.25">
      <c r="A36" t="str">
        <f>IF(auto_run,CONCATENATE("update(",model_runs,")"),"")</f>
        <v>update(10000)</v>
      </c>
    </row>
    <row r="37" spans="1:1" x14ac:dyDescent="0.25">
      <c r="A37" t="s">
        <v>73</v>
      </c>
    </row>
    <row r="38" spans="1:1" x14ac:dyDescent="0.25">
      <c r="A38" t="str">
        <f>IF(auto_run,"stats(*)","")</f>
        <v>stats(*)</v>
      </c>
    </row>
    <row r="39" spans="1:1" x14ac:dyDescent="0.25">
      <c r="A39" t="str">
        <f>IF(auto_run,IF(DIC,"dic.stats()",""),"")</f>
        <v>dic.stats()</v>
      </c>
    </row>
    <row r="40" spans="1:1" x14ac:dyDescent="0.25">
      <c r="A40" t="str">
        <f>IF(auto_run,IF(gr_or,"gr(OR)",""),"")</f>
        <v>gr(OR)</v>
      </c>
    </row>
    <row r="41" spans="1:1" x14ac:dyDescent="0.25">
      <c r="A41" t="str">
        <f>IF(auto_run,IF(trace_or,"trace(OR)",""),"")</f>
        <v>trace(OR)</v>
      </c>
    </row>
    <row r="42" spans="1:1" x14ac:dyDescent="0.25">
      <c r="A42" t="str">
        <f>IF(auto_run,IF(gr_rr,"gr(RR)",""),"")</f>
        <v/>
      </c>
    </row>
    <row r="43" spans="1:1" x14ac:dyDescent="0.25">
      <c r="A43" t="str">
        <f>IF(auto_run,IF(trace_rr,"trace(RR)",""),"")</f>
        <v/>
      </c>
    </row>
    <row r="44" spans="1:1" x14ac:dyDescent="0.25">
      <c r="A44" t="s">
        <v>74</v>
      </c>
    </row>
    <row r="45" spans="1:1" x14ac:dyDescent="0.25">
      <c r="A45" t="str">
        <f ca="1">IF(auto_run,CONCATENATE("save('",SUBSTITUTE(results_directory,"\","/"),FEresults_name,TEXT(date_time," m d yyyy h mm ss AM/PM"),".txt')"),"")</f>
        <v>save('C:/WinBUGS Results/Fixed Effect Results 2 5 2018 3 55 13 PM.txt')</v>
      </c>
    </row>
    <row r="46" spans="1:1" x14ac:dyDescent="0.25">
      <c r="A46" t="str">
        <f ca="1">IF(auto_run,CONCATENATE("save('",SUBSTITUTE(results_directory,"\","/"),FEresults_name,TEXT(date_time," m d yyyy h mm ss AM/PM"),".odc')"),"")</f>
        <v>save('C:/WinBUGS Results/Fixed Effect Results 2 5 2018 3 55 13 PM.odc')</v>
      </c>
    </row>
    <row r="47" spans="1:1" x14ac:dyDescent="0.25">
      <c r="A47" t="str">
        <f>IF(auto_run,"quit()","")</f>
        <v>quit()</v>
      </c>
    </row>
  </sheetData>
  <pageMargins left="0.7" right="0.7" top="0.75" bottom="0.75" header="0.3" footer="0.3"/>
  <customProperties>
    <customPr name="SSCSheetTrackingNo"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3"/>
  </sheetPr>
  <dimension ref="A1:A47"/>
  <sheetViews>
    <sheetView showGridLines="0" zoomScale="90" zoomScaleNormal="90" workbookViewId="0">
      <selection activeCell="A32" sqref="A32"/>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CONCATENATE("check('",SUBSTITUTE(data_directory,"\","/"),REmodel_name,".txt')")</f>
        <v>check('C:/WinBUGS data/Random Effect Model (Vague).txt')</v>
      </c>
    </row>
    <row r="5" spans="1:1" x14ac:dyDescent="0.25">
      <c r="A5" t="s">
        <v>19</v>
      </c>
    </row>
    <row r="6" spans="1:1" x14ac:dyDescent="0.25">
      <c r="A6" t="str">
        <f>CONCATENATE("data('",SUBSTITUTE(data_directory,"\","/"),datalist_name,".txt')")</f>
        <v>data('C:/WinBUGS data/Data List.txt')</v>
      </c>
    </row>
    <row r="7" spans="1:1" x14ac:dyDescent="0.25">
      <c r="A7" t="s">
        <v>75</v>
      </c>
    </row>
    <row r="8" spans="1:1" x14ac:dyDescent="0.25">
      <c r="A8" t="str">
        <f>CONCATENATE("data('",SUBSTITUTE(data_directory,"\","/"),data_name,".txt')")</f>
        <v>data('C:/WinBUGS data/Data Table.txt')</v>
      </c>
    </row>
    <row r="9" spans="1:1" x14ac:dyDescent="0.25">
      <c r="A9" t="s">
        <v>20</v>
      </c>
    </row>
    <row r="10" spans="1:1" x14ac:dyDescent="0.25">
      <c r="A10" t="s">
        <v>21</v>
      </c>
    </row>
    <row r="11" spans="1:1" x14ac:dyDescent="0.25">
      <c r="A11" t="s">
        <v>19</v>
      </c>
    </row>
    <row r="12" spans="1:1" x14ac:dyDescent="0.25">
      <c r="A12" t="str">
        <f>CONCATENATE("inits(1,'",SUBSTITUTE(data_directory,"\","/"),REinits_name,"1.txt')")</f>
        <v>inits(1,'C:/WinBUGS data/Random Effect Inits (Vague)1.txt')</v>
      </c>
    </row>
    <row r="13" spans="1:1" x14ac:dyDescent="0.25">
      <c r="A13" t="s">
        <v>19</v>
      </c>
    </row>
    <row r="14" spans="1:1" x14ac:dyDescent="0.25">
      <c r="A14" t="str">
        <f>CONCATENATE("inits(2,'",SUBSTITUTE(data_directory,"\","/"),REinits_name,"2.txt')")</f>
        <v>inits(2,'C:/WinBUGS data/Random Effect Inits (Vague)2.txt')</v>
      </c>
    </row>
    <row r="15" spans="1:1" x14ac:dyDescent="0.25">
      <c r="A15" t="s">
        <v>19</v>
      </c>
    </row>
    <row r="16" spans="1:1" x14ac:dyDescent="0.25">
      <c r="A16" t="str">
        <f>CONCATENATE("inits(3,'",SUBSTITUTE(data_directory,"\","/"),REinits_name,"3.txt')")</f>
        <v>inits(3,'C:/WinBUGS data/Random Effect Inits (Vague)3.txt')</v>
      </c>
    </row>
    <row r="17" spans="1:1" x14ac:dyDescent="0.25">
      <c r="A17" t="s">
        <v>22</v>
      </c>
    </row>
    <row r="18" spans="1:1" x14ac:dyDescent="0.25">
      <c r="A18" t="s">
        <v>23</v>
      </c>
    </row>
    <row r="19" spans="1:1" x14ac:dyDescent="0.25">
      <c r="A19" t="s">
        <v>24</v>
      </c>
    </row>
    <row r="20" spans="1:1" x14ac:dyDescent="0.25">
      <c r="A20" t="str">
        <f>IF(auto_run,CONCATENATE("update(",burn_in,")"),"")</f>
        <v>update(10000)</v>
      </c>
    </row>
    <row r="21" spans="1:1" x14ac:dyDescent="0.25">
      <c r="A21" t="s">
        <v>25</v>
      </c>
    </row>
    <row r="22" spans="1:1" x14ac:dyDescent="0.25">
      <c r="A22" t="str">
        <f>IF(auto_run,IF(DIC,"dic.set()",""),"")</f>
        <v>dic.set()</v>
      </c>
    </row>
    <row r="23" spans="1:1" x14ac:dyDescent="0.25">
      <c r="A23" t="str">
        <f>IF(auto_run,IF(rank,"set(rk)",""),"")</f>
        <v>set(rk)</v>
      </c>
    </row>
    <row r="24" spans="1:1" x14ac:dyDescent="0.25">
      <c r="A24" t="str">
        <f>IF(auto_run,IF(best,"set(best)",""),"")</f>
        <v>set(best)</v>
      </c>
    </row>
    <row r="25" spans="1:1" x14ac:dyDescent="0.25">
      <c r="A25" t="str">
        <f>IF(auto_run,IF(monitor_or,"set(OR)",""),"")</f>
        <v>set(OR)</v>
      </c>
    </row>
    <row r="26" spans="1:1" x14ac:dyDescent="0.25">
      <c r="A26" t="str">
        <f>IF(auto_run,IF(prob,"set(prob)",""),"")</f>
        <v>set(prob)</v>
      </c>
    </row>
    <row r="27" spans="1:1" x14ac:dyDescent="0.25">
      <c r="A27" t="str">
        <f>IF(auto_run,IF(monitor_resdev,"set(resdev)",""),"")</f>
        <v>set(resdev)</v>
      </c>
    </row>
    <row r="28" spans="1:1" x14ac:dyDescent="0.25">
      <c r="A28" t="str">
        <f>IF(auto_run,IF(monitor_rr,"set(RR)",""),"")</f>
        <v/>
      </c>
    </row>
    <row r="29" spans="1:1" x14ac:dyDescent="0.25">
      <c r="A29" t="str">
        <f>IF(auto_run,IF(monitor_rd,"set(RD)",""),"")</f>
        <v/>
      </c>
    </row>
    <row r="30" spans="1:1" x14ac:dyDescent="0.25">
      <c r="A30" t="str">
        <f>IF(auto_run,IF(monitor_nnt,"set(NNT)",""),"")</f>
        <v/>
      </c>
    </row>
    <row r="31" spans="1:1" x14ac:dyDescent="0.25">
      <c r="A31" t="str">
        <f>IF(auto_run,IF(monitor_SUCRA,"set(SUCRA)",""),"")</f>
        <v>set(SUCRA)</v>
      </c>
    </row>
    <row r="32" spans="1:1" x14ac:dyDescent="0.25">
      <c r="A32" t="s">
        <v>197</v>
      </c>
    </row>
    <row r="33" spans="1:1" x14ac:dyDescent="0.25">
      <c r="A33" t="s">
        <v>199</v>
      </c>
    </row>
    <row r="34" spans="1:1" x14ac:dyDescent="0.25">
      <c r="A34" t="s">
        <v>261</v>
      </c>
    </row>
    <row r="35" spans="1:1" x14ac:dyDescent="0.25">
      <c r="A35" t="s">
        <v>26</v>
      </c>
    </row>
    <row r="36" spans="1:1" x14ac:dyDescent="0.25">
      <c r="A36" t="str">
        <f>IF(auto_run,CONCATENATE("update(",model_runs,")"),"")</f>
        <v>update(10000)</v>
      </c>
    </row>
    <row r="37" spans="1:1" x14ac:dyDescent="0.25">
      <c r="A37" t="s">
        <v>73</v>
      </c>
    </row>
    <row r="38" spans="1:1" x14ac:dyDescent="0.25">
      <c r="A38" t="str">
        <f>IF(auto_run,"stats(*)","")</f>
        <v>stats(*)</v>
      </c>
    </row>
    <row r="39" spans="1:1" x14ac:dyDescent="0.25">
      <c r="A39" t="str">
        <f>IF(auto_run,IF(DIC,"dic.stats()",""),"")</f>
        <v>dic.stats()</v>
      </c>
    </row>
    <row r="40" spans="1:1" x14ac:dyDescent="0.25">
      <c r="A40" t="str">
        <f>IF(auto_run,IF(gr_or,"gr(OR)",""),"")</f>
        <v>gr(OR)</v>
      </c>
    </row>
    <row r="41" spans="1:1" x14ac:dyDescent="0.25">
      <c r="A41" t="str">
        <f>IF(auto_run,IF(trace_or,"trace(OR)",""),"")</f>
        <v>trace(OR)</v>
      </c>
    </row>
    <row r="42" spans="1:1" x14ac:dyDescent="0.25">
      <c r="A42" t="str">
        <f>IF(auto_run,IF(gr_rr,"gr(RR)",""),"")</f>
        <v/>
      </c>
    </row>
    <row r="43" spans="1:1" x14ac:dyDescent="0.25">
      <c r="A43" t="str">
        <f>IF(auto_run,IF(trace_rr,"trace(RR)",""),"")</f>
        <v/>
      </c>
    </row>
    <row r="44" spans="1:1" x14ac:dyDescent="0.25">
      <c r="A44" t="s">
        <v>74</v>
      </c>
    </row>
    <row r="45" spans="1:1" x14ac:dyDescent="0.25">
      <c r="A45" t="str">
        <f ca="1">IF(auto_run,CONCATENATE("save('",SUBSTITUTE(results_directory,"\","/"),REresults_name,TEXT(date_time," m d yyyy h mm ss AM/PM"),".txt')"),"")</f>
        <v>save('C:/WinBUGS Results/Random Effect Results (Vague ) 2 5 2018 3 55 13 PM.txt')</v>
      </c>
    </row>
    <row r="46" spans="1:1" x14ac:dyDescent="0.25">
      <c r="A46" t="str">
        <f ca="1">IF(auto_run,CONCATENATE("save('",SUBSTITUTE(results_directory,"\","/"),REresults_name,TEXT(date_time," m d yyyy h mm ss AM/PM"),".odc')"),"")</f>
        <v>save('C:/WinBUGS Results/Random Effect Results (Vague ) 2 5 2018 3 55 13 PM.odc')</v>
      </c>
    </row>
    <row r="47" spans="1:1" x14ac:dyDescent="0.25">
      <c r="A47" t="str">
        <f>IF(auto_run,"quit()","")</f>
        <v>quit()</v>
      </c>
    </row>
  </sheetData>
  <pageMargins left="0.7" right="0.7" top="0.75" bottom="0.75" header="0.3" footer="0.3"/>
  <customProperties>
    <customPr name="SSCSheetTrackingNo" r:id="rId1"/>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3"/>
  </sheetPr>
  <dimension ref="A1:A33"/>
  <sheetViews>
    <sheetView showGridLines="0" zoomScale="90" zoomScaleNormal="90" workbookViewId="0">
      <selection activeCell="U46" sqref="U46"/>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CONCATENATE("check('",SUBSTITUTE(data_directory,"\","/"),"Inconsistency ",FEmodel_name,".txt')")</f>
        <v>check('C:/WinBUGS data/Inconsistency Fixed Effect Model.txt')</v>
      </c>
    </row>
    <row r="5" spans="1:1" x14ac:dyDescent="0.25">
      <c r="A5" t="s">
        <v>19</v>
      </c>
    </row>
    <row r="6" spans="1:1" x14ac:dyDescent="0.25">
      <c r="A6" t="str">
        <f>CONCATENATE("data('",SUBSTITUTE(data_directory,"\","/"),"Inconsistency ",datalist_name,".txt')")</f>
        <v>data('C:/WinBUGS data/Inconsistency Data List.txt')</v>
      </c>
    </row>
    <row r="7" spans="1:1" x14ac:dyDescent="0.25">
      <c r="A7" t="s">
        <v>75</v>
      </c>
    </row>
    <row r="8" spans="1:1" x14ac:dyDescent="0.25">
      <c r="A8" t="str">
        <f>CONCATENATE("data('",SUBSTITUTE(data_directory,"\","/"),"Inconsistency ",data_name,".txt')")</f>
        <v>data('C:/WinBUGS data/Inconsistency Data Table.txt')</v>
      </c>
    </row>
    <row r="9" spans="1:1" x14ac:dyDescent="0.25">
      <c r="A9" t="s">
        <v>20</v>
      </c>
    </row>
    <row r="10" spans="1:1" x14ac:dyDescent="0.25">
      <c r="A10" t="s">
        <v>21</v>
      </c>
    </row>
    <row r="11" spans="1:1" x14ac:dyDescent="0.25">
      <c r="A11" t="s">
        <v>19</v>
      </c>
    </row>
    <row r="12" spans="1:1" x14ac:dyDescent="0.25">
      <c r="A12" t="str">
        <f>CONCATENATE("inits(1,'",SUBSTITUTE(data_directory,"\","/"),"Inconsistency ",FEinits_name,"1.txt')")</f>
        <v>inits(1,'C:/WinBUGS data/Inconsistency Fixed Effect Inits1.txt')</v>
      </c>
    </row>
    <row r="13" spans="1:1" x14ac:dyDescent="0.25">
      <c r="A13" t="s">
        <v>19</v>
      </c>
    </row>
    <row r="14" spans="1:1" x14ac:dyDescent="0.25">
      <c r="A14" t="str">
        <f>CONCATENATE("inits(2,'",SUBSTITUTE(data_directory,"\","/"),"Inconsistency ",FEinits_name,"2.txt')")</f>
        <v>inits(2,'C:/WinBUGS data/Inconsistency Fixed Effect Inits2.txt')</v>
      </c>
    </row>
    <row r="15" spans="1:1" x14ac:dyDescent="0.25">
      <c r="A15" t="s">
        <v>19</v>
      </c>
    </row>
    <row r="16" spans="1:1" x14ac:dyDescent="0.25">
      <c r="A16" t="str">
        <f>CONCATENATE("inits(3,'",SUBSTITUTE(data_directory,"\","/"),"Inconsistency ",FEinits_name,"3.txt')")</f>
        <v>inits(3,'C:/WinBUGS data/Inconsistency Fixed Effect Inits3.txt')</v>
      </c>
    </row>
    <row r="17" spans="1:1" x14ac:dyDescent="0.25">
      <c r="A17" t="s">
        <v>22</v>
      </c>
    </row>
    <row r="18" spans="1:1" x14ac:dyDescent="0.25">
      <c r="A18" t="s">
        <v>23</v>
      </c>
    </row>
    <row r="19" spans="1:1" x14ac:dyDescent="0.25">
      <c r="A19" t="s">
        <v>24</v>
      </c>
    </row>
    <row r="20" spans="1:1" x14ac:dyDescent="0.25">
      <c r="A20" t="str">
        <f>IF(auto_run,CONCATENATE("update(",burn_in,")"),"")</f>
        <v>update(10000)</v>
      </c>
    </row>
    <row r="21" spans="1:1" x14ac:dyDescent="0.25">
      <c r="A21" t="s">
        <v>25</v>
      </c>
    </row>
    <row r="22" spans="1:1" x14ac:dyDescent="0.25">
      <c r="A22" t="s">
        <v>197</v>
      </c>
    </row>
    <row r="23" spans="1:1" x14ac:dyDescent="0.25">
      <c r="A23" t="s">
        <v>198</v>
      </c>
    </row>
    <row r="24" spans="1:1" x14ac:dyDescent="0.25">
      <c r="A24" t="s">
        <v>199</v>
      </c>
    </row>
    <row r="25" spans="1:1" x14ac:dyDescent="0.25">
      <c r="A25" t="str">
        <f>IF(auto_run,IF(DIC,"dic.set()",""),"")</f>
        <v>dic.set()</v>
      </c>
    </row>
    <row r="26" spans="1:1" x14ac:dyDescent="0.25">
      <c r="A26" t="s">
        <v>26</v>
      </c>
    </row>
    <row r="27" spans="1:1" x14ac:dyDescent="0.25">
      <c r="A27" t="str">
        <f>IF(auto_run,CONCATENATE("update(",model_runs,")"),"")</f>
        <v>update(10000)</v>
      </c>
    </row>
    <row r="28" spans="1:1" x14ac:dyDescent="0.25">
      <c r="A28" t="s">
        <v>73</v>
      </c>
    </row>
    <row r="29" spans="1:1" x14ac:dyDescent="0.25">
      <c r="A29" t="str">
        <f>IF(auto_run,"stats(*)","")</f>
        <v>stats(*)</v>
      </c>
    </row>
    <row r="30" spans="1:1" x14ac:dyDescent="0.25">
      <c r="A30" t="s">
        <v>74</v>
      </c>
    </row>
    <row r="31" spans="1:1" x14ac:dyDescent="0.25">
      <c r="A31" t="str">
        <f ca="1">IF(auto_run,CONCATENATE("save('",SUBSTITUTE(results_directory,"\","/"),"Inconsistency ",FEresults_name,TEXT(date_time," m d yyyy h mm ss AM/PM"),".txt')"),"")</f>
        <v>save('C:/WinBUGS Results/Inconsistency Fixed Effect Results 2 5 2018 3 55 13 PM.txt')</v>
      </c>
    </row>
    <row r="32" spans="1:1" x14ac:dyDescent="0.25">
      <c r="A32" t="str">
        <f ca="1">IF(auto_run,CONCATENATE("save('",SUBSTITUTE(results_directory,"\","/"),"Inconsistency ",FEresults_name,TEXT(date_time," m d yyyy h mm ss AM/PM"),".odc')"),"")</f>
        <v>save('C:/WinBUGS Results/Inconsistency Fixed Effect Results 2 5 2018 3 55 13 PM.odc')</v>
      </c>
    </row>
    <row r="33" spans="1:1" x14ac:dyDescent="0.25">
      <c r="A33" t="s">
        <v>206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3"/>
  </sheetPr>
  <dimension ref="A1:A32"/>
  <sheetViews>
    <sheetView showGridLines="0" zoomScale="90" zoomScaleNormal="90" workbookViewId="0"/>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CONCATENATE("check('",SUBSTITUTE(data_directory,"\","/"),"Inconsistency ",REmodel_name,".txt')")</f>
        <v>check('C:/WinBUGS data/Inconsistency Random Effect Model (Vague).txt')</v>
      </c>
    </row>
    <row r="5" spans="1:1" x14ac:dyDescent="0.25">
      <c r="A5" t="s">
        <v>19</v>
      </c>
    </row>
    <row r="6" spans="1:1" x14ac:dyDescent="0.25">
      <c r="A6" t="str">
        <f>CONCATENATE("data('",SUBSTITUTE(data_directory,"\","/"),"Inconsistency ",datalist_name,".txt')")</f>
        <v>data('C:/WinBUGS data/Inconsistency Data List.txt')</v>
      </c>
    </row>
    <row r="7" spans="1:1" x14ac:dyDescent="0.25">
      <c r="A7" t="s">
        <v>19</v>
      </c>
    </row>
    <row r="8" spans="1:1" x14ac:dyDescent="0.25">
      <c r="A8" t="str">
        <f>CONCATENATE("data('",SUBSTITUTE(data_directory,"\","/"),"Inconsistency ",data_name,".txt')")</f>
        <v>data('C:/WinBUGS data/Inconsistency Data Table.txt')</v>
      </c>
    </row>
    <row r="9" spans="1:1" x14ac:dyDescent="0.25">
      <c r="A9" t="s">
        <v>20</v>
      </c>
    </row>
    <row r="10" spans="1:1" x14ac:dyDescent="0.25">
      <c r="A10" t="s">
        <v>21</v>
      </c>
    </row>
    <row r="11" spans="1:1" x14ac:dyDescent="0.25">
      <c r="A11" t="s">
        <v>19</v>
      </c>
    </row>
    <row r="12" spans="1:1" x14ac:dyDescent="0.25">
      <c r="A12" t="str">
        <f>CONCATENATE("inits(1,'",SUBSTITUTE(data_directory,"\","/"),"Inconsistency ",REinits_name,"1.txt')")</f>
        <v>inits(1,'C:/WinBUGS data/Inconsistency Random Effect Inits (Vague)1.txt')</v>
      </c>
    </row>
    <row r="13" spans="1:1" x14ac:dyDescent="0.25">
      <c r="A13" t="s">
        <v>19</v>
      </c>
    </row>
    <row r="14" spans="1:1" x14ac:dyDescent="0.25">
      <c r="A14" t="str">
        <f>CONCATENATE("inits(2,'",SUBSTITUTE(data_directory,"\","/"),"Inconsistency ",REinits_name,"2.txt')")</f>
        <v>inits(2,'C:/WinBUGS data/Inconsistency Random Effect Inits (Vague)2.txt')</v>
      </c>
    </row>
    <row r="15" spans="1:1" x14ac:dyDescent="0.25">
      <c r="A15" t="s">
        <v>19</v>
      </c>
    </row>
    <row r="16" spans="1:1" x14ac:dyDescent="0.25">
      <c r="A16" t="str">
        <f>CONCATENATE("inits(3,'",SUBSTITUTE(data_directory,"\","/"),"Inconsistency ",REinits_name,"3.txt')")</f>
        <v>inits(3,'C:/WinBUGS data/Inconsistency Random Effect Inits (Vague)3.txt')</v>
      </c>
    </row>
    <row r="17" spans="1:1" x14ac:dyDescent="0.25">
      <c r="A17" t="s">
        <v>22</v>
      </c>
    </row>
    <row r="18" spans="1:1" x14ac:dyDescent="0.25">
      <c r="A18" t="s">
        <v>23</v>
      </c>
    </row>
    <row r="19" spans="1:1" x14ac:dyDescent="0.25">
      <c r="A19" t="s">
        <v>24</v>
      </c>
    </row>
    <row r="20" spans="1:1" x14ac:dyDescent="0.25">
      <c r="A20" t="str">
        <f>IF(auto_run,CONCATENATE("update(",burn_in,")"),"")</f>
        <v>update(10000)</v>
      </c>
    </row>
    <row r="21" spans="1:1" x14ac:dyDescent="0.25">
      <c r="A21" t="s">
        <v>25</v>
      </c>
    </row>
    <row r="22" spans="1:1" x14ac:dyDescent="0.25">
      <c r="A22" t="s">
        <v>197</v>
      </c>
    </row>
    <row r="23" spans="1:1" x14ac:dyDescent="0.25">
      <c r="A23" t="s">
        <v>198</v>
      </c>
    </row>
    <row r="24" spans="1:1" x14ac:dyDescent="0.25">
      <c r="A24" t="s">
        <v>199</v>
      </c>
    </row>
    <row r="25" spans="1:1" x14ac:dyDescent="0.25">
      <c r="A25" t="s">
        <v>26</v>
      </c>
    </row>
    <row r="26" spans="1:1" x14ac:dyDescent="0.25">
      <c r="A26" t="str">
        <f>IF(auto_run,CONCATENATE("update(",model_runs,")"),"")</f>
        <v>update(10000)</v>
      </c>
    </row>
    <row r="27" spans="1:1" x14ac:dyDescent="0.25">
      <c r="A27" t="s">
        <v>73</v>
      </c>
    </row>
    <row r="28" spans="1:1" x14ac:dyDescent="0.25">
      <c r="A28" t="str">
        <f>IF(auto_run,"stats(*)","")</f>
        <v>stats(*)</v>
      </c>
    </row>
    <row r="29" spans="1:1" x14ac:dyDescent="0.25">
      <c r="A29" t="s">
        <v>74</v>
      </c>
    </row>
    <row r="30" spans="1:1" x14ac:dyDescent="0.25">
      <c r="A30" t="str">
        <f ca="1">IF(auto_run,CONCATENATE("save('",SUBSTITUTE(results_directory,"\","/"),"Inconsistency ",REresults_name,TEXT(date_time," m d yyyy h mm ss AM/PM"),".txt')"),"")</f>
        <v>save('C:/WinBUGS Results/Inconsistency Random Effect Results (Vague ) 2 5 2018 3 55 13 PM.txt')</v>
      </c>
    </row>
    <row r="31" spans="1:1" x14ac:dyDescent="0.25">
      <c r="A31" t="str">
        <f ca="1">IF(auto_run,CONCATENATE("save('",SUBSTITUTE(results_directory,"\","/"),"Inconsistency ",REresults_name,TEXT(date_time," m d yyyy h mm ss AM/PM"),".odc')"),"")</f>
        <v>save('C:/WinBUGS Results/Inconsistency Random Effect Results (Vague ) 2 5 2018 3 55 13 PM.odc')</v>
      </c>
    </row>
    <row r="32" spans="1:1" x14ac:dyDescent="0.25">
      <c r="A32" t="s">
        <v>206</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sheetPr>
  <dimension ref="A1:H60"/>
  <sheetViews>
    <sheetView showGridLines="0" topLeftCell="A12" zoomScale="90" zoomScaleNormal="90" workbookViewId="0">
      <selection activeCell="A26" sqref="A26:XFD34"/>
    </sheetView>
  </sheetViews>
  <sheetFormatPr defaultRowHeight="15" x14ac:dyDescent="0.25"/>
  <sheetData>
    <row r="1" spans="1:8" x14ac:dyDescent="0.25">
      <c r="A1" t="s">
        <v>27</v>
      </c>
      <c r="D1" t="s">
        <v>122</v>
      </c>
    </row>
    <row r="2" spans="1:8" x14ac:dyDescent="0.25">
      <c r="B2" t="s">
        <v>77</v>
      </c>
    </row>
    <row r="3" spans="1:8" x14ac:dyDescent="0.25">
      <c r="B3" t="s">
        <v>78</v>
      </c>
    </row>
    <row r="4" spans="1:8" x14ac:dyDescent="0.25">
      <c r="B4" t="s">
        <v>321</v>
      </c>
    </row>
    <row r="5" spans="1:8" x14ac:dyDescent="0.25">
      <c r="B5" t="s">
        <v>28</v>
      </c>
      <c r="G5" t="s">
        <v>324</v>
      </c>
    </row>
    <row r="6" spans="1:8" x14ac:dyDescent="0.25">
      <c r="B6" t="s">
        <v>79</v>
      </c>
      <c r="G6" t="s">
        <v>325</v>
      </c>
    </row>
    <row r="7" spans="1:8" x14ac:dyDescent="0.25">
      <c r="C7" t="s">
        <v>87</v>
      </c>
    </row>
    <row r="8" spans="1:8" x14ac:dyDescent="0.25">
      <c r="C8" t="s">
        <v>141</v>
      </c>
    </row>
    <row r="9" spans="1:8" x14ac:dyDescent="0.25">
      <c r="A9" t="s">
        <v>80</v>
      </c>
      <c r="C9" t="s">
        <v>315</v>
      </c>
      <c r="H9" t="s">
        <v>323</v>
      </c>
    </row>
    <row r="10" spans="1:8" x14ac:dyDescent="0.25">
      <c r="C10" t="s">
        <v>316</v>
      </c>
      <c r="H10" t="s">
        <v>322</v>
      </c>
    </row>
    <row r="11" spans="1:8" x14ac:dyDescent="0.25">
      <c r="C11" t="s">
        <v>327</v>
      </c>
    </row>
    <row r="12" spans="1:8" x14ac:dyDescent="0.25">
      <c r="C12" t="s">
        <v>326</v>
      </c>
    </row>
    <row r="13" spans="1:8" x14ac:dyDescent="0.25">
      <c r="C13" t="s">
        <v>29</v>
      </c>
    </row>
    <row r="14" spans="1:8" x14ac:dyDescent="0.25">
      <c r="B14" t="s">
        <v>320</v>
      </c>
      <c r="F14" t="s">
        <v>319</v>
      </c>
    </row>
    <row r="15" spans="1:8" x14ac:dyDescent="0.25">
      <c r="A15" t="s">
        <v>82</v>
      </c>
      <c r="B15" t="s">
        <v>83</v>
      </c>
    </row>
    <row r="16" spans="1:8" x14ac:dyDescent="0.25">
      <c r="B16" t="s">
        <v>328</v>
      </c>
    </row>
    <row r="18" spans="1:6" x14ac:dyDescent="0.25">
      <c r="B18" t="s">
        <v>31</v>
      </c>
    </row>
    <row r="20" spans="1:6" x14ac:dyDescent="0.25">
      <c r="B20" t="s">
        <v>84</v>
      </c>
    </row>
    <row r="21" spans="1:6" x14ac:dyDescent="0.25">
      <c r="B21" t="s">
        <v>81</v>
      </c>
    </row>
    <row r="22" spans="1:6" x14ac:dyDescent="0.25">
      <c r="C22" t="s">
        <v>85</v>
      </c>
    </row>
    <row r="23" spans="1:6" x14ac:dyDescent="0.25">
      <c r="B23" t="s">
        <v>86</v>
      </c>
    </row>
    <row r="25" spans="1:6" x14ac:dyDescent="0.25">
      <c r="A25" t="s">
        <v>82</v>
      </c>
    </row>
    <row r="26" spans="1:6" x14ac:dyDescent="0.25">
      <c r="B26" t="s">
        <v>76</v>
      </c>
    </row>
    <row r="27" spans="1:6" x14ac:dyDescent="0.25">
      <c r="B27" t="s">
        <v>88</v>
      </c>
    </row>
    <row r="28" spans="1:6" x14ac:dyDescent="0.25">
      <c r="B28" t="s">
        <v>87</v>
      </c>
    </row>
    <row r="29" spans="1:6" x14ac:dyDescent="0.25">
      <c r="C29" t="str">
        <f>IF(events_bad,"","rk[k]&lt;-NT+1-rank(d[],k)")</f>
        <v>rk[k]&lt;-NT+1-rank(d[],k)</v>
      </c>
      <c r="F29" t="s">
        <v>156</v>
      </c>
    </row>
    <row r="30" spans="1:6" x14ac:dyDescent="0.25">
      <c r="C30" t="str">
        <f>IF(events_bad,"rk[k]&lt;- rank(d[],k)","")</f>
        <v/>
      </c>
      <c r="F30" t="s">
        <v>155</v>
      </c>
    </row>
    <row r="31" spans="1:6" x14ac:dyDescent="0.25">
      <c r="A31" t="s">
        <v>89</v>
      </c>
      <c r="C31" t="s">
        <v>132</v>
      </c>
    </row>
    <row r="33" spans="2:4" x14ac:dyDescent="0.25">
      <c r="C33" t="s">
        <v>90</v>
      </c>
    </row>
    <row r="34" spans="2:4" x14ac:dyDescent="0.25">
      <c r="C34" t="s">
        <v>81</v>
      </c>
    </row>
    <row r="35" spans="2:4" x14ac:dyDescent="0.25">
      <c r="D35" t="s">
        <v>255</v>
      </c>
    </row>
    <row r="36" spans="2:4" x14ac:dyDescent="0.25">
      <c r="C36" t="s">
        <v>30</v>
      </c>
    </row>
    <row r="37" spans="2:4" x14ac:dyDescent="0.25">
      <c r="B37" t="s">
        <v>30</v>
      </c>
    </row>
    <row r="38" spans="2:4" x14ac:dyDescent="0.25">
      <c r="B38" t="s">
        <v>88</v>
      </c>
    </row>
    <row r="39" spans="2:4" x14ac:dyDescent="0.25">
      <c r="B39" t="s">
        <v>87</v>
      </c>
    </row>
    <row r="40" spans="2:4" x14ac:dyDescent="0.25">
      <c r="C40" t="s">
        <v>90</v>
      </c>
    </row>
    <row r="41" spans="2:4" x14ac:dyDescent="0.25">
      <c r="C41" t="s">
        <v>81</v>
      </c>
    </row>
    <row r="42" spans="2:4" x14ac:dyDescent="0.25">
      <c r="D42" t="s">
        <v>254</v>
      </c>
    </row>
    <row r="43" spans="2:4" x14ac:dyDescent="0.25">
      <c r="C43" t="s">
        <v>30</v>
      </c>
    </row>
    <row r="44" spans="2:4" x14ac:dyDescent="0.25">
      <c r="B44" t="s">
        <v>30</v>
      </c>
    </row>
    <row r="45" spans="2:4" x14ac:dyDescent="0.25">
      <c r="B45" t="s">
        <v>143</v>
      </c>
    </row>
    <row r="46" spans="2:4" x14ac:dyDescent="0.25">
      <c r="B46" t="s">
        <v>81</v>
      </c>
    </row>
    <row r="47" spans="2:4" x14ac:dyDescent="0.25">
      <c r="B47" t="s">
        <v>142</v>
      </c>
    </row>
    <row r="48" spans="2:4" x14ac:dyDescent="0.25">
      <c r="B48" t="s">
        <v>30</v>
      </c>
    </row>
    <row r="50" spans="1:4" x14ac:dyDescent="0.25">
      <c r="B50" t="s">
        <v>349</v>
      </c>
    </row>
    <row r="51" spans="1:4" x14ac:dyDescent="0.25">
      <c r="B51" t="s">
        <v>91</v>
      </c>
    </row>
    <row r="52" spans="1:4" x14ac:dyDescent="0.25">
      <c r="B52" t="s">
        <v>92</v>
      </c>
    </row>
    <row r="53" spans="1:4" x14ac:dyDescent="0.25">
      <c r="C53" t="s">
        <v>93</v>
      </c>
    </row>
    <row r="54" spans="1:4" x14ac:dyDescent="0.25">
      <c r="C54" t="s">
        <v>87</v>
      </c>
    </row>
    <row r="55" spans="1:4" x14ac:dyDescent="0.25">
      <c r="D55" t="s">
        <v>108</v>
      </c>
    </row>
    <row r="56" spans="1:4" x14ac:dyDescent="0.25">
      <c r="D56" t="s">
        <v>113</v>
      </c>
    </row>
    <row r="57" spans="1:4" x14ac:dyDescent="0.25">
      <c r="C57" t="s">
        <v>94</v>
      </c>
    </row>
    <row r="58" spans="1:4" x14ac:dyDescent="0.25">
      <c r="B58" t="s">
        <v>30</v>
      </c>
    </row>
    <row r="60" spans="1:4" x14ac:dyDescent="0.25">
      <c r="A60" t="s">
        <v>30</v>
      </c>
      <c r="B60" t="s">
        <v>95</v>
      </c>
    </row>
  </sheetData>
  <pageMargins left="0.7" right="0.7" top="0.75" bottom="0.75" header="0.3" footer="0.3"/>
  <customProperties>
    <customPr name="SSCSheetTrackingNo"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T202"/>
  <sheetViews>
    <sheetView showGridLines="0" topLeftCell="D1" zoomScaleNormal="100" workbookViewId="0">
      <selection activeCell="E5" sqref="E5:L49"/>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Fixed Effects</v>
      </c>
      <c r="F1" s="57"/>
      <c r="G1" s="57"/>
      <c r="H1" s="57"/>
      <c r="I1" s="57"/>
      <c r="J1" s="57"/>
      <c r="K1" s="57"/>
      <c r="L1" s="57"/>
      <c r="M1" s="57"/>
    </row>
    <row r="2" spans="1:20" x14ac:dyDescent="0.25">
      <c r="F2" s="57"/>
      <c r="G2" s="57"/>
      <c r="H2" s="57"/>
      <c r="I2" s="57"/>
      <c r="J2" s="57"/>
      <c r="K2" s="57"/>
      <c r="L2" s="57"/>
      <c r="M2" s="57"/>
    </row>
    <row r="3" spans="1:20" x14ac:dyDescent="0.25">
      <c r="F3" s="277" t="str">
        <f>"Fixed Effects"</f>
        <v>Fixed Effects</v>
      </c>
      <c r="G3" s="277"/>
      <c r="H3" s="277"/>
      <c r="I3" s="277"/>
      <c r="J3" s="277"/>
      <c r="K3" s="277"/>
      <c r="L3" s="277"/>
      <c r="N3" s="277" t="str">
        <f>"Fixed Effects"</f>
        <v>Fixed Effects</v>
      </c>
      <c r="O3" s="277"/>
      <c r="P3" s="277"/>
      <c r="Q3" s="277"/>
      <c r="R3" s="277"/>
      <c r="S3" s="277"/>
      <c r="T3" s="277"/>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B5" s="19"/>
      <c r="C5" s="19"/>
      <c r="F5" s="59"/>
      <c r="G5" s="54"/>
      <c r="H5" s="16"/>
      <c r="I5" s="16"/>
      <c r="J5" s="16"/>
      <c r="K5" s="59" t="str">
        <f t="shared" ref="K5:K49" si="0">CONCATENATE(TEXT(I5,"0.00")," (",TEXT(H5,"0.00")," – ",TEXT(J5,"0.00"),")")</f>
        <v>0.00 (0.00 – 0.00)</v>
      </c>
      <c r="L5" s="16" t="str">
        <f t="shared" ref="L5:L49" si="1">CONCATENATE(TEXT(I5,"0.00"),"
(",TEXT(H5,"0.00")," – ",TEXT(J5,"0.00"),")")</f>
        <v>0.00
(0.00 – 0.00)</v>
      </c>
      <c r="N5" s="59"/>
      <c r="O5" s="104"/>
    </row>
    <row r="6" spans="1:20" x14ac:dyDescent="0.25">
      <c r="K6" s="59" t="str">
        <f t="shared" si="0"/>
        <v>0.00 (0.00 – 0.00)</v>
      </c>
      <c r="L6" s="16" t="str">
        <f t="shared" si="1"/>
        <v>0.00
(0.00 – 0.00)</v>
      </c>
      <c r="N6" s="59"/>
      <c r="O6" s="16"/>
    </row>
    <row r="7" spans="1:20" x14ac:dyDescent="0.25">
      <c r="B7" s="19"/>
      <c r="C7" s="19"/>
      <c r="K7" s="59" t="str">
        <f t="shared" si="0"/>
        <v>0.00 (0.00 – 0.00)</v>
      </c>
      <c r="L7" s="16" t="str">
        <f t="shared" si="1"/>
        <v>0.00
(0.00 – 0.00)</v>
      </c>
      <c r="N7" s="59"/>
      <c r="O7" s="16"/>
    </row>
    <row r="8" spans="1:20" x14ac:dyDescent="0.25">
      <c r="B8" s="19"/>
      <c r="C8" s="19"/>
      <c r="E8" s="57"/>
      <c r="F8" s="57"/>
      <c r="G8" s="57"/>
      <c r="H8" s="57"/>
      <c r="I8" s="57"/>
      <c r="J8" s="57"/>
      <c r="K8" s="59" t="str">
        <f t="shared" si="0"/>
        <v>0.00 (0.00 – 0.00)</v>
      </c>
      <c r="L8" s="16" t="str">
        <f t="shared" si="1"/>
        <v>0.00
(0.00 – 0.00)</v>
      </c>
      <c r="N8" s="59"/>
      <c r="O8" s="16"/>
    </row>
    <row r="9" spans="1:20" x14ac:dyDescent="0.25">
      <c r="E9" s="57"/>
      <c r="F9" s="57"/>
      <c r="G9" s="57"/>
      <c r="H9" s="57"/>
      <c r="I9" s="57"/>
      <c r="J9" s="57"/>
      <c r="K9" s="59" t="str">
        <f t="shared" si="0"/>
        <v>0.00 (0.00 – 0.00)</v>
      </c>
      <c r="L9" s="16" t="str">
        <f t="shared" si="1"/>
        <v>0.00
(0.00 – 0.00)</v>
      </c>
      <c r="N9" s="59"/>
      <c r="O9" s="16"/>
    </row>
    <row r="10" spans="1:20" x14ac:dyDescent="0.25">
      <c r="E10" s="57"/>
      <c r="F10" s="57"/>
      <c r="G10" s="57"/>
      <c r="H10" s="57"/>
      <c r="I10" s="57"/>
      <c r="J10" s="57"/>
      <c r="K10" s="59" t="str">
        <f t="shared" si="0"/>
        <v>0.00 (0.00 – 0.00)</v>
      </c>
      <c r="L10" s="16" t="str">
        <f t="shared" si="1"/>
        <v>0.00
(0.00 – 0.00)</v>
      </c>
      <c r="N10" s="59"/>
      <c r="O10" s="16"/>
    </row>
    <row r="11" spans="1:20" x14ac:dyDescent="0.25">
      <c r="B11" s="19"/>
      <c r="C11" s="19"/>
      <c r="F11" s="59"/>
      <c r="G11" s="54"/>
      <c r="H11" s="16"/>
      <c r="I11" s="16"/>
      <c r="J11" s="16"/>
      <c r="K11" s="59" t="str">
        <f t="shared" si="0"/>
        <v>0.00 (0.00 – 0.00)</v>
      </c>
      <c r="L11" s="16" t="str">
        <f t="shared" si="1"/>
        <v>0.00
(0.00 – 0.00)</v>
      </c>
      <c r="N11" s="59"/>
      <c r="O11" s="16"/>
    </row>
    <row r="12" spans="1:20" x14ac:dyDescent="0.25">
      <c r="F12" s="59"/>
      <c r="G12" s="54"/>
      <c r="H12" s="16"/>
      <c r="I12" s="16"/>
      <c r="J12" s="16"/>
      <c r="K12" s="59" t="str">
        <f t="shared" si="0"/>
        <v>0.00 (0.00 – 0.00)</v>
      </c>
      <c r="L12" s="16" t="str">
        <f t="shared" si="1"/>
        <v>0.00
(0.00 – 0.00)</v>
      </c>
      <c r="N12" s="59"/>
      <c r="O12" s="16"/>
    </row>
    <row r="13" spans="1:20" x14ac:dyDescent="0.25">
      <c r="B13" s="19"/>
      <c r="C13" s="19"/>
      <c r="F13" s="59"/>
      <c r="G13" s="54"/>
      <c r="H13" s="16"/>
      <c r="I13" s="16"/>
      <c r="J13" s="16"/>
      <c r="K13" s="59" t="str">
        <f t="shared" si="0"/>
        <v>0.00 (0.00 – 0.00)</v>
      </c>
      <c r="L13" s="16" t="str">
        <f t="shared" si="1"/>
        <v>0.00
(0.00 – 0.00)</v>
      </c>
      <c r="N13" s="59"/>
      <c r="O13" s="16"/>
    </row>
    <row r="14" spans="1:20" x14ac:dyDescent="0.25">
      <c r="F14" s="59"/>
      <c r="G14" s="54"/>
      <c r="H14" s="16"/>
      <c r="I14" s="16"/>
      <c r="J14" s="16"/>
      <c r="K14" s="59" t="str">
        <f t="shared" si="0"/>
        <v>0.00 (0.00 – 0.00)</v>
      </c>
      <c r="L14" s="16" t="str">
        <f t="shared" si="1"/>
        <v>0.00
(0.00 – 0.00)</v>
      </c>
      <c r="N14" s="59"/>
      <c r="O14" s="16"/>
    </row>
    <row r="15" spans="1:20" ht="15" customHeight="1" x14ac:dyDescent="0.25">
      <c r="K15" s="59" t="str">
        <f t="shared" si="0"/>
        <v>0.00 (0.00 – 0.00)</v>
      </c>
      <c r="L15" s="16" t="str">
        <f t="shared" si="1"/>
        <v>0.00
(0.00 – 0.00)</v>
      </c>
      <c r="N15" s="59"/>
      <c r="O15" s="16"/>
    </row>
    <row r="16" spans="1:20" ht="15" customHeight="1" x14ac:dyDescent="0.25">
      <c r="E16" s="57"/>
      <c r="F16" s="57"/>
      <c r="G16" s="57"/>
      <c r="H16" s="57"/>
      <c r="I16" s="57"/>
      <c r="J16" s="57"/>
      <c r="K16" s="59" t="str">
        <f t="shared" si="0"/>
        <v>0.00 (0.00 – 0.00)</v>
      </c>
      <c r="L16" s="16" t="str">
        <f t="shared" si="1"/>
        <v>0.00
(0.00 – 0.00)</v>
      </c>
      <c r="N16" s="59"/>
      <c r="O16" s="16"/>
    </row>
    <row r="17" spans="5:15" ht="15" customHeight="1" x14ac:dyDescent="0.25">
      <c r="E17" s="57"/>
      <c r="F17" s="57"/>
      <c r="G17" s="57"/>
      <c r="H17" s="57"/>
      <c r="I17" s="57"/>
      <c r="J17" s="57"/>
      <c r="K17" s="59" t="str">
        <f t="shared" si="0"/>
        <v>0.00 (0.00 – 0.00)</v>
      </c>
      <c r="L17" s="16" t="str">
        <f t="shared" si="1"/>
        <v>0.00
(0.00 – 0.00)</v>
      </c>
      <c r="N17" s="59"/>
      <c r="O17" s="16"/>
    </row>
    <row r="18" spans="5:15" ht="15" customHeight="1" x14ac:dyDescent="0.25">
      <c r="E18" s="57"/>
      <c r="F18" s="57"/>
      <c r="G18" s="57"/>
      <c r="H18" s="57"/>
      <c r="I18" s="57"/>
      <c r="J18" s="57"/>
      <c r="K18" s="59" t="str">
        <f t="shared" si="0"/>
        <v>0.00 (0.00 – 0.00)</v>
      </c>
      <c r="L18" s="16" t="str">
        <f t="shared" si="1"/>
        <v>0.00
(0.00 – 0.00)</v>
      </c>
      <c r="N18" s="59"/>
      <c r="O18" s="16"/>
    </row>
    <row r="19" spans="5:15" ht="15" customHeight="1" x14ac:dyDescent="0.25">
      <c r="K19" s="59" t="str">
        <f t="shared" si="0"/>
        <v>0.00 (0.00 – 0.00)</v>
      </c>
      <c r="L19" s="16" t="str">
        <f t="shared" si="1"/>
        <v>0.00
(0.00 – 0.00)</v>
      </c>
      <c r="N19" s="59"/>
      <c r="O19" s="16"/>
    </row>
    <row r="20" spans="5:15" ht="15" customHeight="1" x14ac:dyDescent="0.25">
      <c r="K20" s="59" t="str">
        <f t="shared" si="0"/>
        <v>0.00 (0.00 – 0.00)</v>
      </c>
      <c r="L20" s="16" t="str">
        <f t="shared" si="1"/>
        <v>0.00
(0.00 – 0.00)</v>
      </c>
      <c r="N20" s="59"/>
      <c r="O20" s="16"/>
    </row>
    <row r="21" spans="5:15" ht="15" customHeight="1" x14ac:dyDescent="0.25">
      <c r="K21" s="59" t="str">
        <f t="shared" si="0"/>
        <v>0.00 (0.00 – 0.00)</v>
      </c>
      <c r="L21" s="16" t="str">
        <f t="shared" si="1"/>
        <v>0.00
(0.00 – 0.00)</v>
      </c>
      <c r="N21" s="59"/>
      <c r="O21" s="16"/>
    </row>
    <row r="22" spans="5:15" ht="15" customHeight="1" x14ac:dyDescent="0.25">
      <c r="K22" s="59" t="str">
        <f t="shared" si="0"/>
        <v>0.00 (0.00 – 0.00)</v>
      </c>
      <c r="L22" s="16" t="str">
        <f t="shared" si="1"/>
        <v>0.00
(0.00 – 0.00)</v>
      </c>
      <c r="N22" s="59"/>
      <c r="O22" s="16"/>
    </row>
    <row r="23" spans="5:15" ht="15" customHeight="1" x14ac:dyDescent="0.25">
      <c r="F23" s="59"/>
      <c r="G23" s="54"/>
      <c r="H23" s="16"/>
      <c r="I23" s="16"/>
      <c r="J23" s="16"/>
      <c r="K23" s="59" t="str">
        <f t="shared" si="0"/>
        <v>0.00 (0.00 – 0.00)</v>
      </c>
      <c r="L23" s="16" t="str">
        <f t="shared" si="1"/>
        <v>0.00
(0.00 – 0.00)</v>
      </c>
      <c r="N23" s="59"/>
      <c r="O23" s="16"/>
    </row>
    <row r="24" spans="5:15" ht="15" customHeight="1" x14ac:dyDescent="0.25">
      <c r="K24" s="59" t="str">
        <f t="shared" si="0"/>
        <v>0.00 (0.00 – 0.00)</v>
      </c>
      <c r="L24" s="16" t="str">
        <f t="shared" si="1"/>
        <v>0.00
(0.00 – 0.00)</v>
      </c>
      <c r="N24" s="59"/>
      <c r="O24" s="16"/>
    </row>
    <row r="25" spans="5:15" ht="15" customHeight="1" x14ac:dyDescent="0.25">
      <c r="E25" s="57"/>
      <c r="F25" s="57"/>
      <c r="G25" s="57"/>
      <c r="H25" s="57"/>
      <c r="I25" s="57"/>
      <c r="J25" s="57"/>
      <c r="K25" s="59" t="str">
        <f t="shared" si="0"/>
        <v>0.00 (0.00 – 0.00)</v>
      </c>
      <c r="L25" s="16" t="str">
        <f t="shared" si="1"/>
        <v>0.00
(0.00 – 0.00)</v>
      </c>
      <c r="N25" s="59"/>
      <c r="O25" s="16"/>
    </row>
    <row r="26" spans="5:15" ht="15" customHeight="1" x14ac:dyDescent="0.25">
      <c r="K26" s="59" t="str">
        <f t="shared" si="0"/>
        <v>0.00 (0.00 – 0.00)</v>
      </c>
      <c r="L26" s="16" t="str">
        <f t="shared" si="1"/>
        <v>0.00
(0.00 – 0.00)</v>
      </c>
      <c r="N26" s="59"/>
      <c r="O26" s="16"/>
    </row>
    <row r="27" spans="5:15" ht="15" customHeight="1" x14ac:dyDescent="0.25">
      <c r="E27" s="57"/>
      <c r="F27" s="57"/>
      <c r="G27" s="57"/>
      <c r="H27" s="57"/>
      <c r="I27" s="57"/>
      <c r="J27" s="57"/>
      <c r="K27" s="59" t="str">
        <f t="shared" si="0"/>
        <v>0.00 (0.00 – 0.00)</v>
      </c>
      <c r="L27" s="16" t="str">
        <f t="shared" si="1"/>
        <v>0.00
(0.00 – 0.00)</v>
      </c>
      <c r="N27" s="59"/>
      <c r="O27" s="16"/>
    </row>
    <row r="28" spans="5:15" ht="15" customHeight="1" x14ac:dyDescent="0.25">
      <c r="K28" s="59" t="str">
        <f t="shared" si="0"/>
        <v>0.00 (0.00 – 0.00)</v>
      </c>
      <c r="L28" s="16" t="str">
        <f t="shared" si="1"/>
        <v>0.00
(0.00 – 0.00)</v>
      </c>
      <c r="N28" s="59"/>
      <c r="O28" s="16"/>
    </row>
    <row r="29" spans="5:15" ht="15" customHeight="1" x14ac:dyDescent="0.25">
      <c r="K29" s="59" t="str">
        <f t="shared" si="0"/>
        <v>0.00 (0.00 – 0.00)</v>
      </c>
      <c r="L29" s="16" t="str">
        <f t="shared" si="1"/>
        <v>0.00
(0.00 – 0.00)</v>
      </c>
      <c r="N29" s="59"/>
      <c r="O29" s="16"/>
    </row>
    <row r="30" spans="5:15" ht="15" customHeight="1" x14ac:dyDescent="0.25">
      <c r="K30" s="59" t="str">
        <f t="shared" si="0"/>
        <v>0.00 (0.00 – 0.00)</v>
      </c>
      <c r="L30" s="16" t="str">
        <f t="shared" si="1"/>
        <v>0.00
(0.00 – 0.00)</v>
      </c>
      <c r="N30" s="59"/>
      <c r="O30" s="16"/>
    </row>
    <row r="31" spans="5:15" ht="15" customHeight="1" x14ac:dyDescent="0.25">
      <c r="E31" s="57"/>
      <c r="F31" s="57"/>
      <c r="G31" s="57"/>
      <c r="H31" s="57"/>
      <c r="I31" s="57"/>
      <c r="J31" s="57"/>
      <c r="K31" s="59" t="str">
        <f t="shared" si="0"/>
        <v>0.00 (0.00 – 0.00)</v>
      </c>
      <c r="L31" s="16" t="str">
        <f t="shared" si="1"/>
        <v>0.00
(0.00 – 0.00)</v>
      </c>
      <c r="N31" s="59"/>
      <c r="O31" s="16"/>
    </row>
    <row r="32" spans="5:15" ht="15" customHeight="1" x14ac:dyDescent="0.25">
      <c r="K32" s="59" t="str">
        <f t="shared" si="0"/>
        <v>0.00 (0.00 – 0.00)</v>
      </c>
      <c r="L32" s="16" t="str">
        <f t="shared" si="1"/>
        <v>0.00
(0.00 – 0.00)</v>
      </c>
      <c r="N32" s="59"/>
      <c r="O32" s="16"/>
    </row>
    <row r="33" spans="3:15" ht="15" customHeight="1" x14ac:dyDescent="0.25">
      <c r="K33" s="59" t="str">
        <f t="shared" si="0"/>
        <v>0.00 (0.00 – 0.00)</v>
      </c>
      <c r="L33" s="16" t="str">
        <f t="shared" si="1"/>
        <v>0.00
(0.00 – 0.00)</v>
      </c>
      <c r="N33" s="59"/>
      <c r="O33" s="16"/>
    </row>
    <row r="34" spans="3:15" ht="15" customHeight="1" x14ac:dyDescent="0.25">
      <c r="E34" s="57"/>
      <c r="F34" s="57"/>
      <c r="G34" s="57"/>
      <c r="H34" s="57"/>
      <c r="I34" s="57"/>
      <c r="J34" s="57"/>
      <c r="K34" s="59" t="str">
        <f t="shared" si="0"/>
        <v>0.00 (0.00 – 0.00)</v>
      </c>
      <c r="L34" s="16" t="str">
        <f t="shared" si="1"/>
        <v>0.00
(0.00 – 0.00)</v>
      </c>
      <c r="N34" s="59"/>
      <c r="O34" s="16"/>
    </row>
    <row r="35" spans="3:15" ht="15" customHeight="1" x14ac:dyDescent="0.25">
      <c r="E35" s="57"/>
      <c r="F35" s="57"/>
      <c r="G35" s="57"/>
      <c r="H35" s="57"/>
      <c r="I35" s="57"/>
      <c r="J35" s="57"/>
      <c r="K35" s="59" t="str">
        <f t="shared" si="0"/>
        <v>0.00 (0.00 – 0.00)</v>
      </c>
      <c r="L35" s="16" t="str">
        <f t="shared" si="1"/>
        <v>0.00
(0.00 – 0.00)</v>
      </c>
      <c r="N35" s="59"/>
      <c r="O35" s="16"/>
    </row>
    <row r="36" spans="3:15" ht="15" customHeight="1" x14ac:dyDescent="0.25">
      <c r="C36" s="56"/>
      <c r="D36" s="57"/>
      <c r="E36" s="57"/>
      <c r="F36" s="57"/>
      <c r="G36" s="57"/>
      <c r="H36" s="57"/>
      <c r="I36" s="57"/>
      <c r="J36" s="57"/>
      <c r="K36" s="59" t="str">
        <f t="shared" si="0"/>
        <v>0.00 (0.00 – 0.00)</v>
      </c>
      <c r="L36" s="16" t="str">
        <f t="shared" si="1"/>
        <v>0.00
(0.00 – 0.00)</v>
      </c>
      <c r="M36" s="57"/>
      <c r="N36" s="59"/>
      <c r="O36" s="16"/>
    </row>
    <row r="37" spans="3:15" ht="15" customHeight="1" x14ac:dyDescent="0.25">
      <c r="C37" s="56"/>
      <c r="D37" s="57"/>
      <c r="F37" s="59"/>
      <c r="G37" s="54"/>
      <c r="H37" s="16"/>
      <c r="I37" s="16"/>
      <c r="J37" s="16"/>
      <c r="K37" s="59" t="str">
        <f t="shared" si="0"/>
        <v>0.00 (0.00 – 0.00)</v>
      </c>
      <c r="L37" s="16" t="str">
        <f t="shared" si="1"/>
        <v>0.00
(0.00 – 0.00)</v>
      </c>
      <c r="M37" s="57"/>
      <c r="N37" s="59"/>
      <c r="O37" s="16"/>
    </row>
    <row r="38" spans="3:15" ht="15" customHeight="1" x14ac:dyDescent="0.25">
      <c r="C38" s="56"/>
      <c r="D38" s="57"/>
      <c r="F38" s="59"/>
      <c r="G38" s="54"/>
      <c r="H38" s="16"/>
      <c r="I38" s="16"/>
      <c r="J38" s="16"/>
      <c r="K38" s="59" t="str">
        <f t="shared" si="0"/>
        <v>0.00 (0.00 – 0.00)</v>
      </c>
      <c r="L38" s="16" t="str">
        <f t="shared" si="1"/>
        <v>0.00
(0.00 – 0.00)</v>
      </c>
      <c r="M38" s="57"/>
      <c r="N38" s="59"/>
      <c r="O38" s="16"/>
    </row>
    <row r="39" spans="3:15" ht="15" customHeight="1" x14ac:dyDescent="0.25">
      <c r="C39" s="56"/>
      <c r="D39" s="57"/>
      <c r="K39" s="59" t="str">
        <f t="shared" si="0"/>
        <v>0.00 (0.00 – 0.00)</v>
      </c>
      <c r="L39" s="16" t="str">
        <f t="shared" si="1"/>
        <v>0.00
(0.00 – 0.00)</v>
      </c>
      <c r="M39" s="57"/>
      <c r="N39" s="59"/>
      <c r="O39" s="16"/>
    </row>
    <row r="40" spans="3:15" ht="15" customHeight="1" x14ac:dyDescent="0.25">
      <c r="C40" s="56"/>
      <c r="D40" s="57"/>
      <c r="K40" s="59" t="str">
        <f t="shared" si="0"/>
        <v>0.00 (0.00 – 0.00)</v>
      </c>
      <c r="L40" s="16" t="str">
        <f t="shared" si="1"/>
        <v>0.00
(0.00 – 0.00)</v>
      </c>
      <c r="M40" s="57"/>
      <c r="N40" s="59"/>
      <c r="O40" s="16"/>
    </row>
    <row r="41" spans="3:15" ht="15" customHeight="1" x14ac:dyDescent="0.25">
      <c r="C41" s="56"/>
      <c r="D41" s="57"/>
      <c r="K41" s="59" t="str">
        <f t="shared" si="0"/>
        <v>0.00 (0.00 – 0.00)</v>
      </c>
      <c r="L41" s="16" t="str">
        <f t="shared" si="1"/>
        <v>0.00
(0.00 – 0.00)</v>
      </c>
      <c r="M41" s="57"/>
      <c r="N41" s="59"/>
      <c r="O41" s="16"/>
    </row>
    <row r="42" spans="3:15" ht="15" customHeight="1" x14ac:dyDescent="0.25">
      <c r="C42" s="56"/>
      <c r="D42" s="57"/>
      <c r="E42" s="57"/>
      <c r="F42" s="57"/>
      <c r="G42" s="57"/>
      <c r="H42" s="57"/>
      <c r="I42" s="57"/>
      <c r="J42" s="57"/>
      <c r="K42" s="59" t="str">
        <f t="shared" si="0"/>
        <v>0.00 (0.00 – 0.00)</v>
      </c>
      <c r="L42" s="16" t="str">
        <f t="shared" si="1"/>
        <v>0.00
(0.00 – 0.00)</v>
      </c>
      <c r="M42" s="57"/>
      <c r="N42" s="59"/>
      <c r="O42" s="16"/>
    </row>
    <row r="43" spans="3:15" ht="15" customHeight="1" x14ac:dyDescent="0.25">
      <c r="C43" s="56"/>
      <c r="D43" s="57"/>
      <c r="F43" s="59"/>
      <c r="G43" s="54"/>
      <c r="H43" s="16"/>
      <c r="I43" s="16"/>
      <c r="J43" s="16"/>
      <c r="K43" s="59" t="str">
        <f t="shared" si="0"/>
        <v>0.00 (0.00 – 0.00)</v>
      </c>
      <c r="L43" s="16" t="str">
        <f t="shared" si="1"/>
        <v>0.00
(0.00 – 0.00)</v>
      </c>
      <c r="M43" s="57"/>
      <c r="N43" s="59"/>
      <c r="O43" s="16"/>
    </row>
    <row r="44" spans="3:15" ht="15" customHeight="1" x14ac:dyDescent="0.25">
      <c r="C44" s="56"/>
      <c r="D44" s="57"/>
      <c r="K44" s="59" t="str">
        <f t="shared" si="0"/>
        <v>0.00 (0.00 – 0.00)</v>
      </c>
      <c r="L44" s="16" t="str">
        <f t="shared" si="1"/>
        <v>0.00
(0.00 – 0.00)</v>
      </c>
      <c r="M44" s="57"/>
      <c r="N44" s="59"/>
      <c r="O44" s="16"/>
    </row>
    <row r="45" spans="3:15" ht="15" customHeight="1" x14ac:dyDescent="0.25">
      <c r="C45" s="56"/>
      <c r="D45" s="57"/>
      <c r="E45" s="57"/>
      <c r="F45" s="57"/>
      <c r="G45" s="57"/>
      <c r="H45" s="57"/>
      <c r="I45" s="57"/>
      <c r="J45" s="57"/>
      <c r="K45" s="59" t="str">
        <f t="shared" si="0"/>
        <v>0.00 (0.00 – 0.00)</v>
      </c>
      <c r="L45" s="16" t="str">
        <f t="shared" si="1"/>
        <v>0.00
(0.00 – 0.00)</v>
      </c>
      <c r="M45" s="57"/>
      <c r="N45" s="59"/>
      <c r="O45" s="16"/>
    </row>
    <row r="46" spans="3:15" ht="15" customHeight="1" x14ac:dyDescent="0.25">
      <c r="C46" s="56"/>
      <c r="D46" s="57"/>
      <c r="K46" s="59" t="str">
        <f t="shared" si="0"/>
        <v>0.00 (0.00 – 0.00)</v>
      </c>
      <c r="L46" s="16" t="str">
        <f t="shared" si="1"/>
        <v>0.00
(0.00 – 0.00)</v>
      </c>
      <c r="M46" s="57"/>
      <c r="N46" s="59"/>
      <c r="O46" s="16"/>
    </row>
    <row r="47" spans="3:15" ht="15" customHeight="1" x14ac:dyDescent="0.25">
      <c r="C47" s="56"/>
      <c r="D47" s="57"/>
      <c r="K47" s="59" t="str">
        <f t="shared" si="0"/>
        <v>0.00 (0.00 – 0.00)</v>
      </c>
      <c r="L47" s="16" t="str">
        <f t="shared" si="1"/>
        <v>0.00
(0.00 – 0.00)</v>
      </c>
      <c r="M47" s="57"/>
      <c r="N47" s="59"/>
      <c r="O47" s="16"/>
    </row>
    <row r="48" spans="3:15" ht="15" customHeight="1" x14ac:dyDescent="0.25">
      <c r="C48" s="56"/>
      <c r="D48" s="57"/>
      <c r="K48" s="59" t="str">
        <f t="shared" si="0"/>
        <v>0.00 (0.00 – 0.00)</v>
      </c>
      <c r="L48" s="16" t="str">
        <f t="shared" si="1"/>
        <v>0.00
(0.00 – 0.00)</v>
      </c>
      <c r="M48" s="57"/>
      <c r="N48" s="59"/>
      <c r="O48" s="16"/>
    </row>
    <row r="49" spans="3:15" ht="15" customHeight="1" x14ac:dyDescent="0.25">
      <c r="C49" s="56"/>
      <c r="D49" s="57"/>
      <c r="F49" s="59"/>
      <c r="G49" s="54"/>
      <c r="H49" s="16"/>
      <c r="I49" s="16"/>
      <c r="J49" s="16"/>
      <c r="K49" s="59" t="str">
        <f t="shared" si="0"/>
        <v>0.00 (0.00 – 0.00)</v>
      </c>
      <c r="L49" s="16" t="str">
        <f t="shared" si="1"/>
        <v>0.00
(0.00 – 0.00)</v>
      </c>
      <c r="M49" s="57"/>
      <c r="N49" s="59"/>
      <c r="O49" s="16"/>
    </row>
    <row r="50" spans="3:15" ht="15" hidden="1" customHeight="1" x14ac:dyDescent="0.25">
      <c r="C50" s="56"/>
      <c r="D50" s="57"/>
      <c r="E50" s="57"/>
      <c r="F50" s="57"/>
      <c r="G50" s="57"/>
      <c r="H50" s="57"/>
      <c r="I50" s="57"/>
      <c r="J50" s="57"/>
      <c r="K50" s="59" t="str">
        <f t="shared" ref="K50:K68" si="2">CONCATENATE(TEXT(I50,"0.00")," (",TEXT(H50,"0.00")," – ",TEXT(J50,"0.00"),")")</f>
        <v>0.00 (0.00 – 0.00)</v>
      </c>
      <c r="L50" s="16" t="str">
        <f t="shared" ref="L50:L69" si="3">CONCATENATE(TEXT(I50,"0.00"),"
(",TEXT(H50,"0.00")," – ",TEXT(J50,"0.00"),")")</f>
        <v>0.00
(0.00 – 0.00)</v>
      </c>
      <c r="M50" s="57"/>
      <c r="N50" s="59"/>
      <c r="O50" s="16"/>
    </row>
    <row r="51" spans="3:15" ht="15" hidden="1" customHeight="1" x14ac:dyDescent="0.25">
      <c r="C51" s="56"/>
      <c r="D51" s="57"/>
      <c r="E51" s="57"/>
      <c r="F51" s="57"/>
      <c r="G51" s="57"/>
      <c r="H51" s="57"/>
      <c r="I51" s="57"/>
      <c r="J51" s="57"/>
      <c r="K51" s="59" t="str">
        <f t="shared" si="2"/>
        <v>0.00 (0.00 – 0.00)</v>
      </c>
      <c r="L51" s="16" t="str">
        <f t="shared" si="3"/>
        <v>0.00
(0.00 – 0.00)</v>
      </c>
      <c r="M51" s="57"/>
      <c r="N51" s="59"/>
      <c r="O51" s="16"/>
    </row>
    <row r="52" spans="3:15" ht="15" hidden="1" customHeight="1" x14ac:dyDescent="0.25">
      <c r="C52" s="56"/>
      <c r="D52" s="57"/>
      <c r="E52" s="57"/>
      <c r="F52" s="57"/>
      <c r="G52" s="57"/>
      <c r="H52" s="57"/>
      <c r="I52" s="57"/>
      <c r="J52" s="57"/>
      <c r="K52" s="59" t="str">
        <f t="shared" si="2"/>
        <v>0.00 (0.00 – 0.00)</v>
      </c>
      <c r="L52" s="16" t="str">
        <f t="shared" si="3"/>
        <v>0.00
(0.00 – 0.00)</v>
      </c>
      <c r="M52" s="57"/>
      <c r="N52" s="59"/>
      <c r="O52" s="16"/>
    </row>
    <row r="53" spans="3:15" ht="15" hidden="1" customHeight="1" x14ac:dyDescent="0.25">
      <c r="C53" s="56"/>
      <c r="D53" s="57"/>
      <c r="E53" s="57"/>
      <c r="F53" s="57"/>
      <c r="G53" s="57"/>
      <c r="H53" s="57"/>
      <c r="I53" s="57"/>
      <c r="J53" s="57"/>
      <c r="K53" s="59" t="str">
        <f t="shared" si="2"/>
        <v>0.00 (0.00 – 0.00)</v>
      </c>
      <c r="L53" s="16" t="str">
        <f t="shared" si="3"/>
        <v>0.00
(0.00 – 0.00)</v>
      </c>
      <c r="M53" s="57"/>
      <c r="N53" s="59"/>
      <c r="O53" s="16"/>
    </row>
    <row r="54" spans="3:15" ht="15" hidden="1" customHeight="1" x14ac:dyDescent="0.25">
      <c r="C54" s="56"/>
      <c r="D54" s="57"/>
      <c r="E54" s="57"/>
      <c r="F54" s="57"/>
      <c r="G54" s="57"/>
      <c r="H54" s="57"/>
      <c r="I54" s="57"/>
      <c r="J54" s="57"/>
      <c r="K54" s="59" t="str">
        <f t="shared" si="2"/>
        <v>0.00 (0.00 – 0.00)</v>
      </c>
      <c r="L54" s="16" t="str">
        <f t="shared" si="3"/>
        <v>0.00
(0.00 – 0.00)</v>
      </c>
      <c r="M54" s="57"/>
      <c r="N54" s="59"/>
      <c r="O54" s="16"/>
    </row>
    <row r="55" spans="3:15" ht="15" hidden="1" customHeight="1" x14ac:dyDescent="0.25">
      <c r="C55" s="56"/>
      <c r="D55" s="57"/>
      <c r="E55" s="57"/>
      <c r="F55" s="57"/>
      <c r="G55" s="57"/>
      <c r="H55" s="57"/>
      <c r="I55" s="57"/>
      <c r="J55" s="57"/>
      <c r="K55" s="59" t="str">
        <f t="shared" si="2"/>
        <v>0.00 (0.00 – 0.00)</v>
      </c>
      <c r="L55" s="16" t="str">
        <f t="shared" si="3"/>
        <v>0.00
(0.00 – 0.00)</v>
      </c>
      <c r="M55" s="57"/>
      <c r="N55" s="59"/>
      <c r="O55" s="16"/>
    </row>
    <row r="56" spans="3:15" ht="15" hidden="1" customHeight="1" x14ac:dyDescent="0.25">
      <c r="C56" s="56"/>
      <c r="D56" s="57"/>
      <c r="E56" s="57"/>
      <c r="F56" s="57"/>
      <c r="G56" s="57"/>
      <c r="H56" s="57"/>
      <c r="I56" s="57"/>
      <c r="J56" s="57"/>
      <c r="K56" s="59" t="str">
        <f t="shared" si="2"/>
        <v>0.00 (0.00 – 0.00)</v>
      </c>
      <c r="L56" s="16" t="str">
        <f t="shared" si="3"/>
        <v>0.00
(0.00 – 0.00)</v>
      </c>
      <c r="M56" s="57"/>
      <c r="N56" s="59"/>
      <c r="O56" s="16"/>
    </row>
    <row r="57" spans="3:15" ht="15" hidden="1" customHeight="1" x14ac:dyDescent="0.25">
      <c r="C57" s="56"/>
      <c r="D57" s="57"/>
      <c r="E57" s="57"/>
      <c r="F57" s="57"/>
      <c r="G57" s="57"/>
      <c r="H57" s="57"/>
      <c r="I57" s="57"/>
      <c r="J57" s="57"/>
      <c r="K57" s="59" t="str">
        <f t="shared" si="2"/>
        <v>0.00 (0.00 – 0.00)</v>
      </c>
      <c r="L57" s="16" t="str">
        <f t="shared" si="3"/>
        <v>0.00
(0.00 – 0.00)</v>
      </c>
      <c r="M57" s="57"/>
      <c r="N57" s="59"/>
      <c r="O57" s="16"/>
    </row>
    <row r="58" spans="3:15" ht="15" hidden="1" customHeight="1" x14ac:dyDescent="0.25">
      <c r="C58" s="56"/>
      <c r="D58" s="57"/>
      <c r="E58" s="57"/>
      <c r="F58" s="57"/>
      <c r="G58" s="57"/>
      <c r="H58" s="57"/>
      <c r="I58" s="57"/>
      <c r="J58" s="57"/>
      <c r="K58" s="59" t="str">
        <f t="shared" si="2"/>
        <v>0.00 (0.00 – 0.00)</v>
      </c>
      <c r="L58" s="16" t="str">
        <f t="shared" si="3"/>
        <v>0.00
(0.00 – 0.00)</v>
      </c>
      <c r="M58" s="57"/>
      <c r="N58" s="59"/>
      <c r="O58" s="16"/>
    </row>
    <row r="59" spans="3:15" ht="15" hidden="1" customHeight="1" x14ac:dyDescent="0.25">
      <c r="C59" s="56"/>
      <c r="D59" s="57"/>
      <c r="E59" s="57"/>
      <c r="F59" s="57"/>
      <c r="G59" s="57"/>
      <c r="H59" s="57"/>
      <c r="I59" s="57"/>
      <c r="J59" s="57"/>
      <c r="K59" s="59" t="str">
        <f t="shared" si="2"/>
        <v>0.00 (0.00 – 0.00)</v>
      </c>
      <c r="L59" s="16" t="str">
        <f t="shared" si="3"/>
        <v>0.00
(0.00 – 0.00)</v>
      </c>
      <c r="M59" s="57"/>
      <c r="N59" s="59"/>
      <c r="O59" s="16"/>
    </row>
    <row r="60" spans="3:15" ht="15" hidden="1" customHeight="1" x14ac:dyDescent="0.25">
      <c r="C60" s="56"/>
      <c r="D60" s="57"/>
      <c r="E60" s="57"/>
      <c r="F60" s="57"/>
      <c r="G60" s="57"/>
      <c r="H60" s="57"/>
      <c r="I60" s="57"/>
      <c r="J60" s="57"/>
      <c r="K60" s="59" t="str">
        <f t="shared" si="2"/>
        <v>0.00 (0.00 – 0.00)</v>
      </c>
      <c r="L60" s="16" t="str">
        <f t="shared" si="3"/>
        <v>0.00
(0.00 – 0.00)</v>
      </c>
      <c r="M60" s="57"/>
      <c r="N60" s="59"/>
      <c r="O60" s="16"/>
    </row>
    <row r="61" spans="3:15" ht="15" hidden="1" customHeight="1" x14ac:dyDescent="0.25">
      <c r="C61" s="56"/>
      <c r="D61" s="57"/>
      <c r="E61" s="57"/>
      <c r="F61" s="57"/>
      <c r="G61" s="57"/>
      <c r="H61" s="57"/>
      <c r="I61" s="57"/>
      <c r="J61" s="57"/>
      <c r="K61" s="59" t="str">
        <f t="shared" si="2"/>
        <v>0.00 (0.00 – 0.00)</v>
      </c>
      <c r="L61" s="16" t="str">
        <f t="shared" si="3"/>
        <v>0.00
(0.00 – 0.00)</v>
      </c>
      <c r="M61" s="57"/>
      <c r="N61" s="59"/>
      <c r="O61" s="16"/>
    </row>
    <row r="62" spans="3:15" ht="15" hidden="1" customHeight="1" x14ac:dyDescent="0.25">
      <c r="C62" s="56"/>
      <c r="D62" s="57"/>
      <c r="E62" s="57"/>
      <c r="F62" s="57"/>
      <c r="G62" s="57"/>
      <c r="H62" s="57"/>
      <c r="I62" s="57"/>
      <c r="J62" s="57"/>
      <c r="K62" s="59" t="str">
        <f t="shared" si="2"/>
        <v>0.00 (0.00 – 0.00)</v>
      </c>
      <c r="L62" s="16" t="str">
        <f t="shared" si="3"/>
        <v>0.00
(0.00 – 0.00)</v>
      </c>
      <c r="M62" s="57"/>
      <c r="N62" s="59"/>
      <c r="O62" s="16"/>
    </row>
    <row r="63" spans="3:15" ht="15" hidden="1" customHeight="1" x14ac:dyDescent="0.25">
      <c r="C63" s="56"/>
      <c r="D63" s="57"/>
      <c r="E63" s="57"/>
      <c r="F63" s="57"/>
      <c r="G63" s="57"/>
      <c r="H63" s="57"/>
      <c r="I63" s="57"/>
      <c r="J63" s="57"/>
      <c r="K63" s="59" t="str">
        <f t="shared" si="2"/>
        <v>0.00 (0.00 – 0.00)</v>
      </c>
      <c r="L63" s="16" t="str">
        <f t="shared" si="3"/>
        <v>0.00
(0.00 – 0.00)</v>
      </c>
      <c r="M63" s="57"/>
      <c r="N63" s="59"/>
      <c r="O63" s="16"/>
    </row>
    <row r="64" spans="3:15" ht="15" hidden="1" customHeight="1" x14ac:dyDescent="0.25">
      <c r="C64" s="56"/>
      <c r="D64" s="57"/>
      <c r="E64" s="57"/>
      <c r="F64" s="57"/>
      <c r="G64" s="57"/>
      <c r="H64" s="57"/>
      <c r="I64" s="57"/>
      <c r="J64" s="57"/>
      <c r="K64" s="59" t="str">
        <f t="shared" si="2"/>
        <v>0.00 (0.00 – 0.00)</v>
      </c>
      <c r="L64" s="16" t="str">
        <f t="shared" si="3"/>
        <v>0.00
(0.00 – 0.00)</v>
      </c>
      <c r="M64" s="57"/>
      <c r="N64" s="59"/>
      <c r="O64" s="16"/>
    </row>
    <row r="65" spans="3:15" ht="15" hidden="1" customHeight="1" x14ac:dyDescent="0.25">
      <c r="C65" s="56"/>
      <c r="D65" s="57"/>
      <c r="E65" s="57"/>
      <c r="F65" s="57"/>
      <c r="G65" s="57"/>
      <c r="H65" s="57"/>
      <c r="I65" s="57"/>
      <c r="J65" s="57"/>
      <c r="K65" s="59" t="str">
        <f t="shared" si="2"/>
        <v>0.00 (0.00 – 0.00)</v>
      </c>
      <c r="L65" s="16" t="str">
        <f t="shared" si="3"/>
        <v>0.00
(0.00 – 0.00)</v>
      </c>
      <c r="M65" s="57"/>
      <c r="N65" s="59"/>
      <c r="O65" s="16"/>
    </row>
    <row r="66" spans="3:15" ht="15" hidden="1" customHeight="1" x14ac:dyDescent="0.25">
      <c r="C66" s="56"/>
      <c r="D66" s="57"/>
      <c r="E66" s="57"/>
      <c r="F66" s="57"/>
      <c r="G66" s="57"/>
      <c r="H66" s="57"/>
      <c r="I66" s="57"/>
      <c r="J66" s="57"/>
      <c r="K66" s="59" t="str">
        <f t="shared" si="2"/>
        <v>0.00 (0.00 – 0.00)</v>
      </c>
      <c r="L66" s="16" t="str">
        <f t="shared" si="3"/>
        <v>0.00
(0.00 – 0.00)</v>
      </c>
      <c r="M66" s="57"/>
      <c r="N66" s="59"/>
      <c r="O66" s="16"/>
    </row>
    <row r="67" spans="3:15" ht="15" hidden="1" customHeight="1" x14ac:dyDescent="0.25">
      <c r="C67" s="56"/>
      <c r="D67" s="57"/>
      <c r="E67" s="57"/>
      <c r="F67" s="57"/>
      <c r="G67" s="57"/>
      <c r="H67" s="57"/>
      <c r="I67" s="57"/>
      <c r="J67" s="57"/>
      <c r="K67" s="59" t="str">
        <f t="shared" si="2"/>
        <v>0.00 (0.00 – 0.00)</v>
      </c>
      <c r="L67" s="16" t="str">
        <f t="shared" si="3"/>
        <v>0.00
(0.00 – 0.00)</v>
      </c>
      <c r="M67" s="57"/>
      <c r="N67" s="59"/>
      <c r="O67" s="16"/>
    </row>
    <row r="68" spans="3:15" ht="15" hidden="1" customHeight="1" x14ac:dyDescent="0.25">
      <c r="C68" s="56"/>
      <c r="D68" s="57"/>
      <c r="E68" s="57"/>
      <c r="F68" s="57"/>
      <c r="G68" s="57"/>
      <c r="H68" s="57"/>
      <c r="I68" s="57"/>
      <c r="J68" s="57"/>
      <c r="K68" s="59" t="str">
        <f t="shared" si="2"/>
        <v>0.00 (0.00 – 0.00)</v>
      </c>
      <c r="L68" s="16" t="str">
        <f t="shared" si="3"/>
        <v>0.00
(0.00 – 0.00)</v>
      </c>
      <c r="M68" s="57"/>
      <c r="N68" s="59"/>
      <c r="O68" s="16"/>
    </row>
    <row r="69" spans="3:15" ht="15" hidden="1" customHeight="1" x14ac:dyDescent="0.25">
      <c r="C69" s="56"/>
      <c r="D69" s="57"/>
      <c r="E69" s="57"/>
      <c r="F69" s="57"/>
      <c r="G69" s="57"/>
      <c r="H69" s="57"/>
      <c r="I69" s="57"/>
      <c r="J69" s="57"/>
      <c r="K69" s="59" t="str">
        <f t="shared" ref="K69:K132" si="4">CONCATENATE(TEXT(I69,"0.00")," (",TEXT(H69,"0.00")," – ",TEXT(J69,"0.00"),")")</f>
        <v>0.00 (0.00 – 0.00)</v>
      </c>
      <c r="L69" s="16" t="str">
        <f t="shared" si="3"/>
        <v>0.00
(0.00 – 0.00)</v>
      </c>
      <c r="M69" s="57"/>
      <c r="N69" s="59"/>
      <c r="O69" s="16"/>
    </row>
    <row r="70" spans="3:15" ht="15" hidden="1" customHeight="1" x14ac:dyDescent="0.25">
      <c r="C70" s="56"/>
      <c r="D70" s="57"/>
      <c r="E70" s="57"/>
      <c r="F70" s="57"/>
      <c r="G70" s="57"/>
      <c r="H70" s="57"/>
      <c r="I70" s="57"/>
      <c r="J70" s="57"/>
      <c r="K70" s="59" t="str">
        <f t="shared" si="4"/>
        <v>0.00 (0.00 – 0.00)</v>
      </c>
      <c r="L70" s="16" t="str">
        <f t="shared" ref="L70:L133" si="5">CONCATENATE(TEXT(I70,"0.00"),"
(",TEXT(H70,"0.00")," – ",TEXT(J70,"0.00"),")")</f>
        <v>0.00
(0.00 – 0.00)</v>
      </c>
      <c r="M70" s="57"/>
      <c r="N70" s="59"/>
      <c r="O70" s="16"/>
    </row>
    <row r="71" spans="3:15" ht="15" hidden="1" customHeight="1" x14ac:dyDescent="0.25">
      <c r="C71" s="56"/>
      <c r="D71" s="57"/>
      <c r="E71" s="57"/>
      <c r="F71" s="57"/>
      <c r="G71" s="57"/>
      <c r="H71" s="57"/>
      <c r="I71" s="57"/>
      <c r="J71" s="57"/>
      <c r="K71" s="59" t="str">
        <f t="shared" si="4"/>
        <v>0.00 (0.00 – 0.00)</v>
      </c>
      <c r="L71" s="16" t="str">
        <f t="shared" si="5"/>
        <v>0.00
(0.00 – 0.00)</v>
      </c>
      <c r="M71" s="57"/>
      <c r="N71" s="59"/>
      <c r="O71" s="16"/>
    </row>
    <row r="72" spans="3:15" ht="15" hidden="1" customHeight="1" x14ac:dyDescent="0.25">
      <c r="C72" s="56"/>
      <c r="D72" s="57"/>
      <c r="E72" s="57"/>
      <c r="F72" s="57"/>
      <c r="G72" s="57"/>
      <c r="H72" s="57"/>
      <c r="I72" s="57"/>
      <c r="J72" s="57"/>
      <c r="K72" s="59" t="str">
        <f t="shared" si="4"/>
        <v>0.00 (0.00 – 0.00)</v>
      </c>
      <c r="L72" s="16" t="str">
        <f t="shared" si="5"/>
        <v>0.00
(0.00 – 0.00)</v>
      </c>
      <c r="M72" s="57"/>
      <c r="N72" s="59"/>
      <c r="O72" s="16"/>
    </row>
    <row r="73" spans="3:15" ht="15" hidden="1" customHeight="1" x14ac:dyDescent="0.25">
      <c r="C73" s="56"/>
      <c r="D73" s="57"/>
      <c r="E73" s="57"/>
      <c r="F73" s="57"/>
      <c r="G73" s="57"/>
      <c r="H73" s="57"/>
      <c r="I73" s="57"/>
      <c r="J73" s="57"/>
      <c r="K73" s="59" t="str">
        <f t="shared" si="4"/>
        <v>0.00 (0.00 – 0.00)</v>
      </c>
      <c r="L73" s="16" t="str">
        <f t="shared" si="5"/>
        <v>0.00
(0.00 – 0.00)</v>
      </c>
      <c r="M73" s="57"/>
      <c r="N73" s="59"/>
      <c r="O73" s="16"/>
    </row>
    <row r="74" spans="3:15" ht="15" hidden="1" customHeight="1" x14ac:dyDescent="0.25">
      <c r="C74" s="56"/>
      <c r="D74" s="57"/>
      <c r="E74" s="57"/>
      <c r="F74" s="57"/>
      <c r="G74" s="57"/>
      <c r="H74" s="57"/>
      <c r="I74" s="57"/>
      <c r="J74" s="57"/>
      <c r="K74" s="59" t="str">
        <f t="shared" si="4"/>
        <v>0.00 (0.00 – 0.00)</v>
      </c>
      <c r="L74" s="16" t="str">
        <f t="shared" si="5"/>
        <v>0.00
(0.00 – 0.00)</v>
      </c>
      <c r="M74" s="57"/>
      <c r="N74" s="59"/>
      <c r="O74" s="16"/>
    </row>
    <row r="75" spans="3:15" ht="15" hidden="1" customHeight="1" x14ac:dyDescent="0.25">
      <c r="C75" s="56"/>
      <c r="D75" s="57"/>
      <c r="E75" s="57"/>
      <c r="F75" s="57"/>
      <c r="G75" s="57"/>
      <c r="H75" s="57"/>
      <c r="I75" s="57"/>
      <c r="J75" s="57"/>
      <c r="K75" s="59" t="str">
        <f t="shared" si="4"/>
        <v>0.00 (0.00 – 0.00)</v>
      </c>
      <c r="L75" s="16" t="str">
        <f t="shared" si="5"/>
        <v>0.00
(0.00 – 0.00)</v>
      </c>
      <c r="M75" s="57"/>
      <c r="N75" s="59"/>
      <c r="O75" s="16"/>
    </row>
    <row r="76" spans="3:15" ht="15" hidden="1" customHeight="1" x14ac:dyDescent="0.25">
      <c r="C76" s="56"/>
      <c r="D76" s="57"/>
      <c r="E76" s="57"/>
      <c r="F76" s="57"/>
      <c r="G76" s="57"/>
      <c r="H76" s="57"/>
      <c r="I76" s="57"/>
      <c r="J76" s="57"/>
      <c r="K76" s="59" t="str">
        <f t="shared" si="4"/>
        <v>0.00 (0.00 – 0.00)</v>
      </c>
      <c r="L76" s="16" t="str">
        <f t="shared" si="5"/>
        <v>0.00
(0.00 – 0.00)</v>
      </c>
      <c r="M76" s="57"/>
      <c r="N76" s="59"/>
      <c r="O76" s="16"/>
    </row>
    <row r="77" spans="3:15" ht="15" hidden="1" customHeight="1" x14ac:dyDescent="0.25">
      <c r="C77" s="56"/>
      <c r="D77" s="57"/>
      <c r="E77" s="57"/>
      <c r="F77" s="57"/>
      <c r="G77" s="57"/>
      <c r="H77" s="57"/>
      <c r="I77" s="57"/>
      <c r="J77" s="57"/>
      <c r="K77" s="59" t="str">
        <f t="shared" si="4"/>
        <v>0.00 (0.00 – 0.00)</v>
      </c>
      <c r="L77" s="16" t="str">
        <f t="shared" si="5"/>
        <v>0.00
(0.00 – 0.00)</v>
      </c>
      <c r="M77" s="57"/>
      <c r="N77" s="59"/>
      <c r="O77" s="16"/>
    </row>
    <row r="78" spans="3:15" ht="15" hidden="1" customHeight="1" x14ac:dyDescent="0.25">
      <c r="C78" s="56"/>
      <c r="D78" s="57"/>
      <c r="E78" s="57"/>
      <c r="F78" s="57"/>
      <c r="G78" s="57"/>
      <c r="H78" s="57"/>
      <c r="I78" s="57"/>
      <c r="J78" s="57"/>
      <c r="K78" s="59" t="str">
        <f t="shared" si="4"/>
        <v>0.00 (0.00 – 0.00)</v>
      </c>
      <c r="L78" s="16" t="str">
        <f t="shared" si="5"/>
        <v>0.00
(0.00 – 0.00)</v>
      </c>
      <c r="M78" s="57"/>
      <c r="N78" s="59"/>
      <c r="O78" s="16"/>
    </row>
    <row r="79" spans="3:15" ht="15" hidden="1" customHeight="1" x14ac:dyDescent="0.25">
      <c r="C79" s="56"/>
      <c r="D79" s="57"/>
      <c r="E79" s="57"/>
      <c r="F79" s="57"/>
      <c r="G79" s="57"/>
      <c r="H79" s="57"/>
      <c r="I79" s="57"/>
      <c r="J79" s="57"/>
      <c r="K79" s="59" t="str">
        <f t="shared" si="4"/>
        <v>0.00 (0.00 – 0.00)</v>
      </c>
      <c r="L79" s="16" t="str">
        <f t="shared" si="5"/>
        <v>0.00
(0.00 – 0.00)</v>
      </c>
      <c r="M79" s="57"/>
      <c r="N79" s="59"/>
      <c r="O79" s="16"/>
    </row>
    <row r="80" spans="3:15" ht="15" hidden="1" customHeight="1" x14ac:dyDescent="0.25">
      <c r="C80" s="56"/>
      <c r="D80" s="57"/>
      <c r="E80" s="57"/>
      <c r="F80" s="57"/>
      <c r="G80" s="57"/>
      <c r="H80" s="57"/>
      <c r="I80" s="57"/>
      <c r="J80" s="57"/>
      <c r="K80" s="59" t="str">
        <f t="shared" si="4"/>
        <v>0.00 (0.00 – 0.00)</v>
      </c>
      <c r="L80" s="16" t="str">
        <f t="shared" si="5"/>
        <v>0.00
(0.00 – 0.00)</v>
      </c>
      <c r="M80" s="57"/>
      <c r="N80" s="59"/>
      <c r="O80" s="16"/>
    </row>
    <row r="81" spans="3:15" ht="15" hidden="1" customHeight="1" x14ac:dyDescent="0.25">
      <c r="C81" s="56"/>
      <c r="D81" s="57"/>
      <c r="E81" s="57"/>
      <c r="F81" s="57"/>
      <c r="G81" s="57"/>
      <c r="H81" s="57"/>
      <c r="I81" s="57"/>
      <c r="J81" s="57"/>
      <c r="K81" s="59" t="str">
        <f t="shared" si="4"/>
        <v>0.00 (0.00 – 0.00)</v>
      </c>
      <c r="L81" s="16" t="str">
        <f t="shared" si="5"/>
        <v>0.00
(0.00 – 0.00)</v>
      </c>
      <c r="M81" s="57"/>
      <c r="N81" s="59"/>
      <c r="O81" s="16"/>
    </row>
    <row r="82" spans="3:15" ht="15" hidden="1" customHeight="1" x14ac:dyDescent="0.25">
      <c r="C82" s="56"/>
      <c r="D82" s="57"/>
      <c r="E82" s="57"/>
      <c r="F82" s="57"/>
      <c r="G82" s="57"/>
      <c r="H82" s="57"/>
      <c r="I82" s="57"/>
      <c r="J82" s="57"/>
      <c r="K82" s="59" t="str">
        <f t="shared" si="4"/>
        <v>0.00 (0.00 – 0.00)</v>
      </c>
      <c r="L82" s="16" t="str">
        <f t="shared" si="5"/>
        <v>0.00
(0.00 – 0.00)</v>
      </c>
      <c r="M82" s="57"/>
      <c r="N82" s="59"/>
      <c r="O82" s="16"/>
    </row>
    <row r="83" spans="3:15" ht="15" hidden="1" customHeight="1" x14ac:dyDescent="0.25">
      <c r="C83" s="56"/>
      <c r="D83" s="57"/>
      <c r="E83" s="57"/>
      <c r="F83" s="57"/>
      <c r="G83" s="57"/>
      <c r="H83" s="57"/>
      <c r="I83" s="57"/>
      <c r="J83" s="57"/>
      <c r="K83" s="59" t="str">
        <f t="shared" si="4"/>
        <v>0.00 (0.00 – 0.00)</v>
      </c>
      <c r="L83" s="16" t="str">
        <f t="shared" si="5"/>
        <v>0.00
(0.00 – 0.00)</v>
      </c>
      <c r="M83" s="57"/>
      <c r="N83" s="59"/>
      <c r="O83" s="16"/>
    </row>
    <row r="84" spans="3:15" ht="15" hidden="1" customHeight="1" x14ac:dyDescent="0.25">
      <c r="C84" s="56"/>
      <c r="D84" s="57"/>
      <c r="E84" s="57"/>
      <c r="F84" s="57"/>
      <c r="G84" s="57"/>
      <c r="H84" s="57"/>
      <c r="I84" s="57"/>
      <c r="J84" s="57"/>
      <c r="K84" s="59" t="str">
        <f t="shared" si="4"/>
        <v>0.00 (0.00 – 0.00)</v>
      </c>
      <c r="L84" s="16" t="str">
        <f t="shared" si="5"/>
        <v>0.00
(0.00 – 0.00)</v>
      </c>
      <c r="M84" s="57"/>
      <c r="N84" s="59"/>
      <c r="O84" s="16"/>
    </row>
    <row r="85" spans="3:15" ht="15" hidden="1" customHeight="1" x14ac:dyDescent="0.25">
      <c r="C85" s="56"/>
      <c r="D85" s="57"/>
      <c r="E85" s="57"/>
      <c r="F85" s="57"/>
      <c r="G85" s="57"/>
      <c r="H85" s="57"/>
      <c r="I85" s="57"/>
      <c r="J85" s="57"/>
      <c r="K85" s="59" t="str">
        <f t="shared" si="4"/>
        <v>0.00 (0.00 – 0.00)</v>
      </c>
      <c r="L85" s="16" t="str">
        <f t="shared" si="5"/>
        <v>0.00
(0.00 – 0.00)</v>
      </c>
      <c r="M85" s="57"/>
      <c r="N85" s="59"/>
      <c r="O85" s="16"/>
    </row>
    <row r="86" spans="3:15" ht="15" hidden="1" customHeight="1" x14ac:dyDescent="0.25">
      <c r="C86" s="56"/>
      <c r="D86" s="57"/>
      <c r="E86" s="57"/>
      <c r="F86" s="57"/>
      <c r="G86" s="57"/>
      <c r="H86" s="57"/>
      <c r="I86" s="57"/>
      <c r="J86" s="57"/>
      <c r="K86" s="59" t="str">
        <f t="shared" si="4"/>
        <v>0.00 (0.00 – 0.00)</v>
      </c>
      <c r="L86" s="16" t="str">
        <f t="shared" si="5"/>
        <v>0.00
(0.00 – 0.00)</v>
      </c>
      <c r="M86" s="57"/>
      <c r="N86" s="59"/>
      <c r="O86" s="16"/>
    </row>
    <row r="87" spans="3:15" ht="15" hidden="1" customHeight="1" x14ac:dyDescent="0.25">
      <c r="C87" s="56"/>
      <c r="D87" s="57"/>
      <c r="E87" s="57"/>
      <c r="F87" s="57"/>
      <c r="G87" s="57"/>
      <c r="H87" s="57"/>
      <c r="I87" s="57"/>
      <c r="J87" s="57"/>
      <c r="K87" s="59" t="str">
        <f t="shared" si="4"/>
        <v>0.00 (0.00 – 0.00)</v>
      </c>
      <c r="L87" s="16" t="str">
        <f t="shared" si="5"/>
        <v>0.00
(0.00 – 0.00)</v>
      </c>
      <c r="M87" s="57"/>
      <c r="N87" s="59"/>
      <c r="O87" s="16"/>
    </row>
    <row r="88" spans="3:15" ht="15" hidden="1" customHeight="1" x14ac:dyDescent="0.25">
      <c r="C88" s="56"/>
      <c r="D88" s="57"/>
      <c r="E88" s="57"/>
      <c r="F88" s="57"/>
      <c r="G88" s="57"/>
      <c r="H88" s="57"/>
      <c r="I88" s="57"/>
      <c r="J88" s="57"/>
      <c r="K88" s="59" t="str">
        <f t="shared" si="4"/>
        <v>0.00 (0.00 – 0.00)</v>
      </c>
      <c r="L88" s="16" t="str">
        <f t="shared" si="5"/>
        <v>0.00
(0.00 – 0.00)</v>
      </c>
      <c r="M88" s="57"/>
      <c r="N88" s="59"/>
      <c r="O88" s="16"/>
    </row>
    <row r="89" spans="3:15" ht="15" hidden="1" customHeight="1" x14ac:dyDescent="0.25">
      <c r="C89" s="56"/>
      <c r="D89" s="57"/>
      <c r="E89" s="57"/>
      <c r="F89" s="57"/>
      <c r="G89" s="57"/>
      <c r="H89" s="57"/>
      <c r="I89" s="57"/>
      <c r="J89" s="57"/>
      <c r="K89" s="59" t="str">
        <f t="shared" si="4"/>
        <v>0.00 (0.00 – 0.00)</v>
      </c>
      <c r="L89" s="16" t="str">
        <f t="shared" si="5"/>
        <v>0.00
(0.00 – 0.00)</v>
      </c>
      <c r="M89" s="57"/>
      <c r="N89" s="59"/>
      <c r="O89" s="16"/>
    </row>
    <row r="90" spans="3:15" ht="15" hidden="1" customHeight="1" x14ac:dyDescent="0.25">
      <c r="C90" s="56"/>
      <c r="D90" s="57"/>
      <c r="E90" s="57"/>
      <c r="F90" s="57"/>
      <c r="G90" s="57"/>
      <c r="H90" s="57"/>
      <c r="I90" s="57"/>
      <c r="J90" s="57"/>
      <c r="K90" s="59" t="str">
        <f t="shared" si="4"/>
        <v>0.00 (0.00 – 0.00)</v>
      </c>
      <c r="L90" s="16" t="str">
        <f t="shared" si="5"/>
        <v>0.00
(0.00 – 0.00)</v>
      </c>
      <c r="M90" s="57"/>
      <c r="N90" s="59"/>
      <c r="O90" s="16"/>
    </row>
    <row r="91" spans="3:15" ht="15" hidden="1" customHeight="1" x14ac:dyDescent="0.25">
      <c r="C91" s="56"/>
      <c r="D91" s="57"/>
      <c r="E91" s="57"/>
      <c r="F91" s="57"/>
      <c r="G91" s="57"/>
      <c r="H91" s="57"/>
      <c r="I91" s="57"/>
      <c r="J91" s="57"/>
      <c r="K91" s="59" t="str">
        <f t="shared" si="4"/>
        <v>0.00 (0.00 – 0.00)</v>
      </c>
      <c r="L91" s="16" t="str">
        <f t="shared" si="5"/>
        <v>0.00
(0.00 – 0.00)</v>
      </c>
      <c r="M91" s="57"/>
      <c r="N91" s="59"/>
      <c r="O91" s="16"/>
    </row>
    <row r="92" spans="3:15" ht="15" hidden="1" customHeight="1" x14ac:dyDescent="0.25">
      <c r="C92" s="56"/>
      <c r="D92" s="57"/>
      <c r="E92" s="57"/>
      <c r="F92" s="57"/>
      <c r="G92" s="57"/>
      <c r="H92" s="57"/>
      <c r="I92" s="57"/>
      <c r="J92" s="57"/>
      <c r="K92" s="59" t="str">
        <f t="shared" si="4"/>
        <v>0.00 (0.00 – 0.00)</v>
      </c>
      <c r="L92" s="16" t="str">
        <f t="shared" si="5"/>
        <v>0.00
(0.00 – 0.00)</v>
      </c>
      <c r="M92" s="57"/>
      <c r="N92" s="59"/>
      <c r="O92" s="16"/>
    </row>
    <row r="93" spans="3:15" ht="15" hidden="1" customHeight="1" x14ac:dyDescent="0.25">
      <c r="C93" s="56"/>
      <c r="D93" s="57"/>
      <c r="E93" s="57"/>
      <c r="F93" s="57"/>
      <c r="G93" s="57"/>
      <c r="H93" s="57"/>
      <c r="I93" s="57"/>
      <c r="J93" s="57"/>
      <c r="K93" s="59" t="str">
        <f t="shared" si="4"/>
        <v>0.00 (0.00 – 0.00)</v>
      </c>
      <c r="L93" s="16" t="str">
        <f t="shared" si="5"/>
        <v>0.00
(0.00 – 0.00)</v>
      </c>
      <c r="M93" s="57"/>
      <c r="N93" s="59"/>
      <c r="O93" s="16"/>
    </row>
    <row r="94" spans="3:15" ht="15" hidden="1" customHeight="1" x14ac:dyDescent="0.25">
      <c r="C94" s="56"/>
      <c r="D94" s="57"/>
      <c r="E94" s="57"/>
      <c r="F94" s="57"/>
      <c r="G94" s="57"/>
      <c r="H94" s="57"/>
      <c r="I94" s="57"/>
      <c r="J94" s="57"/>
      <c r="K94" s="59" t="str">
        <f t="shared" si="4"/>
        <v>0.00 (0.00 – 0.00)</v>
      </c>
      <c r="L94" s="16" t="str">
        <f t="shared" si="5"/>
        <v>0.00
(0.00 – 0.00)</v>
      </c>
      <c r="M94" s="57"/>
      <c r="N94" s="59"/>
      <c r="O94" s="16"/>
    </row>
    <row r="95" spans="3:15" ht="15" hidden="1" customHeight="1" x14ac:dyDescent="0.25">
      <c r="C95" s="56"/>
      <c r="D95" s="57"/>
      <c r="E95" s="57"/>
      <c r="F95" s="57"/>
      <c r="G95" s="57"/>
      <c r="H95" s="57"/>
      <c r="I95" s="57"/>
      <c r="J95" s="57"/>
      <c r="K95" s="59" t="str">
        <f t="shared" si="4"/>
        <v>0.00 (0.00 – 0.00)</v>
      </c>
      <c r="L95" s="16" t="str">
        <f t="shared" si="5"/>
        <v>0.00
(0.00 – 0.00)</v>
      </c>
      <c r="M95" s="57"/>
      <c r="N95" s="59"/>
      <c r="O95" s="16"/>
    </row>
    <row r="96" spans="3:15" ht="15" hidden="1" customHeight="1" x14ac:dyDescent="0.25">
      <c r="C96" s="56"/>
      <c r="D96" s="57"/>
      <c r="E96" s="57"/>
      <c r="F96" s="57"/>
      <c r="G96" s="57"/>
      <c r="H96" s="57"/>
      <c r="I96" s="57"/>
      <c r="J96" s="57"/>
      <c r="K96" s="59" t="str">
        <f t="shared" si="4"/>
        <v>0.00 (0.00 – 0.00)</v>
      </c>
      <c r="L96" s="16" t="str">
        <f t="shared" si="5"/>
        <v>0.00
(0.00 – 0.00)</v>
      </c>
      <c r="M96" s="57"/>
      <c r="N96" s="59"/>
      <c r="O96" s="16"/>
    </row>
    <row r="97" spans="3:15" ht="15" hidden="1" customHeight="1" x14ac:dyDescent="0.25">
      <c r="C97" s="56"/>
      <c r="D97" s="57"/>
      <c r="E97" s="57"/>
      <c r="F97" s="57"/>
      <c r="G97" s="57"/>
      <c r="H97" s="57"/>
      <c r="I97" s="57"/>
      <c r="J97" s="57"/>
      <c r="K97" s="59" t="str">
        <f t="shared" si="4"/>
        <v>0.00 (0.00 – 0.00)</v>
      </c>
      <c r="L97" s="16" t="str">
        <f t="shared" si="5"/>
        <v>0.00
(0.00 – 0.00)</v>
      </c>
      <c r="M97" s="57"/>
      <c r="N97" s="59"/>
      <c r="O97" s="16"/>
    </row>
    <row r="98" spans="3:15" ht="15" hidden="1" customHeight="1" x14ac:dyDescent="0.25">
      <c r="C98" s="56"/>
      <c r="D98" s="57"/>
      <c r="E98" s="57"/>
      <c r="F98" s="57"/>
      <c r="G98" s="57"/>
      <c r="H98" s="57"/>
      <c r="I98" s="57"/>
      <c r="J98" s="57"/>
      <c r="K98" s="59" t="str">
        <f t="shared" si="4"/>
        <v>0.00 (0.00 – 0.00)</v>
      </c>
      <c r="L98" s="16" t="str">
        <f t="shared" si="5"/>
        <v>0.00
(0.00 – 0.00)</v>
      </c>
      <c r="M98" s="57"/>
      <c r="N98" s="59"/>
      <c r="O98" s="16"/>
    </row>
    <row r="99" spans="3:15" ht="15" hidden="1" customHeight="1" x14ac:dyDescent="0.25">
      <c r="C99" s="56"/>
      <c r="D99" s="57"/>
      <c r="E99" s="57"/>
      <c r="F99" s="57"/>
      <c r="G99" s="57"/>
      <c r="H99" s="57"/>
      <c r="I99" s="57"/>
      <c r="J99" s="57"/>
      <c r="K99" s="59" t="str">
        <f t="shared" si="4"/>
        <v>0.00 (0.00 – 0.00)</v>
      </c>
      <c r="L99" s="16" t="str">
        <f t="shared" si="5"/>
        <v>0.00
(0.00 – 0.00)</v>
      </c>
      <c r="M99" s="57"/>
      <c r="N99" s="59"/>
      <c r="O99" s="16"/>
    </row>
    <row r="100" spans="3:15" ht="15" hidden="1" customHeight="1" x14ac:dyDescent="0.25">
      <c r="C100" s="56"/>
      <c r="D100" s="57"/>
      <c r="E100" s="57"/>
      <c r="F100" s="57"/>
      <c r="G100" s="57"/>
      <c r="H100" s="57"/>
      <c r="I100" s="57"/>
      <c r="J100" s="57"/>
      <c r="K100" s="59" t="str">
        <f t="shared" si="4"/>
        <v>0.00 (0.00 – 0.00)</v>
      </c>
      <c r="L100" s="16" t="str">
        <f t="shared" si="5"/>
        <v>0.00
(0.00 – 0.00)</v>
      </c>
      <c r="M100" s="57"/>
      <c r="N100" s="59"/>
      <c r="O100" s="16"/>
    </row>
    <row r="101" spans="3:15" ht="15" hidden="1" customHeight="1" x14ac:dyDescent="0.25">
      <c r="C101" s="56"/>
      <c r="D101" s="57"/>
      <c r="E101" s="57"/>
      <c r="F101" s="57"/>
      <c r="G101" s="57"/>
      <c r="H101" s="57"/>
      <c r="I101" s="57"/>
      <c r="J101" s="57"/>
      <c r="K101" s="59" t="str">
        <f t="shared" si="4"/>
        <v>0.00 (0.00 – 0.00)</v>
      </c>
      <c r="L101" s="16" t="str">
        <f t="shared" si="5"/>
        <v>0.00
(0.00 – 0.00)</v>
      </c>
      <c r="M101" s="57"/>
      <c r="N101" s="59"/>
      <c r="O101" s="16"/>
    </row>
    <row r="102" spans="3:15" ht="15" hidden="1" customHeight="1" x14ac:dyDescent="0.25">
      <c r="C102" s="56"/>
      <c r="D102" s="57"/>
      <c r="E102" s="57"/>
      <c r="F102" s="57"/>
      <c r="G102" s="57"/>
      <c r="H102" s="57"/>
      <c r="I102" s="57"/>
      <c r="J102" s="57"/>
      <c r="K102" s="59" t="str">
        <f t="shared" si="4"/>
        <v>0.00 (0.00 – 0.00)</v>
      </c>
      <c r="L102" s="16" t="str">
        <f t="shared" si="5"/>
        <v>0.00
(0.00 – 0.00)</v>
      </c>
      <c r="M102" s="57"/>
      <c r="N102" s="59"/>
      <c r="O102" s="16"/>
    </row>
    <row r="103" spans="3:15" ht="15" hidden="1" customHeight="1" x14ac:dyDescent="0.25">
      <c r="C103" s="56"/>
      <c r="D103" s="57"/>
      <c r="E103" s="57"/>
      <c r="F103" s="57"/>
      <c r="G103" s="57"/>
      <c r="H103" s="57"/>
      <c r="I103" s="57"/>
      <c r="J103" s="57"/>
      <c r="K103" s="59" t="str">
        <f t="shared" si="4"/>
        <v>0.00 (0.00 – 0.00)</v>
      </c>
      <c r="L103" s="16" t="str">
        <f t="shared" si="5"/>
        <v>0.00
(0.00 – 0.00)</v>
      </c>
      <c r="M103" s="57"/>
      <c r="N103" s="59"/>
      <c r="O103" s="16"/>
    </row>
    <row r="104" spans="3:15" ht="15" hidden="1" customHeight="1" x14ac:dyDescent="0.25">
      <c r="C104" s="56"/>
      <c r="D104" s="57"/>
      <c r="E104" s="57"/>
      <c r="F104" s="57"/>
      <c r="G104" s="57"/>
      <c r="H104" s="57"/>
      <c r="I104" s="57"/>
      <c r="J104" s="57"/>
      <c r="K104" s="59" t="str">
        <f t="shared" si="4"/>
        <v>0.00 (0.00 – 0.00)</v>
      </c>
      <c r="L104" s="16" t="str">
        <f t="shared" si="5"/>
        <v>0.00
(0.00 – 0.00)</v>
      </c>
      <c r="M104" s="57"/>
      <c r="N104" s="59"/>
      <c r="O104" s="16"/>
    </row>
    <row r="105" spans="3:15" ht="15" hidden="1" customHeight="1" x14ac:dyDescent="0.25">
      <c r="C105" s="56"/>
      <c r="D105" s="57"/>
      <c r="E105" s="57"/>
      <c r="F105" s="57"/>
      <c r="G105" s="57"/>
      <c r="H105" s="57"/>
      <c r="I105" s="57"/>
      <c r="J105" s="57"/>
      <c r="K105" s="59" t="str">
        <f t="shared" si="4"/>
        <v>0.00 (0.00 – 0.00)</v>
      </c>
      <c r="L105" s="16" t="str">
        <f t="shared" si="5"/>
        <v>0.00
(0.00 – 0.00)</v>
      </c>
      <c r="M105" s="57"/>
      <c r="N105" s="59"/>
      <c r="O105" s="16"/>
    </row>
    <row r="106" spans="3:15" ht="15" hidden="1" customHeight="1" x14ac:dyDescent="0.25">
      <c r="C106" s="56"/>
      <c r="D106" s="57"/>
      <c r="E106" s="57"/>
      <c r="F106" s="57"/>
      <c r="G106" s="57"/>
      <c r="H106" s="57"/>
      <c r="I106" s="57"/>
      <c r="J106" s="57"/>
      <c r="K106" s="59" t="str">
        <f t="shared" si="4"/>
        <v>0.00 (0.00 – 0.00)</v>
      </c>
      <c r="L106" s="16" t="str">
        <f t="shared" si="5"/>
        <v>0.00
(0.00 – 0.00)</v>
      </c>
      <c r="M106" s="57"/>
      <c r="N106" s="59"/>
      <c r="O106" s="16"/>
    </row>
    <row r="107" spans="3:15" ht="15" hidden="1" customHeight="1" x14ac:dyDescent="0.25">
      <c r="C107" s="56"/>
      <c r="D107" s="57"/>
      <c r="E107" s="57"/>
      <c r="F107" s="57"/>
      <c r="G107" s="57"/>
      <c r="H107" s="57"/>
      <c r="I107" s="57"/>
      <c r="J107" s="57"/>
      <c r="K107" s="59" t="str">
        <f t="shared" si="4"/>
        <v>0.00 (0.00 – 0.00)</v>
      </c>
      <c r="L107" s="16" t="str">
        <f t="shared" si="5"/>
        <v>0.00
(0.00 – 0.00)</v>
      </c>
      <c r="M107" s="57"/>
      <c r="N107" s="59"/>
      <c r="O107" s="16"/>
    </row>
    <row r="108" spans="3:15" ht="15" hidden="1" customHeight="1" x14ac:dyDescent="0.25">
      <c r="C108" s="56"/>
      <c r="D108" s="57"/>
      <c r="E108" s="57"/>
      <c r="F108" s="57"/>
      <c r="G108" s="57"/>
      <c r="H108" s="57"/>
      <c r="I108" s="57"/>
      <c r="J108" s="57"/>
      <c r="K108" s="59" t="str">
        <f t="shared" si="4"/>
        <v>0.00 (0.00 – 0.00)</v>
      </c>
      <c r="L108" s="16" t="str">
        <f t="shared" si="5"/>
        <v>0.00
(0.00 – 0.00)</v>
      </c>
      <c r="M108" s="57"/>
      <c r="N108" s="59"/>
      <c r="O108" s="16"/>
    </row>
    <row r="109" spans="3:15" ht="15" hidden="1" customHeight="1" x14ac:dyDescent="0.25">
      <c r="C109" s="56"/>
      <c r="D109" s="57"/>
      <c r="E109" s="57"/>
      <c r="F109" s="57"/>
      <c r="G109" s="57"/>
      <c r="H109" s="57"/>
      <c r="I109" s="57"/>
      <c r="J109" s="57"/>
      <c r="K109" s="59" t="str">
        <f t="shared" si="4"/>
        <v>0.00 (0.00 – 0.00)</v>
      </c>
      <c r="L109" s="16" t="str">
        <f t="shared" si="5"/>
        <v>0.00
(0.00 – 0.00)</v>
      </c>
      <c r="M109" s="57"/>
      <c r="N109" s="59"/>
      <c r="O109" s="16"/>
    </row>
    <row r="110" spans="3:15" ht="15" hidden="1" customHeight="1" x14ac:dyDescent="0.25">
      <c r="C110" s="56"/>
      <c r="D110" s="57"/>
      <c r="E110" s="57"/>
      <c r="F110" s="57"/>
      <c r="G110" s="57"/>
      <c r="H110" s="57"/>
      <c r="I110" s="57"/>
      <c r="J110" s="57"/>
      <c r="K110" s="59" t="str">
        <f t="shared" si="4"/>
        <v>0.00 (0.00 – 0.00)</v>
      </c>
      <c r="L110" s="16" t="str">
        <f t="shared" si="5"/>
        <v>0.00
(0.00 – 0.00)</v>
      </c>
      <c r="M110" s="57"/>
      <c r="N110" s="59"/>
      <c r="O110" s="16"/>
    </row>
    <row r="111" spans="3:15" ht="15" hidden="1" customHeight="1" x14ac:dyDescent="0.25">
      <c r="C111" s="56"/>
      <c r="D111" s="57"/>
      <c r="E111" s="57"/>
      <c r="F111" s="57"/>
      <c r="G111" s="57"/>
      <c r="H111" s="57"/>
      <c r="I111" s="57"/>
      <c r="J111" s="57"/>
      <c r="K111" s="59" t="str">
        <f t="shared" si="4"/>
        <v>0.00 (0.00 – 0.00)</v>
      </c>
      <c r="L111" s="16" t="str">
        <f t="shared" si="5"/>
        <v>0.00
(0.00 – 0.00)</v>
      </c>
      <c r="M111" s="57"/>
      <c r="N111" s="59"/>
      <c r="O111" s="16"/>
    </row>
    <row r="112" spans="3:15" ht="15" hidden="1" customHeight="1" x14ac:dyDescent="0.25">
      <c r="C112" s="56"/>
      <c r="D112" s="57"/>
      <c r="E112" s="57"/>
      <c r="F112" s="57"/>
      <c r="G112" s="57"/>
      <c r="H112" s="57"/>
      <c r="I112" s="57"/>
      <c r="J112" s="57"/>
      <c r="K112" s="59" t="str">
        <f t="shared" si="4"/>
        <v>0.00 (0.00 – 0.00)</v>
      </c>
      <c r="L112" s="16" t="str">
        <f t="shared" si="5"/>
        <v>0.00
(0.00 – 0.00)</v>
      </c>
      <c r="M112" s="57"/>
      <c r="N112" s="59"/>
      <c r="O112" s="16"/>
    </row>
    <row r="113" spans="3:15" ht="15" hidden="1" customHeight="1" x14ac:dyDescent="0.25">
      <c r="C113" s="56"/>
      <c r="D113" s="57"/>
      <c r="E113" s="57"/>
      <c r="F113" s="57"/>
      <c r="G113" s="57"/>
      <c r="H113" s="57"/>
      <c r="I113" s="57"/>
      <c r="J113" s="57"/>
      <c r="K113" s="59" t="str">
        <f t="shared" si="4"/>
        <v>0.00 (0.00 – 0.00)</v>
      </c>
      <c r="L113" s="16" t="str">
        <f t="shared" si="5"/>
        <v>0.00
(0.00 – 0.00)</v>
      </c>
      <c r="M113" s="57"/>
      <c r="N113" s="59"/>
      <c r="O113" s="16"/>
    </row>
    <row r="114" spans="3:15" ht="15" hidden="1" customHeight="1" x14ac:dyDescent="0.25">
      <c r="C114" s="56"/>
      <c r="D114" s="57"/>
      <c r="E114" s="57"/>
      <c r="F114" s="57"/>
      <c r="G114" s="57"/>
      <c r="H114" s="57"/>
      <c r="I114" s="57"/>
      <c r="J114" s="57"/>
      <c r="K114" s="59" t="str">
        <f t="shared" si="4"/>
        <v>0.00 (0.00 – 0.00)</v>
      </c>
      <c r="L114" s="16" t="str">
        <f t="shared" si="5"/>
        <v>0.00
(0.00 – 0.00)</v>
      </c>
      <c r="M114" s="57"/>
      <c r="N114" s="59"/>
      <c r="O114" s="16"/>
    </row>
    <row r="115" spans="3:15" ht="15" hidden="1" customHeight="1" x14ac:dyDescent="0.25">
      <c r="C115" s="56"/>
      <c r="D115" s="57"/>
      <c r="E115" s="57"/>
      <c r="F115" s="57"/>
      <c r="G115" s="57"/>
      <c r="H115" s="57"/>
      <c r="I115" s="57"/>
      <c r="J115" s="57"/>
      <c r="K115" s="59" t="str">
        <f t="shared" si="4"/>
        <v>0.00 (0.00 – 0.00)</v>
      </c>
      <c r="L115" s="16" t="str">
        <f t="shared" si="5"/>
        <v>0.00
(0.00 – 0.00)</v>
      </c>
      <c r="M115" s="57"/>
      <c r="N115" s="59"/>
      <c r="O115" s="16"/>
    </row>
    <row r="116" spans="3:15" ht="15" hidden="1" customHeight="1" x14ac:dyDescent="0.25">
      <c r="C116" s="56"/>
      <c r="D116" s="57"/>
      <c r="E116" s="57"/>
      <c r="F116" s="57"/>
      <c r="G116" s="57"/>
      <c r="H116" s="57"/>
      <c r="I116" s="57"/>
      <c r="J116" s="57"/>
      <c r="K116" s="59" t="str">
        <f t="shared" si="4"/>
        <v>0.00 (0.00 – 0.00)</v>
      </c>
      <c r="L116" s="16" t="str">
        <f t="shared" si="5"/>
        <v>0.00
(0.00 – 0.00)</v>
      </c>
      <c r="M116" s="57"/>
      <c r="N116" s="59"/>
      <c r="O116" s="16"/>
    </row>
    <row r="117" spans="3:15" ht="15" hidden="1" customHeight="1" x14ac:dyDescent="0.25">
      <c r="C117" s="56"/>
      <c r="D117" s="57"/>
      <c r="E117" s="57"/>
      <c r="F117" s="57"/>
      <c r="G117" s="57"/>
      <c r="H117" s="57"/>
      <c r="I117" s="57"/>
      <c r="J117" s="57"/>
      <c r="K117" s="59" t="str">
        <f t="shared" si="4"/>
        <v>0.00 (0.00 – 0.00)</v>
      </c>
      <c r="L117" s="16" t="str">
        <f t="shared" si="5"/>
        <v>0.00
(0.00 – 0.00)</v>
      </c>
      <c r="M117" s="57"/>
      <c r="N117" s="59"/>
      <c r="O117" s="16"/>
    </row>
    <row r="118" spans="3:15" ht="15" hidden="1" customHeight="1" x14ac:dyDescent="0.25">
      <c r="C118" s="56"/>
      <c r="D118" s="57"/>
      <c r="E118" s="57"/>
      <c r="F118" s="57"/>
      <c r="G118" s="57"/>
      <c r="H118" s="57"/>
      <c r="I118" s="57"/>
      <c r="J118" s="57"/>
      <c r="K118" s="59" t="str">
        <f t="shared" si="4"/>
        <v>0.00 (0.00 – 0.00)</v>
      </c>
      <c r="L118" s="16" t="str">
        <f t="shared" si="5"/>
        <v>0.00
(0.00 – 0.00)</v>
      </c>
      <c r="M118" s="57"/>
      <c r="N118" s="59"/>
      <c r="O118" s="16"/>
    </row>
    <row r="119" spans="3:15" ht="15" hidden="1" customHeight="1" x14ac:dyDescent="0.25">
      <c r="C119" s="56"/>
      <c r="D119" s="57"/>
      <c r="E119" s="57"/>
      <c r="F119" s="57"/>
      <c r="G119" s="57"/>
      <c r="H119" s="57"/>
      <c r="I119" s="57"/>
      <c r="J119" s="57"/>
      <c r="K119" s="59" t="str">
        <f t="shared" si="4"/>
        <v>0.00 (0.00 – 0.00)</v>
      </c>
      <c r="L119" s="16" t="str">
        <f t="shared" si="5"/>
        <v>0.00
(0.00 – 0.00)</v>
      </c>
      <c r="M119" s="57"/>
      <c r="N119" s="59"/>
      <c r="O119" s="16"/>
    </row>
    <row r="120" spans="3:15" ht="15" hidden="1" customHeight="1" x14ac:dyDescent="0.25">
      <c r="C120" s="56"/>
      <c r="D120" s="57"/>
      <c r="E120" s="57"/>
      <c r="F120" s="57"/>
      <c r="G120" s="57"/>
      <c r="H120" s="57"/>
      <c r="I120" s="57"/>
      <c r="J120" s="57"/>
      <c r="K120" s="59" t="str">
        <f t="shared" si="4"/>
        <v>0.00 (0.00 – 0.00)</v>
      </c>
      <c r="L120" s="16" t="str">
        <f t="shared" si="5"/>
        <v>0.00
(0.00 – 0.00)</v>
      </c>
      <c r="M120" s="57"/>
      <c r="N120" s="59"/>
      <c r="O120" s="16"/>
    </row>
    <row r="121" spans="3:15" ht="15" hidden="1" customHeight="1" x14ac:dyDescent="0.25">
      <c r="C121" s="56"/>
      <c r="D121" s="57"/>
      <c r="E121" s="57"/>
      <c r="F121" s="57"/>
      <c r="G121" s="57"/>
      <c r="H121" s="57"/>
      <c r="I121" s="57"/>
      <c r="J121" s="57"/>
      <c r="K121" s="59" t="str">
        <f t="shared" si="4"/>
        <v>0.00 (0.00 – 0.00)</v>
      </c>
      <c r="L121" s="16" t="str">
        <f t="shared" si="5"/>
        <v>0.00
(0.00 – 0.00)</v>
      </c>
      <c r="M121" s="57"/>
      <c r="N121" s="59"/>
      <c r="O121" s="16"/>
    </row>
    <row r="122" spans="3:15" ht="15" hidden="1" customHeight="1" x14ac:dyDescent="0.25">
      <c r="C122" s="56"/>
      <c r="D122" s="57"/>
      <c r="E122" s="57"/>
      <c r="F122" s="57"/>
      <c r="G122" s="57"/>
      <c r="H122" s="57"/>
      <c r="I122" s="57"/>
      <c r="J122" s="57"/>
      <c r="K122" s="59" t="str">
        <f t="shared" si="4"/>
        <v>0.00 (0.00 – 0.00)</v>
      </c>
      <c r="L122" s="16" t="str">
        <f t="shared" si="5"/>
        <v>0.00
(0.00 – 0.00)</v>
      </c>
      <c r="M122" s="57"/>
      <c r="N122" s="59"/>
      <c r="O122" s="16"/>
    </row>
    <row r="123" spans="3:15" ht="15" hidden="1" customHeight="1" x14ac:dyDescent="0.25">
      <c r="C123" s="56"/>
      <c r="D123" s="57"/>
      <c r="E123" s="57"/>
      <c r="F123" s="57"/>
      <c r="G123" s="57"/>
      <c r="H123" s="57"/>
      <c r="I123" s="57"/>
      <c r="J123" s="57"/>
      <c r="K123" s="59" t="str">
        <f t="shared" si="4"/>
        <v>0.00 (0.00 – 0.00)</v>
      </c>
      <c r="L123" s="16" t="str">
        <f t="shared" si="5"/>
        <v>0.00
(0.00 – 0.00)</v>
      </c>
      <c r="M123" s="57"/>
      <c r="N123" s="59"/>
      <c r="O123" s="16"/>
    </row>
    <row r="124" spans="3:15" ht="15" hidden="1" customHeight="1" x14ac:dyDescent="0.25">
      <c r="C124" s="56"/>
      <c r="D124" s="57"/>
      <c r="E124" s="57"/>
      <c r="F124" s="57"/>
      <c r="G124" s="57"/>
      <c r="H124" s="57"/>
      <c r="I124" s="57"/>
      <c r="J124" s="57"/>
      <c r="K124" s="59" t="str">
        <f t="shared" si="4"/>
        <v>0.00 (0.00 – 0.00)</v>
      </c>
      <c r="L124" s="16" t="str">
        <f t="shared" si="5"/>
        <v>0.00
(0.00 – 0.00)</v>
      </c>
      <c r="M124" s="57"/>
      <c r="N124" s="59"/>
      <c r="O124" s="16"/>
    </row>
    <row r="125" spans="3:15" ht="15" hidden="1" customHeight="1" x14ac:dyDescent="0.25">
      <c r="C125" s="56"/>
      <c r="D125" s="57"/>
      <c r="E125" s="57"/>
      <c r="F125" s="57"/>
      <c r="G125" s="57"/>
      <c r="H125" s="57"/>
      <c r="I125" s="57"/>
      <c r="J125" s="57"/>
      <c r="K125" s="59" t="str">
        <f t="shared" si="4"/>
        <v>0.00 (0.00 – 0.00)</v>
      </c>
      <c r="L125" s="16" t="str">
        <f t="shared" si="5"/>
        <v>0.00
(0.00 – 0.00)</v>
      </c>
      <c r="M125" s="57"/>
      <c r="N125" s="59"/>
      <c r="O125" s="16"/>
    </row>
    <row r="126" spans="3:15" ht="15" hidden="1" customHeight="1" x14ac:dyDescent="0.25">
      <c r="C126" s="56"/>
      <c r="D126" s="57"/>
      <c r="E126" s="57"/>
      <c r="F126" s="57"/>
      <c r="G126" s="57"/>
      <c r="H126" s="57"/>
      <c r="I126" s="57"/>
      <c r="J126" s="57"/>
      <c r="K126" s="59" t="str">
        <f t="shared" si="4"/>
        <v>0.00 (0.00 – 0.00)</v>
      </c>
      <c r="L126" s="16" t="str">
        <f t="shared" si="5"/>
        <v>0.00
(0.00 – 0.00)</v>
      </c>
      <c r="M126" s="57"/>
      <c r="N126" s="59"/>
      <c r="O126" s="16"/>
    </row>
    <row r="127" spans="3:15" ht="15" hidden="1" customHeight="1" x14ac:dyDescent="0.25">
      <c r="C127" s="56"/>
      <c r="D127" s="57"/>
      <c r="E127" s="57"/>
      <c r="F127" s="57"/>
      <c r="G127" s="57"/>
      <c r="H127" s="57"/>
      <c r="I127" s="57"/>
      <c r="J127" s="57"/>
      <c r="K127" s="59" t="str">
        <f t="shared" si="4"/>
        <v>0.00 (0.00 – 0.00)</v>
      </c>
      <c r="L127" s="16" t="str">
        <f t="shared" si="5"/>
        <v>0.00
(0.00 – 0.00)</v>
      </c>
      <c r="M127" s="57"/>
      <c r="N127" s="59"/>
      <c r="O127" s="16"/>
    </row>
    <row r="128" spans="3:15" ht="15" hidden="1" customHeight="1" x14ac:dyDescent="0.25">
      <c r="C128" s="56"/>
      <c r="D128" s="57"/>
      <c r="E128" s="57"/>
      <c r="F128" s="57"/>
      <c r="G128" s="57"/>
      <c r="H128" s="57"/>
      <c r="I128" s="57"/>
      <c r="J128" s="57"/>
      <c r="K128" s="59" t="str">
        <f t="shared" si="4"/>
        <v>0.00 (0.00 – 0.00)</v>
      </c>
      <c r="L128" s="16" t="str">
        <f t="shared" si="5"/>
        <v>0.00
(0.00 – 0.00)</v>
      </c>
      <c r="M128" s="57"/>
      <c r="N128" s="59"/>
      <c r="O128" s="16"/>
    </row>
    <row r="129" spans="3:15" ht="15" hidden="1" customHeight="1" x14ac:dyDescent="0.25">
      <c r="C129" s="56"/>
      <c r="D129" s="57"/>
      <c r="E129" s="57"/>
      <c r="F129" s="57"/>
      <c r="G129" s="57"/>
      <c r="H129" s="57"/>
      <c r="I129" s="57"/>
      <c r="J129" s="57"/>
      <c r="K129" s="59" t="str">
        <f t="shared" si="4"/>
        <v>0.00 (0.00 – 0.00)</v>
      </c>
      <c r="L129" s="16" t="str">
        <f t="shared" si="5"/>
        <v>0.00
(0.00 – 0.00)</v>
      </c>
      <c r="M129" s="57"/>
      <c r="N129" s="59"/>
      <c r="O129" s="16"/>
    </row>
    <row r="130" spans="3:15" ht="15" hidden="1" customHeight="1" x14ac:dyDescent="0.25">
      <c r="C130" s="56"/>
      <c r="D130" s="57"/>
      <c r="E130" s="57"/>
      <c r="F130" s="57"/>
      <c r="G130" s="57"/>
      <c r="H130" s="57"/>
      <c r="I130" s="57"/>
      <c r="J130" s="57"/>
      <c r="K130" s="59" t="str">
        <f t="shared" si="4"/>
        <v>0.00 (0.00 – 0.00)</v>
      </c>
      <c r="L130" s="16" t="str">
        <f t="shared" si="5"/>
        <v>0.00
(0.00 – 0.00)</v>
      </c>
      <c r="M130" s="57"/>
      <c r="N130" s="59"/>
      <c r="O130" s="16"/>
    </row>
    <row r="131" spans="3:15" ht="15" hidden="1" customHeight="1" x14ac:dyDescent="0.25">
      <c r="C131" s="56"/>
      <c r="D131" s="57"/>
      <c r="E131" s="57"/>
      <c r="F131" s="57"/>
      <c r="G131" s="57"/>
      <c r="H131" s="57"/>
      <c r="I131" s="57"/>
      <c r="J131" s="57"/>
      <c r="K131" s="59" t="str">
        <f t="shared" si="4"/>
        <v>0.00 (0.00 – 0.00)</v>
      </c>
      <c r="L131" s="16" t="str">
        <f t="shared" si="5"/>
        <v>0.00
(0.00 – 0.00)</v>
      </c>
      <c r="M131" s="57"/>
      <c r="N131" s="59"/>
      <c r="O131" s="16"/>
    </row>
    <row r="132" spans="3:15" ht="15" hidden="1" customHeight="1" x14ac:dyDescent="0.25">
      <c r="C132" s="56"/>
      <c r="D132" s="57"/>
      <c r="E132" s="57"/>
      <c r="F132" s="57"/>
      <c r="G132" s="57"/>
      <c r="H132" s="57"/>
      <c r="I132" s="57"/>
      <c r="J132" s="57"/>
      <c r="K132" s="59" t="str">
        <f t="shared" si="4"/>
        <v>0.00 (0.00 – 0.00)</v>
      </c>
      <c r="L132" s="16" t="str">
        <f t="shared" si="5"/>
        <v>0.00
(0.00 – 0.00)</v>
      </c>
      <c r="M132" s="57"/>
      <c r="N132" s="59"/>
      <c r="O132" s="16"/>
    </row>
    <row r="133" spans="3:15" ht="15" hidden="1" customHeight="1" x14ac:dyDescent="0.25">
      <c r="C133" s="56"/>
      <c r="D133" s="57"/>
      <c r="E133" s="57"/>
      <c r="F133" s="57"/>
      <c r="G133" s="57"/>
      <c r="H133" s="57"/>
      <c r="I133" s="57"/>
      <c r="J133" s="57"/>
      <c r="K133" s="59" t="str">
        <f t="shared" ref="K133:K196" si="6">CONCATENATE(TEXT(I133,"0.00")," (",TEXT(H133,"0.00")," – ",TEXT(J133,"0.00"),")")</f>
        <v>0.00 (0.00 – 0.00)</v>
      </c>
      <c r="L133" s="16" t="str">
        <f t="shared" si="5"/>
        <v>0.00
(0.00 – 0.00)</v>
      </c>
      <c r="M133" s="57"/>
      <c r="N133" s="59"/>
      <c r="O133" s="16"/>
    </row>
    <row r="134" spans="3:15" ht="15" hidden="1" customHeight="1" x14ac:dyDescent="0.25">
      <c r="C134" s="56"/>
      <c r="D134" s="57"/>
      <c r="E134" s="57"/>
      <c r="F134" s="57"/>
      <c r="G134" s="57"/>
      <c r="H134" s="57"/>
      <c r="I134" s="57"/>
      <c r="J134" s="57"/>
      <c r="K134" s="59" t="str">
        <f t="shared" si="6"/>
        <v>0.00 (0.00 – 0.00)</v>
      </c>
      <c r="L134" s="16" t="str">
        <f t="shared" ref="L134:L197" si="7">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6"/>
        <v>0.00 (0.00 – 0.00)</v>
      </c>
      <c r="L135" s="16" t="str">
        <f t="shared" si="7"/>
        <v>0.00
(0.00 – 0.00)</v>
      </c>
      <c r="M135" s="57"/>
      <c r="N135" s="59"/>
      <c r="O135" s="16"/>
    </row>
    <row r="136" spans="3:15" ht="15" hidden="1" customHeight="1" x14ac:dyDescent="0.25">
      <c r="C136" s="56"/>
      <c r="D136" s="57"/>
      <c r="E136" s="57"/>
      <c r="F136" s="57"/>
      <c r="G136" s="57"/>
      <c r="H136" s="57"/>
      <c r="I136" s="57"/>
      <c r="J136" s="57"/>
      <c r="K136" s="59" t="str">
        <f t="shared" si="6"/>
        <v>0.00 (0.00 – 0.00)</v>
      </c>
      <c r="L136" s="16" t="str">
        <f t="shared" si="7"/>
        <v>0.00
(0.00 – 0.00)</v>
      </c>
      <c r="M136" s="57"/>
      <c r="N136" s="59"/>
      <c r="O136" s="16"/>
    </row>
    <row r="137" spans="3:15" ht="15" hidden="1" customHeight="1" x14ac:dyDescent="0.25">
      <c r="C137" s="56"/>
      <c r="D137" s="57"/>
      <c r="E137" s="57"/>
      <c r="F137" s="57"/>
      <c r="G137" s="57"/>
      <c r="H137" s="57"/>
      <c r="I137" s="57"/>
      <c r="J137" s="57"/>
      <c r="K137" s="59" t="str">
        <f t="shared" si="6"/>
        <v>0.00 (0.00 – 0.00)</v>
      </c>
      <c r="L137" s="16" t="str">
        <f t="shared" si="7"/>
        <v>0.00
(0.00 – 0.00)</v>
      </c>
      <c r="M137" s="57"/>
      <c r="N137" s="59"/>
      <c r="O137" s="16"/>
    </row>
    <row r="138" spans="3:15" ht="15" hidden="1" customHeight="1" x14ac:dyDescent="0.25">
      <c r="C138" s="56"/>
      <c r="D138" s="57"/>
      <c r="E138" s="57"/>
      <c r="F138" s="57"/>
      <c r="G138" s="57"/>
      <c r="H138" s="57"/>
      <c r="I138" s="57"/>
      <c r="J138" s="57"/>
      <c r="K138" s="59" t="str">
        <f t="shared" si="6"/>
        <v>0.00 (0.00 – 0.00)</v>
      </c>
      <c r="L138" s="16" t="str">
        <f t="shared" si="7"/>
        <v>0.00
(0.00 – 0.00)</v>
      </c>
      <c r="M138" s="57"/>
      <c r="N138" s="59"/>
      <c r="O138" s="16"/>
    </row>
    <row r="139" spans="3:15" ht="15" hidden="1" customHeight="1" x14ac:dyDescent="0.25">
      <c r="C139" s="56"/>
      <c r="D139" s="57"/>
      <c r="E139" s="57"/>
      <c r="F139" s="57"/>
      <c r="G139" s="57"/>
      <c r="H139" s="57"/>
      <c r="I139" s="57"/>
      <c r="J139" s="57"/>
      <c r="K139" s="59" t="str">
        <f t="shared" si="6"/>
        <v>0.00 (0.00 – 0.00)</v>
      </c>
      <c r="L139" s="16" t="str">
        <f t="shared" si="7"/>
        <v>0.00
(0.00 – 0.00)</v>
      </c>
      <c r="M139" s="57"/>
      <c r="N139" s="59"/>
      <c r="O139" s="16"/>
    </row>
    <row r="140" spans="3:15" ht="15" hidden="1" customHeight="1" x14ac:dyDescent="0.25">
      <c r="C140" s="56"/>
      <c r="D140" s="57"/>
      <c r="E140" s="57"/>
      <c r="F140" s="57"/>
      <c r="G140" s="57"/>
      <c r="H140" s="57"/>
      <c r="I140" s="57"/>
      <c r="J140" s="57"/>
      <c r="K140" s="59" t="str">
        <f t="shared" si="6"/>
        <v>0.00 (0.00 – 0.00)</v>
      </c>
      <c r="L140" s="16" t="str">
        <f t="shared" si="7"/>
        <v>0.00
(0.00 – 0.00)</v>
      </c>
      <c r="M140" s="57"/>
      <c r="N140" s="59"/>
      <c r="O140" s="16"/>
    </row>
    <row r="141" spans="3:15" ht="15" hidden="1" customHeight="1" x14ac:dyDescent="0.25">
      <c r="C141" s="56"/>
      <c r="D141" s="57"/>
      <c r="E141" s="57"/>
      <c r="F141" s="57"/>
      <c r="G141" s="57"/>
      <c r="H141" s="57"/>
      <c r="I141" s="57"/>
      <c r="J141" s="57"/>
      <c r="K141" s="59" t="str">
        <f t="shared" si="6"/>
        <v>0.00 (0.00 – 0.00)</v>
      </c>
      <c r="L141" s="16" t="str">
        <f t="shared" si="7"/>
        <v>0.00
(0.00 – 0.00)</v>
      </c>
      <c r="M141" s="57"/>
      <c r="N141" s="59"/>
      <c r="O141" s="16"/>
    </row>
    <row r="142" spans="3:15" ht="15" hidden="1" customHeight="1" x14ac:dyDescent="0.25">
      <c r="C142" s="56"/>
      <c r="D142" s="57"/>
      <c r="E142" s="57"/>
      <c r="F142" s="57"/>
      <c r="G142" s="57"/>
      <c r="H142" s="57"/>
      <c r="I142" s="57"/>
      <c r="J142" s="57"/>
      <c r="K142" s="59" t="str">
        <f t="shared" si="6"/>
        <v>0.00 (0.00 – 0.00)</v>
      </c>
      <c r="L142" s="16" t="str">
        <f t="shared" si="7"/>
        <v>0.00
(0.00 – 0.00)</v>
      </c>
      <c r="M142" s="57"/>
      <c r="N142" s="59"/>
      <c r="O142" s="16"/>
    </row>
    <row r="143" spans="3:15" ht="15" hidden="1" customHeight="1" x14ac:dyDescent="0.25">
      <c r="C143" s="56"/>
      <c r="D143" s="57"/>
      <c r="E143" s="57"/>
      <c r="F143" s="57"/>
      <c r="G143" s="57"/>
      <c r="H143" s="57"/>
      <c r="I143" s="57"/>
      <c r="J143" s="57"/>
      <c r="K143" s="59" t="str">
        <f t="shared" si="6"/>
        <v>0.00 (0.00 – 0.00)</v>
      </c>
      <c r="L143" s="16" t="str">
        <f t="shared" si="7"/>
        <v>0.00
(0.00 – 0.00)</v>
      </c>
      <c r="M143" s="57"/>
      <c r="N143" s="59"/>
      <c r="O143" s="16"/>
    </row>
    <row r="144" spans="3:15" ht="15" hidden="1" customHeight="1" x14ac:dyDescent="0.25">
      <c r="C144" s="56"/>
      <c r="D144" s="57"/>
      <c r="E144" s="57"/>
      <c r="F144" s="57"/>
      <c r="G144" s="57"/>
      <c r="H144" s="57"/>
      <c r="I144" s="57"/>
      <c r="J144" s="57"/>
      <c r="K144" s="59" t="str">
        <f t="shared" si="6"/>
        <v>0.00 (0.00 – 0.00)</v>
      </c>
      <c r="L144" s="16" t="str">
        <f t="shared" si="7"/>
        <v>0.00
(0.00 – 0.00)</v>
      </c>
      <c r="M144" s="57"/>
      <c r="N144" s="59"/>
      <c r="O144" s="16"/>
    </row>
    <row r="145" spans="3:15" ht="15" hidden="1" customHeight="1" x14ac:dyDescent="0.25">
      <c r="C145" s="56"/>
      <c r="D145" s="57"/>
      <c r="E145" s="57"/>
      <c r="F145" s="57"/>
      <c r="G145" s="57"/>
      <c r="H145" s="57"/>
      <c r="I145" s="57"/>
      <c r="J145" s="57"/>
      <c r="K145" s="59" t="str">
        <f t="shared" si="6"/>
        <v>0.00 (0.00 – 0.00)</v>
      </c>
      <c r="L145" s="16" t="str">
        <f t="shared" si="7"/>
        <v>0.00
(0.00 – 0.00)</v>
      </c>
      <c r="M145" s="57"/>
      <c r="N145" s="59"/>
      <c r="O145" s="16"/>
    </row>
    <row r="146" spans="3:15" ht="15" hidden="1" customHeight="1" x14ac:dyDescent="0.25">
      <c r="C146" s="56"/>
      <c r="D146" s="57"/>
      <c r="E146" s="57"/>
      <c r="F146" s="57"/>
      <c r="G146" s="57"/>
      <c r="H146" s="57"/>
      <c r="I146" s="57"/>
      <c r="J146" s="57"/>
      <c r="K146" s="59" t="str">
        <f t="shared" si="6"/>
        <v>0.00 (0.00 – 0.00)</v>
      </c>
      <c r="L146" s="16" t="str">
        <f t="shared" si="7"/>
        <v>0.00
(0.00 – 0.00)</v>
      </c>
      <c r="M146" s="57"/>
      <c r="N146" s="59"/>
      <c r="O146" s="16"/>
    </row>
    <row r="147" spans="3:15" ht="15" hidden="1" customHeight="1" x14ac:dyDescent="0.25">
      <c r="C147" s="56"/>
      <c r="D147" s="57"/>
      <c r="E147" s="57"/>
      <c r="F147" s="57"/>
      <c r="G147" s="57"/>
      <c r="H147" s="57"/>
      <c r="I147" s="57"/>
      <c r="J147" s="57"/>
      <c r="K147" s="59" t="str">
        <f t="shared" si="6"/>
        <v>0.00 (0.00 – 0.00)</v>
      </c>
      <c r="L147" s="16" t="str">
        <f t="shared" si="7"/>
        <v>0.00
(0.00 – 0.00)</v>
      </c>
      <c r="M147" s="57"/>
      <c r="N147" s="59"/>
      <c r="O147" s="16"/>
    </row>
    <row r="148" spans="3:15" ht="15" hidden="1" customHeight="1" x14ac:dyDescent="0.25">
      <c r="C148" s="56"/>
      <c r="D148" s="57"/>
      <c r="E148" s="57"/>
      <c r="F148" s="57"/>
      <c r="G148" s="57"/>
      <c r="H148" s="57"/>
      <c r="I148" s="57"/>
      <c r="J148" s="57"/>
      <c r="K148" s="59" t="str">
        <f t="shared" si="6"/>
        <v>0.00 (0.00 – 0.00)</v>
      </c>
      <c r="L148" s="16" t="str">
        <f t="shared" si="7"/>
        <v>0.00
(0.00 – 0.00)</v>
      </c>
      <c r="M148" s="57"/>
      <c r="N148" s="59"/>
      <c r="O148" s="16"/>
    </row>
    <row r="149" spans="3:15" ht="15" hidden="1" customHeight="1" x14ac:dyDescent="0.25">
      <c r="C149" s="56"/>
      <c r="D149" s="57"/>
      <c r="E149" s="57"/>
      <c r="F149" s="57"/>
      <c r="G149" s="57"/>
      <c r="H149" s="57"/>
      <c r="I149" s="57"/>
      <c r="J149" s="57"/>
      <c r="K149" s="59" t="str">
        <f t="shared" si="6"/>
        <v>0.00 (0.00 – 0.00)</v>
      </c>
      <c r="L149" s="16" t="str">
        <f t="shared" si="7"/>
        <v>0.00
(0.00 – 0.00)</v>
      </c>
      <c r="M149" s="57"/>
      <c r="N149" s="59"/>
      <c r="O149" s="16"/>
    </row>
    <row r="150" spans="3:15" ht="15" hidden="1" customHeight="1" x14ac:dyDescent="0.25">
      <c r="C150" s="56"/>
      <c r="D150" s="57"/>
      <c r="E150" s="57"/>
      <c r="F150" s="57"/>
      <c r="G150" s="57"/>
      <c r="H150" s="57"/>
      <c r="I150" s="57"/>
      <c r="J150" s="57"/>
      <c r="K150" s="59" t="str">
        <f t="shared" si="6"/>
        <v>0.00 (0.00 – 0.00)</v>
      </c>
      <c r="L150" s="16" t="str">
        <f t="shared" si="7"/>
        <v>0.00
(0.00 – 0.00)</v>
      </c>
      <c r="M150" s="57"/>
      <c r="N150" s="59"/>
      <c r="O150" s="16"/>
    </row>
    <row r="151" spans="3:15" ht="15" hidden="1" customHeight="1" x14ac:dyDescent="0.25">
      <c r="C151" s="56"/>
      <c r="D151" s="57"/>
      <c r="E151" s="57"/>
      <c r="F151" s="57"/>
      <c r="G151" s="57"/>
      <c r="H151" s="57"/>
      <c r="I151" s="57"/>
      <c r="J151" s="57"/>
      <c r="K151" s="59" t="str">
        <f t="shared" si="6"/>
        <v>0.00 (0.00 – 0.00)</v>
      </c>
      <c r="L151" s="16" t="str">
        <f t="shared" si="7"/>
        <v>0.00
(0.00 – 0.00)</v>
      </c>
      <c r="M151" s="57"/>
      <c r="N151" s="59"/>
      <c r="O151" s="16"/>
    </row>
    <row r="152" spans="3:15" ht="15" hidden="1" customHeight="1" x14ac:dyDescent="0.25">
      <c r="C152" s="56"/>
      <c r="D152" s="57"/>
      <c r="E152" s="57"/>
      <c r="F152" s="57"/>
      <c r="G152" s="57"/>
      <c r="H152" s="57"/>
      <c r="I152" s="57"/>
      <c r="J152" s="57"/>
      <c r="K152" s="59" t="str">
        <f t="shared" si="6"/>
        <v>0.00 (0.00 – 0.00)</v>
      </c>
      <c r="L152" s="16" t="str">
        <f t="shared" si="7"/>
        <v>0.00
(0.00 – 0.00)</v>
      </c>
      <c r="M152" s="57"/>
      <c r="N152" s="59"/>
      <c r="O152" s="16"/>
    </row>
    <row r="153" spans="3:15" ht="15" hidden="1" customHeight="1" x14ac:dyDescent="0.25">
      <c r="C153" s="56"/>
      <c r="D153" s="57"/>
      <c r="E153" s="57"/>
      <c r="F153" s="57"/>
      <c r="G153" s="57"/>
      <c r="H153" s="57"/>
      <c r="I153" s="57"/>
      <c r="J153" s="57"/>
      <c r="K153" s="59" t="str">
        <f t="shared" si="6"/>
        <v>0.00 (0.00 – 0.00)</v>
      </c>
      <c r="L153" s="16" t="str">
        <f t="shared" si="7"/>
        <v>0.00
(0.00 – 0.00)</v>
      </c>
      <c r="M153" s="57"/>
      <c r="N153" s="59"/>
      <c r="O153" s="16"/>
    </row>
    <row r="154" spans="3:15" ht="15" hidden="1" customHeight="1" x14ac:dyDescent="0.25">
      <c r="C154" s="56"/>
      <c r="D154" s="57"/>
      <c r="E154" s="57"/>
      <c r="F154" s="57"/>
      <c r="G154" s="57"/>
      <c r="H154" s="57"/>
      <c r="I154" s="57"/>
      <c r="J154" s="57"/>
      <c r="K154" s="59" t="str">
        <f t="shared" si="6"/>
        <v>0.00 (0.00 – 0.00)</v>
      </c>
      <c r="L154" s="16" t="str">
        <f t="shared" si="7"/>
        <v>0.00
(0.00 – 0.00)</v>
      </c>
      <c r="M154" s="57"/>
      <c r="N154" s="59"/>
      <c r="O154" s="16"/>
    </row>
    <row r="155" spans="3:15" ht="15" hidden="1" customHeight="1" x14ac:dyDescent="0.25">
      <c r="C155" s="56"/>
      <c r="D155" s="57"/>
      <c r="E155" s="57"/>
      <c r="F155" s="57"/>
      <c r="G155" s="57"/>
      <c r="H155" s="57"/>
      <c r="I155" s="57"/>
      <c r="J155" s="57"/>
      <c r="K155" s="59" t="str">
        <f t="shared" si="6"/>
        <v>0.00 (0.00 – 0.00)</v>
      </c>
      <c r="L155" s="16" t="str">
        <f t="shared" si="7"/>
        <v>0.00
(0.00 – 0.00)</v>
      </c>
      <c r="M155" s="57"/>
      <c r="N155" s="59"/>
      <c r="O155" s="16"/>
    </row>
    <row r="156" spans="3:15" ht="15" hidden="1" customHeight="1" x14ac:dyDescent="0.25">
      <c r="C156" s="56"/>
      <c r="D156" s="57"/>
      <c r="E156" s="57"/>
      <c r="F156" s="57"/>
      <c r="G156" s="57"/>
      <c r="H156" s="57"/>
      <c r="I156" s="57"/>
      <c r="J156" s="57"/>
      <c r="K156" s="59" t="str">
        <f t="shared" si="6"/>
        <v>0.00 (0.00 – 0.00)</v>
      </c>
      <c r="L156" s="16" t="str">
        <f t="shared" si="7"/>
        <v>0.00
(0.00 – 0.00)</v>
      </c>
      <c r="M156" s="57"/>
      <c r="N156" s="59"/>
      <c r="O156" s="16"/>
    </row>
    <row r="157" spans="3:15" ht="15" hidden="1" customHeight="1" x14ac:dyDescent="0.25">
      <c r="C157" s="56"/>
      <c r="D157" s="57"/>
      <c r="E157" s="57"/>
      <c r="F157" s="57"/>
      <c r="G157" s="57"/>
      <c r="H157" s="57"/>
      <c r="I157" s="57"/>
      <c r="J157" s="57"/>
      <c r="K157" s="59" t="str">
        <f t="shared" si="6"/>
        <v>0.00 (0.00 – 0.00)</v>
      </c>
      <c r="L157" s="16" t="str">
        <f t="shared" si="7"/>
        <v>0.00
(0.00 – 0.00)</v>
      </c>
      <c r="M157" s="57"/>
      <c r="N157" s="59"/>
      <c r="O157" s="16"/>
    </row>
    <row r="158" spans="3:15" ht="15" hidden="1" customHeight="1" x14ac:dyDescent="0.25">
      <c r="C158" s="56"/>
      <c r="D158" s="57"/>
      <c r="E158" s="57"/>
      <c r="F158" s="57"/>
      <c r="G158" s="57"/>
      <c r="H158" s="57"/>
      <c r="I158" s="57"/>
      <c r="J158" s="57"/>
      <c r="K158" s="59" t="str">
        <f t="shared" si="6"/>
        <v>0.00 (0.00 – 0.00)</v>
      </c>
      <c r="L158" s="16" t="str">
        <f t="shared" si="7"/>
        <v>0.00
(0.00 – 0.00)</v>
      </c>
      <c r="M158" s="57"/>
      <c r="N158" s="59"/>
      <c r="O158" s="16"/>
    </row>
    <row r="159" spans="3:15" ht="15" hidden="1" customHeight="1" x14ac:dyDescent="0.25">
      <c r="C159" s="56"/>
      <c r="D159" s="57"/>
      <c r="E159" s="57"/>
      <c r="F159" s="57"/>
      <c r="G159" s="57"/>
      <c r="H159" s="57"/>
      <c r="I159" s="57"/>
      <c r="J159" s="57"/>
      <c r="K159" s="59" t="str">
        <f t="shared" si="6"/>
        <v>0.00 (0.00 – 0.00)</v>
      </c>
      <c r="L159" s="16" t="str">
        <f t="shared" si="7"/>
        <v>0.00
(0.00 – 0.00)</v>
      </c>
      <c r="M159" s="57"/>
      <c r="N159" s="59"/>
      <c r="O159" s="16"/>
    </row>
    <row r="160" spans="3:15" ht="15" hidden="1" customHeight="1" x14ac:dyDescent="0.25">
      <c r="C160" s="56"/>
      <c r="D160" s="57"/>
      <c r="E160" s="57"/>
      <c r="F160" s="57"/>
      <c r="G160" s="57"/>
      <c r="H160" s="57"/>
      <c r="I160" s="57"/>
      <c r="J160" s="57"/>
      <c r="K160" s="59" t="str">
        <f t="shared" si="6"/>
        <v>0.00 (0.00 – 0.00)</v>
      </c>
      <c r="L160" s="16" t="str">
        <f t="shared" si="7"/>
        <v>0.00
(0.00 – 0.00)</v>
      </c>
      <c r="M160" s="57"/>
      <c r="N160" s="59"/>
      <c r="O160" s="16"/>
    </row>
    <row r="161" spans="3:15" ht="15" hidden="1" customHeight="1" x14ac:dyDescent="0.25">
      <c r="C161" s="56"/>
      <c r="D161" s="57"/>
      <c r="E161" s="57"/>
      <c r="F161" s="57"/>
      <c r="G161" s="57"/>
      <c r="H161" s="57"/>
      <c r="I161" s="57"/>
      <c r="J161" s="57"/>
      <c r="K161" s="59" t="str">
        <f t="shared" si="6"/>
        <v>0.00 (0.00 – 0.00)</v>
      </c>
      <c r="L161" s="16" t="str">
        <f t="shared" si="7"/>
        <v>0.00
(0.00 – 0.00)</v>
      </c>
      <c r="M161" s="57"/>
      <c r="N161" s="59"/>
      <c r="O161" s="16"/>
    </row>
    <row r="162" spans="3:15" ht="15" hidden="1" customHeight="1" x14ac:dyDescent="0.25">
      <c r="C162" s="56"/>
      <c r="D162" s="57"/>
      <c r="E162" s="57"/>
      <c r="F162" s="57"/>
      <c r="G162" s="57"/>
      <c r="H162" s="57"/>
      <c r="I162" s="57"/>
      <c r="J162" s="57"/>
      <c r="K162" s="59" t="str">
        <f t="shared" si="6"/>
        <v>0.00 (0.00 – 0.00)</v>
      </c>
      <c r="L162" s="16" t="str">
        <f t="shared" si="7"/>
        <v>0.00
(0.00 – 0.00)</v>
      </c>
      <c r="M162" s="57"/>
      <c r="N162" s="59"/>
      <c r="O162" s="16"/>
    </row>
    <row r="163" spans="3:15" ht="15" hidden="1" customHeight="1" x14ac:dyDescent="0.25">
      <c r="C163" s="56"/>
      <c r="D163" s="57"/>
      <c r="E163" s="57"/>
      <c r="F163" s="57"/>
      <c r="G163" s="57"/>
      <c r="H163" s="57"/>
      <c r="I163" s="57"/>
      <c r="J163" s="57"/>
      <c r="K163" s="59" t="str">
        <f t="shared" si="6"/>
        <v>0.00 (0.00 – 0.00)</v>
      </c>
      <c r="L163" s="16" t="str">
        <f t="shared" si="7"/>
        <v>0.00
(0.00 – 0.00)</v>
      </c>
      <c r="M163" s="57"/>
      <c r="N163" s="59"/>
      <c r="O163" s="16"/>
    </row>
    <row r="164" spans="3:15" ht="15" hidden="1" customHeight="1" x14ac:dyDescent="0.25">
      <c r="C164" s="56"/>
      <c r="D164" s="57"/>
      <c r="E164" s="57"/>
      <c r="F164" s="57"/>
      <c r="G164" s="57"/>
      <c r="H164" s="57"/>
      <c r="I164" s="57"/>
      <c r="J164" s="57"/>
      <c r="K164" s="59" t="str">
        <f t="shared" si="6"/>
        <v>0.00 (0.00 – 0.00)</v>
      </c>
      <c r="L164" s="16" t="str">
        <f t="shared" si="7"/>
        <v>0.00
(0.00 – 0.00)</v>
      </c>
      <c r="M164" s="57"/>
      <c r="N164" s="59"/>
      <c r="O164" s="16"/>
    </row>
    <row r="165" spans="3:15" ht="15" hidden="1" customHeight="1" x14ac:dyDescent="0.25">
      <c r="C165" s="56"/>
      <c r="D165" s="57"/>
      <c r="E165" s="57"/>
      <c r="F165" s="57"/>
      <c r="G165" s="57"/>
      <c r="H165" s="57"/>
      <c r="I165" s="57"/>
      <c r="J165" s="57"/>
      <c r="K165" s="59" t="str">
        <f t="shared" si="6"/>
        <v>0.00 (0.00 – 0.00)</v>
      </c>
      <c r="L165" s="16" t="str">
        <f t="shared" si="7"/>
        <v>0.00
(0.00 – 0.00)</v>
      </c>
      <c r="M165" s="57"/>
      <c r="N165" s="59"/>
      <c r="O165" s="16"/>
    </row>
    <row r="166" spans="3:15" ht="15" hidden="1" customHeight="1" x14ac:dyDescent="0.25">
      <c r="C166" s="56"/>
      <c r="D166" s="57"/>
      <c r="E166" s="57"/>
      <c r="F166" s="57"/>
      <c r="G166" s="57"/>
      <c r="H166" s="57"/>
      <c r="I166" s="57"/>
      <c r="J166" s="57"/>
      <c r="K166" s="59" t="str">
        <f t="shared" si="6"/>
        <v>0.00 (0.00 – 0.00)</v>
      </c>
      <c r="L166" s="16" t="str">
        <f t="shared" si="7"/>
        <v>0.00
(0.00 – 0.00)</v>
      </c>
      <c r="M166" s="57"/>
      <c r="N166" s="59"/>
      <c r="O166" s="16"/>
    </row>
    <row r="167" spans="3:15" ht="15" hidden="1" customHeight="1" x14ac:dyDescent="0.25">
      <c r="C167" s="56"/>
      <c r="D167" s="57"/>
      <c r="E167" s="57"/>
      <c r="F167" s="57"/>
      <c r="G167" s="57"/>
      <c r="H167" s="57"/>
      <c r="I167" s="57"/>
      <c r="J167" s="57"/>
      <c r="K167" s="59" t="str">
        <f t="shared" si="6"/>
        <v>0.00 (0.00 – 0.00)</v>
      </c>
      <c r="L167" s="16" t="str">
        <f t="shared" si="7"/>
        <v>0.00
(0.00 – 0.00)</v>
      </c>
      <c r="M167" s="57"/>
      <c r="N167" s="59"/>
      <c r="O167" s="16"/>
    </row>
    <row r="168" spans="3:15" ht="15" hidden="1" customHeight="1" x14ac:dyDescent="0.25">
      <c r="C168" s="56"/>
      <c r="D168" s="57"/>
      <c r="E168" s="57"/>
      <c r="F168" s="57"/>
      <c r="G168" s="57"/>
      <c r="H168" s="57"/>
      <c r="I168" s="57"/>
      <c r="J168" s="57"/>
      <c r="K168" s="59" t="str">
        <f t="shared" si="6"/>
        <v>0.00 (0.00 – 0.00)</v>
      </c>
      <c r="L168" s="16" t="str">
        <f t="shared" si="7"/>
        <v>0.00
(0.00 – 0.00)</v>
      </c>
      <c r="M168" s="57"/>
      <c r="N168" s="59"/>
      <c r="O168" s="16"/>
    </row>
    <row r="169" spans="3:15" ht="15" hidden="1" customHeight="1" x14ac:dyDescent="0.25">
      <c r="C169" s="56"/>
      <c r="D169" s="57"/>
      <c r="E169" s="57"/>
      <c r="F169" s="57"/>
      <c r="G169" s="57"/>
      <c r="H169" s="57"/>
      <c r="I169" s="57"/>
      <c r="J169" s="57"/>
      <c r="K169" s="59" t="str">
        <f t="shared" si="6"/>
        <v>0.00 (0.00 – 0.00)</v>
      </c>
      <c r="L169" s="16" t="str">
        <f t="shared" si="7"/>
        <v>0.00
(0.00 – 0.00)</v>
      </c>
      <c r="M169" s="57"/>
      <c r="N169" s="59"/>
      <c r="O169" s="16"/>
    </row>
    <row r="170" spans="3:15" ht="15" hidden="1" customHeight="1" x14ac:dyDescent="0.25">
      <c r="C170" s="56"/>
      <c r="D170" s="57"/>
      <c r="E170" s="57"/>
      <c r="F170" s="57"/>
      <c r="G170" s="57"/>
      <c r="H170" s="57"/>
      <c r="I170" s="57"/>
      <c r="J170" s="57"/>
      <c r="K170" s="59" t="str">
        <f t="shared" si="6"/>
        <v>0.00 (0.00 – 0.00)</v>
      </c>
      <c r="L170" s="16" t="str">
        <f t="shared" si="7"/>
        <v>0.00
(0.00 – 0.00)</v>
      </c>
      <c r="M170" s="57"/>
      <c r="N170" s="59"/>
      <c r="O170" s="16"/>
    </row>
    <row r="171" spans="3:15" ht="15" hidden="1" customHeight="1" x14ac:dyDescent="0.25">
      <c r="C171" s="56"/>
      <c r="D171" s="57"/>
      <c r="E171" s="57"/>
      <c r="F171" s="57"/>
      <c r="G171" s="57"/>
      <c r="H171" s="57"/>
      <c r="I171" s="57"/>
      <c r="J171" s="57"/>
      <c r="K171" s="59" t="str">
        <f t="shared" si="6"/>
        <v>0.00 (0.00 – 0.00)</v>
      </c>
      <c r="L171" s="16" t="str">
        <f t="shared" si="7"/>
        <v>0.00
(0.00 – 0.00)</v>
      </c>
      <c r="M171" s="57"/>
      <c r="N171" s="59"/>
      <c r="O171" s="16"/>
    </row>
    <row r="172" spans="3:15" ht="15" hidden="1" customHeight="1" x14ac:dyDescent="0.25">
      <c r="C172" s="56"/>
      <c r="D172" s="57"/>
      <c r="E172" s="57"/>
      <c r="F172" s="57"/>
      <c r="G172" s="57"/>
      <c r="H172" s="57"/>
      <c r="I172" s="57"/>
      <c r="J172" s="57"/>
      <c r="K172" s="59" t="str">
        <f t="shared" si="6"/>
        <v>0.00 (0.00 – 0.00)</v>
      </c>
      <c r="L172" s="16" t="str">
        <f t="shared" si="7"/>
        <v>0.00
(0.00 – 0.00)</v>
      </c>
      <c r="M172" s="57"/>
      <c r="N172" s="59"/>
      <c r="O172" s="16"/>
    </row>
    <row r="173" spans="3:15" ht="15" hidden="1" customHeight="1" x14ac:dyDescent="0.25">
      <c r="C173" s="56"/>
      <c r="D173" s="57"/>
      <c r="E173" s="57"/>
      <c r="F173" s="57"/>
      <c r="G173" s="57"/>
      <c r="H173" s="57"/>
      <c r="I173" s="57"/>
      <c r="J173" s="57"/>
      <c r="K173" s="59" t="str">
        <f t="shared" si="6"/>
        <v>0.00 (0.00 – 0.00)</v>
      </c>
      <c r="L173" s="16" t="str">
        <f t="shared" si="7"/>
        <v>0.00
(0.00 – 0.00)</v>
      </c>
      <c r="M173" s="57"/>
      <c r="N173" s="59"/>
      <c r="O173" s="16"/>
    </row>
    <row r="174" spans="3:15" ht="15" hidden="1" customHeight="1" x14ac:dyDescent="0.25">
      <c r="C174" s="56"/>
      <c r="D174" s="57"/>
      <c r="E174" s="57"/>
      <c r="F174" s="57"/>
      <c r="G174" s="57"/>
      <c r="H174" s="57"/>
      <c r="I174" s="57"/>
      <c r="J174" s="57"/>
      <c r="K174" s="59" t="str">
        <f t="shared" si="6"/>
        <v>0.00 (0.00 – 0.00)</v>
      </c>
      <c r="L174" s="16" t="str">
        <f t="shared" si="7"/>
        <v>0.00
(0.00 – 0.00)</v>
      </c>
      <c r="M174" s="57"/>
      <c r="N174" s="59"/>
      <c r="O174" s="16"/>
    </row>
    <row r="175" spans="3:15" ht="15" hidden="1" customHeight="1" x14ac:dyDescent="0.25">
      <c r="C175" s="56"/>
      <c r="D175" s="57"/>
      <c r="E175" s="57"/>
      <c r="F175" s="57"/>
      <c r="G175" s="57"/>
      <c r="H175" s="57"/>
      <c r="I175" s="57"/>
      <c r="J175" s="57"/>
      <c r="K175" s="59" t="str">
        <f t="shared" si="6"/>
        <v>0.00 (0.00 – 0.00)</v>
      </c>
      <c r="L175" s="16" t="str">
        <f t="shared" si="7"/>
        <v>0.00
(0.00 – 0.00)</v>
      </c>
      <c r="M175" s="57"/>
      <c r="N175" s="59"/>
      <c r="O175" s="16"/>
    </row>
    <row r="176" spans="3:15" ht="15" hidden="1" customHeight="1" x14ac:dyDescent="0.25">
      <c r="C176" s="56"/>
      <c r="D176" s="57"/>
      <c r="E176" s="57"/>
      <c r="F176" s="57"/>
      <c r="G176" s="57"/>
      <c r="H176" s="57"/>
      <c r="I176" s="57"/>
      <c r="J176" s="57"/>
      <c r="K176" s="59" t="str">
        <f t="shared" si="6"/>
        <v>0.00 (0.00 – 0.00)</v>
      </c>
      <c r="L176" s="16" t="str">
        <f t="shared" si="7"/>
        <v>0.00
(0.00 – 0.00)</v>
      </c>
      <c r="M176" s="57"/>
      <c r="N176" s="59"/>
      <c r="O176" s="16"/>
    </row>
    <row r="177" spans="3:15" ht="15" hidden="1" customHeight="1" x14ac:dyDescent="0.25">
      <c r="C177" s="56"/>
      <c r="D177" s="57"/>
      <c r="E177" s="57"/>
      <c r="F177" s="57"/>
      <c r="G177" s="57"/>
      <c r="H177" s="57"/>
      <c r="I177" s="57"/>
      <c r="J177" s="57"/>
      <c r="K177" s="59" t="str">
        <f t="shared" si="6"/>
        <v>0.00 (0.00 – 0.00)</v>
      </c>
      <c r="L177" s="16" t="str">
        <f t="shared" si="7"/>
        <v>0.00
(0.00 – 0.00)</v>
      </c>
      <c r="M177" s="57"/>
      <c r="N177" s="59"/>
      <c r="O177" s="16"/>
    </row>
    <row r="178" spans="3:15" ht="15" hidden="1" customHeight="1" x14ac:dyDescent="0.25">
      <c r="C178" s="56"/>
      <c r="D178" s="57"/>
      <c r="E178" s="57"/>
      <c r="F178" s="57"/>
      <c r="G178" s="57"/>
      <c r="H178" s="57"/>
      <c r="I178" s="57"/>
      <c r="J178" s="57"/>
      <c r="K178" s="59" t="str">
        <f t="shared" si="6"/>
        <v>0.00 (0.00 – 0.00)</v>
      </c>
      <c r="L178" s="16" t="str">
        <f t="shared" si="7"/>
        <v>0.00
(0.00 – 0.00)</v>
      </c>
      <c r="M178" s="57"/>
      <c r="N178" s="59"/>
      <c r="O178" s="16"/>
    </row>
    <row r="179" spans="3:15" ht="15" hidden="1" customHeight="1" x14ac:dyDescent="0.25">
      <c r="C179" s="56"/>
      <c r="D179" s="57"/>
      <c r="E179" s="57"/>
      <c r="F179" s="57"/>
      <c r="G179" s="57"/>
      <c r="H179" s="57"/>
      <c r="I179" s="57"/>
      <c r="J179" s="57"/>
      <c r="K179" s="59" t="str">
        <f t="shared" si="6"/>
        <v>0.00 (0.00 – 0.00)</v>
      </c>
      <c r="L179" s="16" t="str">
        <f t="shared" si="7"/>
        <v>0.00
(0.00 – 0.00)</v>
      </c>
      <c r="M179" s="57"/>
      <c r="N179" s="59"/>
      <c r="O179" s="16"/>
    </row>
    <row r="180" spans="3:15" ht="15" hidden="1" customHeight="1" x14ac:dyDescent="0.25">
      <c r="C180" s="56"/>
      <c r="D180" s="57"/>
      <c r="E180" s="57"/>
      <c r="F180" s="57"/>
      <c r="G180" s="57"/>
      <c r="H180" s="57"/>
      <c r="I180" s="57"/>
      <c r="J180" s="57"/>
      <c r="K180" s="59" t="str">
        <f t="shared" si="6"/>
        <v>0.00 (0.00 – 0.00)</v>
      </c>
      <c r="L180" s="16" t="str">
        <f t="shared" si="7"/>
        <v>0.00
(0.00 – 0.00)</v>
      </c>
      <c r="M180" s="57"/>
      <c r="N180" s="59"/>
      <c r="O180" s="16"/>
    </row>
    <row r="181" spans="3:15" ht="15" hidden="1" customHeight="1" x14ac:dyDescent="0.25">
      <c r="C181" s="56"/>
      <c r="D181" s="57"/>
      <c r="E181" s="57"/>
      <c r="F181" s="57"/>
      <c r="G181" s="57"/>
      <c r="H181" s="57"/>
      <c r="I181" s="57"/>
      <c r="J181" s="57"/>
      <c r="K181" s="59" t="str">
        <f t="shared" si="6"/>
        <v>0.00 (0.00 – 0.00)</v>
      </c>
      <c r="L181" s="16" t="str">
        <f t="shared" si="7"/>
        <v>0.00
(0.00 – 0.00)</v>
      </c>
      <c r="M181" s="57"/>
      <c r="N181" s="59"/>
      <c r="O181" s="16"/>
    </row>
    <row r="182" spans="3:15" ht="15" hidden="1" customHeight="1" x14ac:dyDescent="0.25">
      <c r="C182" s="56"/>
      <c r="D182" s="57"/>
      <c r="E182" s="57"/>
      <c r="F182" s="57"/>
      <c r="G182" s="57"/>
      <c r="H182" s="57"/>
      <c r="I182" s="57"/>
      <c r="J182" s="57"/>
      <c r="K182" s="59" t="str">
        <f t="shared" si="6"/>
        <v>0.00 (0.00 – 0.00)</v>
      </c>
      <c r="L182" s="16" t="str">
        <f t="shared" si="7"/>
        <v>0.00
(0.00 – 0.00)</v>
      </c>
      <c r="M182" s="57"/>
      <c r="N182" s="59"/>
      <c r="O182" s="16"/>
    </row>
    <row r="183" spans="3:15" ht="15" hidden="1" customHeight="1" x14ac:dyDescent="0.25">
      <c r="C183" s="56"/>
      <c r="D183" s="57"/>
      <c r="E183" s="57"/>
      <c r="F183" s="57"/>
      <c r="G183" s="57"/>
      <c r="H183" s="57"/>
      <c r="I183" s="57"/>
      <c r="J183" s="57"/>
      <c r="K183" s="59" t="str">
        <f t="shared" si="6"/>
        <v>0.00 (0.00 – 0.00)</v>
      </c>
      <c r="L183" s="16" t="str">
        <f t="shared" si="7"/>
        <v>0.00
(0.00 – 0.00)</v>
      </c>
      <c r="M183" s="57"/>
      <c r="N183" s="59"/>
      <c r="O183" s="16"/>
    </row>
    <row r="184" spans="3:15" ht="15" hidden="1" customHeight="1" x14ac:dyDescent="0.25">
      <c r="C184" s="56"/>
      <c r="D184" s="57"/>
      <c r="E184" s="57"/>
      <c r="F184" s="57"/>
      <c r="G184" s="57"/>
      <c r="H184" s="57"/>
      <c r="I184" s="57"/>
      <c r="J184" s="57"/>
      <c r="K184" s="59" t="str">
        <f t="shared" si="6"/>
        <v>0.00 (0.00 – 0.00)</v>
      </c>
      <c r="L184" s="16" t="str">
        <f t="shared" si="7"/>
        <v>0.00
(0.00 – 0.00)</v>
      </c>
      <c r="M184" s="57"/>
      <c r="N184" s="59"/>
      <c r="O184" s="16"/>
    </row>
    <row r="185" spans="3:15" ht="15" hidden="1" customHeight="1" x14ac:dyDescent="0.25">
      <c r="C185" s="56"/>
      <c r="D185" s="57"/>
      <c r="E185" s="57"/>
      <c r="F185" s="57"/>
      <c r="G185" s="57"/>
      <c r="H185" s="57"/>
      <c r="I185" s="57"/>
      <c r="J185" s="57"/>
      <c r="K185" s="59" t="str">
        <f t="shared" si="6"/>
        <v>0.00 (0.00 – 0.00)</v>
      </c>
      <c r="L185" s="16" t="str">
        <f t="shared" si="7"/>
        <v>0.00
(0.00 – 0.00)</v>
      </c>
      <c r="M185" s="57"/>
      <c r="N185" s="59"/>
      <c r="O185" s="16"/>
    </row>
    <row r="186" spans="3:15" ht="15" hidden="1" customHeight="1" x14ac:dyDescent="0.25">
      <c r="C186" s="56"/>
      <c r="D186" s="57"/>
      <c r="E186" s="57"/>
      <c r="F186" s="57"/>
      <c r="G186" s="57"/>
      <c r="H186" s="57"/>
      <c r="I186" s="57"/>
      <c r="J186" s="57"/>
      <c r="K186" s="59" t="str">
        <f t="shared" si="6"/>
        <v>0.00 (0.00 – 0.00)</v>
      </c>
      <c r="L186" s="16" t="str">
        <f t="shared" si="7"/>
        <v>0.00
(0.00 – 0.00)</v>
      </c>
      <c r="M186" s="57"/>
      <c r="N186" s="59"/>
      <c r="O186" s="16"/>
    </row>
    <row r="187" spans="3:15" ht="15" hidden="1" customHeight="1" x14ac:dyDescent="0.25">
      <c r="C187" s="56"/>
      <c r="D187" s="57"/>
      <c r="E187" s="57"/>
      <c r="F187" s="57"/>
      <c r="G187" s="57"/>
      <c r="H187" s="57"/>
      <c r="I187" s="57"/>
      <c r="J187" s="57"/>
      <c r="K187" s="59" t="str">
        <f t="shared" si="6"/>
        <v>0.00 (0.00 – 0.00)</v>
      </c>
      <c r="L187" s="16" t="str">
        <f t="shared" si="7"/>
        <v>0.00
(0.00 – 0.00)</v>
      </c>
      <c r="M187" s="57"/>
      <c r="N187" s="59"/>
      <c r="O187" s="16"/>
    </row>
    <row r="188" spans="3:15" ht="15" hidden="1" customHeight="1" x14ac:dyDescent="0.25">
      <c r="C188" s="56"/>
      <c r="D188" s="57"/>
      <c r="E188" s="57"/>
      <c r="F188" s="57"/>
      <c r="G188" s="57"/>
      <c r="H188" s="57"/>
      <c r="I188" s="57"/>
      <c r="J188" s="57"/>
      <c r="K188" s="59" t="str">
        <f t="shared" si="6"/>
        <v>0.00 (0.00 – 0.00)</v>
      </c>
      <c r="L188" s="16" t="str">
        <f t="shared" si="7"/>
        <v>0.00
(0.00 – 0.00)</v>
      </c>
      <c r="M188" s="57"/>
      <c r="N188" s="59"/>
      <c r="O188" s="16"/>
    </row>
    <row r="189" spans="3:15" ht="15" hidden="1" customHeight="1" x14ac:dyDescent="0.25">
      <c r="C189" s="56"/>
      <c r="D189" s="57"/>
      <c r="E189" s="57"/>
      <c r="F189" s="57"/>
      <c r="G189" s="57"/>
      <c r="H189" s="57"/>
      <c r="I189" s="57"/>
      <c r="J189" s="57"/>
      <c r="K189" s="59" t="str">
        <f t="shared" si="6"/>
        <v>0.00 (0.00 – 0.00)</v>
      </c>
      <c r="L189" s="16" t="str">
        <f t="shared" si="7"/>
        <v>0.00
(0.00 – 0.00)</v>
      </c>
      <c r="M189" s="57"/>
      <c r="N189" s="59"/>
      <c r="O189" s="16"/>
    </row>
    <row r="190" spans="3:15" ht="15" hidden="1" customHeight="1" x14ac:dyDescent="0.25">
      <c r="C190" s="56"/>
      <c r="D190" s="57"/>
      <c r="E190" s="57"/>
      <c r="F190" s="57"/>
      <c r="G190" s="57"/>
      <c r="H190" s="57"/>
      <c r="I190" s="57"/>
      <c r="J190" s="57"/>
      <c r="K190" s="59" t="str">
        <f t="shared" si="6"/>
        <v>0.00 (0.00 – 0.00)</v>
      </c>
      <c r="L190" s="16" t="str">
        <f t="shared" si="7"/>
        <v>0.00
(0.00 – 0.00)</v>
      </c>
      <c r="M190" s="57"/>
      <c r="N190" s="59"/>
      <c r="O190" s="16"/>
    </row>
    <row r="191" spans="3:15" ht="15" hidden="1" customHeight="1" x14ac:dyDescent="0.25">
      <c r="C191" s="56"/>
      <c r="D191" s="57"/>
      <c r="E191" s="57"/>
      <c r="F191" s="57"/>
      <c r="G191" s="57"/>
      <c r="H191" s="57"/>
      <c r="I191" s="57"/>
      <c r="J191" s="57"/>
      <c r="K191" s="59" t="str">
        <f t="shared" si="6"/>
        <v>0.00 (0.00 – 0.00)</v>
      </c>
      <c r="L191" s="16" t="str">
        <f t="shared" si="7"/>
        <v>0.00
(0.00 – 0.00)</v>
      </c>
      <c r="M191" s="57"/>
      <c r="N191" s="59"/>
      <c r="O191" s="16"/>
    </row>
    <row r="192" spans="3:15" ht="15" hidden="1" customHeight="1" x14ac:dyDescent="0.25">
      <c r="C192" s="56"/>
      <c r="D192" s="57"/>
      <c r="E192" s="57"/>
      <c r="F192" s="57"/>
      <c r="G192" s="57"/>
      <c r="H192" s="57"/>
      <c r="I192" s="57"/>
      <c r="J192" s="57"/>
      <c r="K192" s="59" t="str">
        <f t="shared" si="6"/>
        <v>0.00 (0.00 – 0.00)</v>
      </c>
      <c r="L192" s="16" t="str">
        <f t="shared" si="7"/>
        <v>0.00
(0.00 – 0.00)</v>
      </c>
      <c r="M192" s="57"/>
      <c r="N192" s="59"/>
      <c r="O192" s="16"/>
    </row>
    <row r="193" spans="3:15" ht="15" hidden="1" customHeight="1" x14ac:dyDescent="0.25">
      <c r="C193" s="56"/>
      <c r="D193" s="57"/>
      <c r="E193" s="57"/>
      <c r="F193" s="57"/>
      <c r="G193" s="57"/>
      <c r="H193" s="57"/>
      <c r="I193" s="57"/>
      <c r="J193" s="57"/>
      <c r="K193" s="59" t="str">
        <f t="shared" si="6"/>
        <v>0.00 (0.00 – 0.00)</v>
      </c>
      <c r="L193" s="16" t="str">
        <f t="shared" si="7"/>
        <v>0.00
(0.00 – 0.00)</v>
      </c>
      <c r="M193" s="57"/>
      <c r="N193" s="59"/>
      <c r="O193" s="16"/>
    </row>
    <row r="194" spans="3:15" ht="15" hidden="1" customHeight="1" x14ac:dyDescent="0.25">
      <c r="C194" s="56"/>
      <c r="D194" s="57"/>
      <c r="E194" s="57"/>
      <c r="F194" s="57"/>
      <c r="G194" s="57"/>
      <c r="H194" s="57"/>
      <c r="I194" s="57"/>
      <c r="J194" s="57"/>
      <c r="K194" s="59" t="str">
        <f t="shared" si="6"/>
        <v>0.00 (0.00 – 0.00)</v>
      </c>
      <c r="L194" s="16" t="str">
        <f t="shared" si="7"/>
        <v>0.00
(0.00 – 0.00)</v>
      </c>
      <c r="M194" s="57"/>
      <c r="N194" s="59"/>
      <c r="O194" s="16"/>
    </row>
    <row r="195" spans="3:15" ht="15" hidden="1" customHeight="1" x14ac:dyDescent="0.25">
      <c r="C195" s="56"/>
      <c r="D195" s="57"/>
      <c r="E195" s="57"/>
      <c r="F195" s="57"/>
      <c r="G195" s="57"/>
      <c r="H195" s="57"/>
      <c r="I195" s="57"/>
      <c r="J195" s="57"/>
      <c r="K195" s="59" t="str">
        <f t="shared" si="6"/>
        <v>0.00 (0.00 – 0.00)</v>
      </c>
      <c r="L195" s="16" t="str">
        <f t="shared" si="7"/>
        <v>0.00
(0.00 – 0.00)</v>
      </c>
      <c r="M195" s="57"/>
      <c r="N195" s="59"/>
      <c r="O195" s="16"/>
    </row>
    <row r="196" spans="3:15" ht="15" hidden="1" customHeight="1" x14ac:dyDescent="0.25">
      <c r="C196" s="56"/>
      <c r="D196" s="57"/>
      <c r="E196" s="57"/>
      <c r="F196" s="57"/>
      <c r="G196" s="57"/>
      <c r="H196" s="57"/>
      <c r="I196" s="57"/>
      <c r="J196" s="57"/>
      <c r="K196" s="59" t="str">
        <f t="shared" si="6"/>
        <v>0.00 (0.00 – 0.00)</v>
      </c>
      <c r="L196" s="16" t="str">
        <f t="shared" si="7"/>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7"/>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sheetData>
  <sortState ref="E5:L49">
    <sortCondition descending="1" ref="I4"/>
  </sortState>
  <dataConsolidate/>
  <mergeCells count="2">
    <mergeCell ref="F3:L3"/>
    <mergeCell ref="N3:T3"/>
  </mergeCells>
  <pageMargins left="0.7" right="0.7" top="0.75" bottom="0.75" header="0.3" footer="0.3"/>
  <customProperties>
    <customPr name="SSCSheetTrackingNo" r:id="rId1"/>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3"/>
  </sheetPr>
  <dimension ref="A1:I74"/>
  <sheetViews>
    <sheetView showGridLines="0" zoomScale="90" zoomScaleNormal="90" workbookViewId="0">
      <selection activeCell="H46" sqref="H46"/>
    </sheetView>
  </sheetViews>
  <sheetFormatPr defaultRowHeight="15" x14ac:dyDescent="0.25"/>
  <sheetData>
    <row r="1" spans="1:7" x14ac:dyDescent="0.25">
      <c r="A1" t="s">
        <v>96</v>
      </c>
      <c r="D1" t="s">
        <v>122</v>
      </c>
    </row>
    <row r="2" spans="1:7" x14ac:dyDescent="0.25">
      <c r="A2" t="s">
        <v>81</v>
      </c>
    </row>
    <row r="3" spans="1:7" x14ac:dyDescent="0.25">
      <c r="B3" t="s">
        <v>77</v>
      </c>
    </row>
    <row r="4" spans="1:7" x14ac:dyDescent="0.25">
      <c r="B4" t="s">
        <v>87</v>
      </c>
    </row>
    <row r="5" spans="1:7" x14ac:dyDescent="0.25">
      <c r="A5" t="s">
        <v>97</v>
      </c>
      <c r="B5" t="s">
        <v>98</v>
      </c>
      <c r="D5" t="s">
        <v>329</v>
      </c>
    </row>
    <row r="6" spans="1:7" x14ac:dyDescent="0.25">
      <c r="B6" t="s">
        <v>99</v>
      </c>
      <c r="D6" t="s">
        <v>330</v>
      </c>
    </row>
    <row r="7" spans="1:7" x14ac:dyDescent="0.25">
      <c r="B7" t="s">
        <v>331</v>
      </c>
      <c r="G7" t="s">
        <v>324</v>
      </c>
    </row>
    <row r="8" spans="1:7" x14ac:dyDescent="0.25">
      <c r="B8" t="s">
        <v>100</v>
      </c>
      <c r="G8" t="s">
        <v>325</v>
      </c>
    </row>
    <row r="9" spans="1:7" x14ac:dyDescent="0.25">
      <c r="C9" t="s">
        <v>78</v>
      </c>
    </row>
    <row r="10" spans="1:7" x14ac:dyDescent="0.25">
      <c r="B10" t="s">
        <v>101</v>
      </c>
      <c r="C10" t="s">
        <v>333</v>
      </c>
      <c r="G10" t="s">
        <v>334</v>
      </c>
    </row>
    <row r="11" spans="1:7" x14ac:dyDescent="0.25">
      <c r="A11" t="s">
        <v>102</v>
      </c>
      <c r="C11" t="s">
        <v>332</v>
      </c>
      <c r="G11" t="s">
        <v>323</v>
      </c>
    </row>
    <row r="12" spans="1:7" x14ac:dyDescent="0.25">
      <c r="A12" t="s">
        <v>80</v>
      </c>
      <c r="C12" t="s">
        <v>335</v>
      </c>
      <c r="G12" t="s">
        <v>322</v>
      </c>
    </row>
    <row r="13" spans="1:7" x14ac:dyDescent="0.25">
      <c r="B13" t="s">
        <v>103</v>
      </c>
      <c r="C13" t="s">
        <v>327</v>
      </c>
    </row>
    <row r="14" spans="1:7" x14ac:dyDescent="0.25">
      <c r="C14" t="s">
        <v>336</v>
      </c>
    </row>
    <row r="15" spans="1:7" x14ac:dyDescent="0.25">
      <c r="C15" t="s">
        <v>29</v>
      </c>
    </row>
    <row r="16" spans="1:7" x14ac:dyDescent="0.25">
      <c r="C16" t="s">
        <v>320</v>
      </c>
      <c r="G16" t="s">
        <v>337</v>
      </c>
    </row>
    <row r="17" spans="1:7" x14ac:dyDescent="0.25">
      <c r="C17" t="s">
        <v>104</v>
      </c>
      <c r="G17" t="s">
        <v>348</v>
      </c>
    </row>
    <row r="18" spans="1:7" x14ac:dyDescent="0.25">
      <c r="C18" t="s">
        <v>81</v>
      </c>
    </row>
    <row r="19" spans="1:7" x14ac:dyDescent="0.25">
      <c r="A19" t="s">
        <v>103</v>
      </c>
      <c r="C19" t="s">
        <v>338</v>
      </c>
      <c r="G19" t="s">
        <v>347</v>
      </c>
    </row>
    <row r="20" spans="1:7" x14ac:dyDescent="0.25">
      <c r="A20" t="s">
        <v>103</v>
      </c>
      <c r="C20" t="s">
        <v>339</v>
      </c>
      <c r="G20" t="s">
        <v>346</v>
      </c>
    </row>
    <row r="21" spans="1:7" x14ac:dyDescent="0.25">
      <c r="A21" t="s">
        <v>80</v>
      </c>
      <c r="C21" t="s">
        <v>340</v>
      </c>
      <c r="G21" t="s">
        <v>345</v>
      </c>
    </row>
    <row r="22" spans="1:7" x14ac:dyDescent="0.25">
      <c r="A22" t="s">
        <v>102</v>
      </c>
      <c r="C22" t="s">
        <v>341</v>
      </c>
      <c r="G22" t="s">
        <v>344</v>
      </c>
    </row>
    <row r="23" spans="1:7" x14ac:dyDescent="0.25">
      <c r="A23" t="s">
        <v>105</v>
      </c>
      <c r="C23" t="s">
        <v>342</v>
      </c>
      <c r="G23" t="s">
        <v>343</v>
      </c>
    </row>
    <row r="24" spans="1:7" x14ac:dyDescent="0.25">
      <c r="C24" t="s">
        <v>30</v>
      </c>
    </row>
    <row r="25" spans="1:7" x14ac:dyDescent="0.25">
      <c r="A25" t="s">
        <v>82</v>
      </c>
      <c r="B25" t="s">
        <v>106</v>
      </c>
    </row>
    <row r="26" spans="1:7" x14ac:dyDescent="0.25">
      <c r="B26" s="149" t="s">
        <v>317</v>
      </c>
      <c r="E26" t="s">
        <v>318</v>
      </c>
    </row>
    <row r="28" spans="1:7" x14ac:dyDescent="0.25">
      <c r="B28" t="s">
        <v>31</v>
      </c>
    </row>
    <row r="29" spans="1:7" x14ac:dyDescent="0.25">
      <c r="B29" t="s">
        <v>84</v>
      </c>
    </row>
    <row r="30" spans="1:7" x14ac:dyDescent="0.25">
      <c r="B30" t="s">
        <v>81</v>
      </c>
    </row>
    <row r="31" spans="1:7" x14ac:dyDescent="0.25">
      <c r="C31" t="s">
        <v>85</v>
      </c>
    </row>
    <row r="32" spans="1:7" x14ac:dyDescent="0.25">
      <c r="B32" t="s">
        <v>86</v>
      </c>
    </row>
    <row r="33" spans="2:9" x14ac:dyDescent="0.25">
      <c r="B33" t="str">
        <f>IF(vague_prior,"sd~dunif(0,2)   ","")</f>
        <v xml:space="preserve">sd~dunif(0,2)   </v>
      </c>
      <c r="I33" t="s">
        <v>160</v>
      </c>
    </row>
    <row r="34" spans="2:9" x14ac:dyDescent="0.25">
      <c r="B34" t="str">
        <f>IF(vague_prior,"tau&lt;-1/pow(sd,2)","")</f>
        <v>tau&lt;-1/pow(sd,2)</v>
      </c>
      <c r="I34" t="s">
        <v>160</v>
      </c>
    </row>
    <row r="35" spans="2:9" x14ac:dyDescent="0.25">
      <c r="B35" t="str">
        <f>IF(NOT(vague_prior),"var ~ dlnorm("&amp;INDEX(prior_mean, MATCH(outcome_selection,outcome_type,0),MATCH(intervention_selection,intervention_type,0))&amp;","&amp;ROUND(1/INDEX(prior_sigma, MATCH(outcome_selection,outcome_type,0),MATCH(intervention_selection,intervention_type,0)),4)&amp;") ","")</f>
        <v/>
      </c>
      <c r="I35" t="s">
        <v>159</v>
      </c>
    </row>
    <row r="36" spans="2:9" x14ac:dyDescent="0.25">
      <c r="B36" t="str">
        <f>IF(NOT(vague_prior),"tau&lt;-1/var # between-trial precision (1/between-trial variance)","")</f>
        <v/>
      </c>
      <c r="I36" t="s">
        <v>159</v>
      </c>
    </row>
    <row r="37" spans="2:9" x14ac:dyDescent="0.25">
      <c r="B37" t="str">
        <f>IF(NOT(vague_prior),"sd &lt;- pow(tau,-0.5)","")</f>
        <v/>
      </c>
      <c r="I37" t="s">
        <v>159</v>
      </c>
    </row>
    <row r="40" spans="2:9" x14ac:dyDescent="0.25">
      <c r="B40" t="s">
        <v>32</v>
      </c>
    </row>
    <row r="42" spans="2:9" x14ac:dyDescent="0.25">
      <c r="B42" t="s">
        <v>33</v>
      </c>
    </row>
    <row r="43" spans="2:9" x14ac:dyDescent="0.25">
      <c r="B43" t="s">
        <v>88</v>
      </c>
    </row>
    <row r="44" spans="2:9" x14ac:dyDescent="0.25">
      <c r="B44" t="s">
        <v>87</v>
      </c>
    </row>
    <row r="45" spans="2:9" x14ac:dyDescent="0.25">
      <c r="C45" t="str">
        <f>IF(events_bad,"","rk[k]&lt;-NT+1-rank(d[],k)")</f>
        <v>rk[k]&lt;-NT+1-rank(d[],k)</v>
      </c>
      <c r="F45" t="s">
        <v>157</v>
      </c>
    </row>
    <row r="46" spans="2:9" x14ac:dyDescent="0.25">
      <c r="C46" t="str">
        <f>IF(events_bad,"rk[k]&lt;- rank(d[],k)","")</f>
        <v/>
      </c>
      <c r="F46" t="s">
        <v>158</v>
      </c>
    </row>
    <row r="47" spans="2:9" x14ac:dyDescent="0.25">
      <c r="C47" t="s">
        <v>132</v>
      </c>
    </row>
    <row r="48" spans="2:9" x14ac:dyDescent="0.25">
      <c r="C48" t="s">
        <v>90</v>
      </c>
    </row>
    <row r="49" spans="2:4" x14ac:dyDescent="0.25">
      <c r="C49" t="s">
        <v>81</v>
      </c>
    </row>
    <row r="50" spans="2:4" x14ac:dyDescent="0.25">
      <c r="D50" t="s">
        <v>255</v>
      </c>
    </row>
    <row r="51" spans="2:4" x14ac:dyDescent="0.25">
      <c r="C51" t="s">
        <v>30</v>
      </c>
    </row>
    <row r="52" spans="2:4" x14ac:dyDescent="0.25">
      <c r="B52" t="s">
        <v>30</v>
      </c>
    </row>
    <row r="53" spans="2:4" x14ac:dyDescent="0.25">
      <c r="B53" t="s">
        <v>88</v>
      </c>
    </row>
    <row r="54" spans="2:4" x14ac:dyDescent="0.25">
      <c r="B54" t="s">
        <v>87</v>
      </c>
    </row>
    <row r="55" spans="2:4" x14ac:dyDescent="0.25">
      <c r="C55" t="s">
        <v>90</v>
      </c>
    </row>
    <row r="56" spans="2:4" x14ac:dyDescent="0.25">
      <c r="C56" t="s">
        <v>81</v>
      </c>
    </row>
    <row r="57" spans="2:4" x14ac:dyDescent="0.25">
      <c r="D57" t="s">
        <v>254</v>
      </c>
    </row>
    <row r="58" spans="2:4" x14ac:dyDescent="0.25">
      <c r="C58" t="s">
        <v>30</v>
      </c>
    </row>
    <row r="59" spans="2:4" x14ac:dyDescent="0.25">
      <c r="B59" t="s">
        <v>30</v>
      </c>
    </row>
    <row r="60" spans="2:4" x14ac:dyDescent="0.25">
      <c r="B60" t="s">
        <v>143</v>
      </c>
    </row>
    <row r="61" spans="2:4" x14ac:dyDescent="0.25">
      <c r="B61" t="s">
        <v>81</v>
      </c>
    </row>
    <row r="62" spans="2:4" x14ac:dyDescent="0.25">
      <c r="B62" t="s">
        <v>142</v>
      </c>
    </row>
    <row r="63" spans="2:4" x14ac:dyDescent="0.25">
      <c r="B63" t="s">
        <v>30</v>
      </c>
    </row>
    <row r="64" spans="2:4" x14ac:dyDescent="0.25">
      <c r="B64" t="s">
        <v>350</v>
      </c>
    </row>
    <row r="65" spans="1:4" x14ac:dyDescent="0.25">
      <c r="B65" t="s">
        <v>91</v>
      </c>
    </row>
    <row r="66" spans="1:4" x14ac:dyDescent="0.25">
      <c r="B66" t="s">
        <v>92</v>
      </c>
    </row>
    <row r="67" spans="1:4" x14ac:dyDescent="0.25">
      <c r="C67" t="s">
        <v>93</v>
      </c>
    </row>
    <row r="68" spans="1:4" x14ac:dyDescent="0.25">
      <c r="C68" t="s">
        <v>81</v>
      </c>
    </row>
    <row r="69" spans="1:4" x14ac:dyDescent="0.25">
      <c r="D69" t="s">
        <v>108</v>
      </c>
    </row>
    <row r="70" spans="1:4" x14ac:dyDescent="0.25">
      <c r="D70" t="s">
        <v>113</v>
      </c>
    </row>
    <row r="71" spans="1:4" x14ac:dyDescent="0.25">
      <c r="C71" t="s">
        <v>94</v>
      </c>
    </row>
    <row r="72" spans="1:4" x14ac:dyDescent="0.25">
      <c r="B72" t="s">
        <v>30</v>
      </c>
    </row>
    <row r="74" spans="1:4" x14ac:dyDescent="0.25">
      <c r="A74" t="s">
        <v>30</v>
      </c>
      <c r="B74" t="s">
        <v>95</v>
      </c>
    </row>
  </sheetData>
  <pageMargins left="0.7" right="0.7" top="0.75" bottom="0.75" header="0.3" footer="0.3"/>
  <customProperties>
    <customPr name="SSCSheetTrackingNo" r:id="rId1"/>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tint="-0.499984740745262"/>
  </sheetPr>
  <dimension ref="A1:T203"/>
  <sheetViews>
    <sheetView showGridLines="0" topLeftCell="D1" zoomScale="80" zoomScaleNormal="80" workbookViewId="0">
      <selection activeCell="A5" sqref="A5:C20"/>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League Table Data</v>
      </c>
      <c r="F1" s="57"/>
      <c r="G1" s="57"/>
      <c r="H1" s="57"/>
      <c r="I1" s="57"/>
      <c r="J1" s="57"/>
      <c r="K1" s="57"/>
      <c r="L1" s="57"/>
      <c r="M1" s="57"/>
    </row>
    <row r="2" spans="1:20" x14ac:dyDescent="0.25">
      <c r="F2" s="57"/>
      <c r="G2" s="57"/>
      <c r="H2" s="57"/>
      <c r="I2" s="57"/>
      <c r="J2" s="57"/>
      <c r="K2" s="57"/>
      <c r="L2" s="57"/>
      <c r="M2" s="57"/>
    </row>
    <row r="3" spans="1:20" x14ac:dyDescent="0.25">
      <c r="F3" s="277"/>
      <c r="G3" s="277"/>
      <c r="H3" s="277"/>
      <c r="I3" s="277"/>
      <c r="J3" s="277"/>
      <c r="K3" s="277"/>
      <c r="L3" s="277"/>
      <c r="N3" s="277"/>
      <c r="O3" s="277"/>
      <c r="P3" s="277"/>
      <c r="Q3" s="277"/>
      <c r="R3" s="277"/>
      <c r="S3" s="277"/>
      <c r="T3" s="277"/>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A5" t="s">
        <v>356</v>
      </c>
      <c r="B5" s="19">
        <v>6</v>
      </c>
      <c r="C5" s="19">
        <v>2.1150000000000002</v>
      </c>
      <c r="E5" s="19">
        <v>6</v>
      </c>
      <c r="F5" s="59">
        <v>4</v>
      </c>
      <c r="G5" s="54" t="s">
        <v>748</v>
      </c>
      <c r="H5" s="16">
        <v>0.45629999999999998</v>
      </c>
      <c r="I5" s="16">
        <v>1.151</v>
      </c>
      <c r="J5" s="16">
        <v>2.9729999999999999</v>
      </c>
      <c r="K5" s="59" t="str">
        <f>CONCATENATE(TEXT(I5,"0.00")," (",TEXT(H5,"0.00")," – ",TEXT(J5,"0.00"),")")</f>
        <v>1.15 (0.46 – 2.97)</v>
      </c>
      <c r="L5" s="16" t="str">
        <f>CONCATENATE(TEXT(I5,"0.00"),"
(",TEXT(H5,"0.00")," – ",TEXT(J5,"0.00"),")")</f>
        <v>1.15
(0.46 – 2.97)</v>
      </c>
      <c r="N5" s="59" t="s">
        <v>418</v>
      </c>
      <c r="O5" s="104" t="s">
        <v>723</v>
      </c>
      <c r="P5">
        <v>0.33189999999999997</v>
      </c>
      <c r="Q5">
        <v>0.53680000000000005</v>
      </c>
      <c r="R5">
        <v>0.84109999999999996</v>
      </c>
      <c r="S5">
        <v>2</v>
      </c>
      <c r="T5">
        <v>1</v>
      </c>
    </row>
    <row r="6" spans="1:20" x14ac:dyDescent="0.25">
      <c r="A6" t="s">
        <v>354</v>
      </c>
      <c r="B6" s="54">
        <v>4</v>
      </c>
      <c r="C6" s="54">
        <v>2.5169999999999999</v>
      </c>
      <c r="E6" s="19">
        <v>6</v>
      </c>
      <c r="F6" s="59">
        <v>5</v>
      </c>
      <c r="G6" s="54" t="s">
        <v>753</v>
      </c>
      <c r="H6" s="16">
        <v>0.17449999999999999</v>
      </c>
      <c r="I6" s="16">
        <v>1.1499999999999999</v>
      </c>
      <c r="J6" s="16">
        <v>7.5540000000000003</v>
      </c>
      <c r="K6" s="59" t="str">
        <f t="shared" ref="K6:K69" si="0">CONCATENATE(TEXT(I6,"0.00")," (",TEXT(H6,"0.00")," – ",TEXT(J6,"0.00"),")")</f>
        <v>1.15 (0.17 – 7.55)</v>
      </c>
      <c r="L6" s="16" t="str">
        <f t="shared" ref="L6:L69" si="1">CONCATENATE(TEXT(I6,"0.00"),"
(",TEXT(H6,"0.00")," – ",TEXT(J6,"0.00"),")")</f>
        <v>1.15
(0.17 – 7.55)</v>
      </c>
      <c r="N6" s="59" t="s">
        <v>419</v>
      </c>
      <c r="O6" s="104" t="s">
        <v>724</v>
      </c>
      <c r="P6">
        <v>0.66180000000000005</v>
      </c>
      <c r="Q6">
        <v>1.282</v>
      </c>
      <c r="R6">
        <v>2.419</v>
      </c>
      <c r="S6">
        <v>3</v>
      </c>
      <c r="T6">
        <v>1</v>
      </c>
    </row>
    <row r="7" spans="1:20" x14ac:dyDescent="0.25">
      <c r="A7" t="s">
        <v>355</v>
      </c>
      <c r="B7" s="19">
        <v>5</v>
      </c>
      <c r="C7" s="19">
        <v>2.9940000000000002</v>
      </c>
      <c r="E7" s="19">
        <v>6</v>
      </c>
      <c r="F7" s="59">
        <v>3</v>
      </c>
      <c r="G7" s="54" t="s">
        <v>742</v>
      </c>
      <c r="H7" s="16">
        <v>0.76549999999999996</v>
      </c>
      <c r="I7" s="16">
        <v>1.8109999999999999</v>
      </c>
      <c r="J7" s="16">
        <v>4.4569999999999999</v>
      </c>
      <c r="K7" s="59" t="str">
        <f t="shared" si="0"/>
        <v>1.81 (0.77 – 4.46)</v>
      </c>
      <c r="L7" s="16" t="str">
        <f t="shared" si="1"/>
        <v>1.81
(0.77 – 4.46)</v>
      </c>
      <c r="N7" s="59" t="s">
        <v>420</v>
      </c>
      <c r="O7" s="104" t="s">
        <v>725</v>
      </c>
      <c r="P7">
        <v>0.77590000000000003</v>
      </c>
      <c r="Q7">
        <v>2.016</v>
      </c>
      <c r="R7">
        <v>5.32</v>
      </c>
      <c r="S7">
        <v>4</v>
      </c>
      <c r="T7">
        <v>1</v>
      </c>
    </row>
    <row r="8" spans="1:20" x14ac:dyDescent="0.25">
      <c r="A8" t="s">
        <v>353</v>
      </c>
      <c r="B8" s="54">
        <v>3</v>
      </c>
      <c r="C8" s="54">
        <v>4.2619999999999996</v>
      </c>
      <c r="E8" s="19">
        <v>6</v>
      </c>
      <c r="F8" s="59">
        <v>9</v>
      </c>
      <c r="G8" s="54" t="s">
        <v>768</v>
      </c>
      <c r="H8" s="16">
        <v>0.69930069930069938</v>
      </c>
      <c r="I8" s="16">
        <v>2.1791239921551537</v>
      </c>
      <c r="J8" s="16">
        <v>6.4935064935064934</v>
      </c>
      <c r="K8" s="59" t="str">
        <f t="shared" si="0"/>
        <v>2.18 (0.70 – 6.49)</v>
      </c>
      <c r="L8" s="16" t="str">
        <f t="shared" si="1"/>
        <v>2.18
(0.70 – 6.49)</v>
      </c>
      <c r="N8" s="59" t="s">
        <v>421</v>
      </c>
      <c r="O8" s="104" t="s">
        <v>726</v>
      </c>
      <c r="P8">
        <v>0.40679999999999999</v>
      </c>
      <c r="Q8">
        <v>2.0129999999999999</v>
      </c>
      <c r="R8">
        <v>10.48</v>
      </c>
      <c r="S8">
        <v>5</v>
      </c>
      <c r="T8">
        <v>1</v>
      </c>
    </row>
    <row r="9" spans="1:20" x14ac:dyDescent="0.25">
      <c r="A9" t="s">
        <v>359</v>
      </c>
      <c r="B9" s="19">
        <v>9</v>
      </c>
      <c r="C9" s="19">
        <v>5.0030000000000001</v>
      </c>
      <c r="E9" s="19">
        <v>6</v>
      </c>
      <c r="F9" s="59">
        <v>1</v>
      </c>
      <c r="G9" s="54" t="s">
        <v>727</v>
      </c>
      <c r="H9" s="16">
        <v>0.79869999999999997</v>
      </c>
      <c r="I9" s="16">
        <v>2.3290000000000002</v>
      </c>
      <c r="J9" s="16">
        <v>6.9050000000000002</v>
      </c>
      <c r="K9" s="59" t="str">
        <f t="shared" si="0"/>
        <v>2.33 (0.80 – 6.91)</v>
      </c>
      <c r="L9" s="16" t="str">
        <f t="shared" si="1"/>
        <v>2.33
(0.80 – 6.91)</v>
      </c>
      <c r="N9" s="59" t="s">
        <v>422</v>
      </c>
      <c r="O9" s="104" t="s">
        <v>727</v>
      </c>
      <c r="P9">
        <v>0.79869999999999997</v>
      </c>
      <c r="Q9">
        <v>2.3290000000000002</v>
      </c>
      <c r="R9">
        <v>6.9050000000000002</v>
      </c>
      <c r="S9">
        <v>6</v>
      </c>
      <c r="T9">
        <v>1</v>
      </c>
    </row>
    <row r="10" spans="1:20" x14ac:dyDescent="0.25">
      <c r="A10" t="s">
        <v>351</v>
      </c>
      <c r="B10" s="54">
        <v>1</v>
      </c>
      <c r="C10" s="54">
        <v>5.4109999999999996</v>
      </c>
      <c r="E10" s="19">
        <v>6</v>
      </c>
      <c r="F10" s="59">
        <v>8</v>
      </c>
      <c r="G10" s="54" t="s">
        <v>769</v>
      </c>
      <c r="H10" s="16">
        <v>0.75301204819277101</v>
      </c>
      <c r="I10" s="16">
        <v>3.2278889606197545</v>
      </c>
      <c r="J10" s="16">
        <v>14.954389113204726</v>
      </c>
      <c r="K10" s="59" t="str">
        <f t="shared" si="0"/>
        <v>3.23 (0.75 – 14.95)</v>
      </c>
      <c r="L10" s="16" t="str">
        <f t="shared" si="1"/>
        <v>3.23
(0.75 – 14.95)</v>
      </c>
      <c r="N10" s="59" t="s">
        <v>423</v>
      </c>
      <c r="O10" s="104" t="s">
        <v>728</v>
      </c>
      <c r="P10">
        <v>0.10299999999999999</v>
      </c>
      <c r="Q10">
        <v>0.38619999999999999</v>
      </c>
      <c r="R10">
        <v>1.44</v>
      </c>
      <c r="S10">
        <v>7</v>
      </c>
      <c r="T10">
        <v>1</v>
      </c>
    </row>
    <row r="11" spans="1:20" x14ac:dyDescent="0.25">
      <c r="A11" t="s">
        <v>358</v>
      </c>
      <c r="B11" s="19">
        <v>8</v>
      </c>
      <c r="C11" s="19">
        <v>6.5679999999999996</v>
      </c>
      <c r="E11" s="19">
        <v>6</v>
      </c>
      <c r="F11" s="59">
        <v>2</v>
      </c>
      <c r="G11" s="54" t="s">
        <v>735</v>
      </c>
      <c r="H11" s="16">
        <v>1.5229999999999999</v>
      </c>
      <c r="I11" s="16">
        <v>4.3410000000000002</v>
      </c>
      <c r="J11" s="16">
        <v>12.78</v>
      </c>
      <c r="K11" s="59" t="str">
        <f t="shared" si="0"/>
        <v>4.34 (1.52 – 12.78)</v>
      </c>
      <c r="L11" s="16" t="str">
        <f t="shared" si="1"/>
        <v>4.34
(1.52 – 12.78)</v>
      </c>
      <c r="N11" s="59" t="s">
        <v>424</v>
      </c>
      <c r="O11" s="104" t="s">
        <v>729</v>
      </c>
      <c r="P11">
        <v>0.23069999999999999</v>
      </c>
      <c r="Q11">
        <v>0.71519999999999995</v>
      </c>
      <c r="R11">
        <v>2.129</v>
      </c>
      <c r="S11">
        <v>8</v>
      </c>
      <c r="T11">
        <v>1</v>
      </c>
    </row>
    <row r="12" spans="1:20" x14ac:dyDescent="0.25">
      <c r="A12" t="s">
        <v>352</v>
      </c>
      <c r="B12" s="54">
        <v>2</v>
      </c>
      <c r="C12" s="54">
        <v>7.915</v>
      </c>
      <c r="E12" s="19">
        <v>6</v>
      </c>
      <c r="F12" s="59">
        <v>7</v>
      </c>
      <c r="G12" s="54" t="s">
        <v>770</v>
      </c>
      <c r="H12" s="16">
        <v>1.20962864400629</v>
      </c>
      <c r="I12" s="16">
        <v>5.9988002399520104</v>
      </c>
      <c r="J12" s="16">
        <v>31.948881789137378</v>
      </c>
      <c r="K12" s="59" t="str">
        <f t="shared" si="0"/>
        <v>6.00 (1.21 – 31.95)</v>
      </c>
      <c r="L12" s="16" t="str">
        <f t="shared" si="1"/>
        <v>6.00
(1.21 – 31.95)</v>
      </c>
      <c r="N12" s="59" t="s">
        <v>425</v>
      </c>
      <c r="O12" s="104" t="s">
        <v>730</v>
      </c>
      <c r="P12">
        <v>0.60140000000000005</v>
      </c>
      <c r="Q12">
        <v>1.077</v>
      </c>
      <c r="R12">
        <v>2.024</v>
      </c>
      <c r="S12">
        <v>9</v>
      </c>
      <c r="T12">
        <v>1</v>
      </c>
    </row>
    <row r="13" spans="1:20" x14ac:dyDescent="0.25">
      <c r="A13" t="s">
        <v>357</v>
      </c>
      <c r="B13" s="19">
        <v>7</v>
      </c>
      <c r="C13" s="19">
        <v>8.3019999999999996</v>
      </c>
      <c r="E13" s="19">
        <v>6</v>
      </c>
      <c r="F13" s="59">
        <v>10</v>
      </c>
      <c r="G13" s="54" t="s">
        <v>771</v>
      </c>
      <c r="H13" s="16">
        <v>5.344735435595938</v>
      </c>
      <c r="I13" s="16">
        <v>15.845349389954048</v>
      </c>
      <c r="J13" s="16">
        <v>49.75124378109453</v>
      </c>
      <c r="K13" s="59" t="str">
        <f t="shared" si="0"/>
        <v>15.85 (5.34 – 49.75)</v>
      </c>
      <c r="L13" s="16" t="str">
        <f t="shared" si="1"/>
        <v>15.85
(5.34 – 49.75)</v>
      </c>
      <c r="N13" s="59" t="s">
        <v>426</v>
      </c>
      <c r="O13" s="104" t="s">
        <v>731</v>
      </c>
      <c r="P13">
        <v>7.8460000000000002E-2</v>
      </c>
      <c r="Q13">
        <v>0.1467</v>
      </c>
      <c r="R13">
        <v>0.26229999999999998</v>
      </c>
      <c r="S13">
        <v>10</v>
      </c>
      <c r="T13">
        <v>1</v>
      </c>
    </row>
    <row r="14" spans="1:20" x14ac:dyDescent="0.25">
      <c r="A14" t="s">
        <v>360</v>
      </c>
      <c r="B14" s="54">
        <v>10</v>
      </c>
      <c r="C14" s="54">
        <v>9.9139999999999997</v>
      </c>
      <c r="E14" s="19">
        <v>4</v>
      </c>
      <c r="F14" s="59">
        <v>5</v>
      </c>
      <c r="G14" s="54" t="s">
        <v>874</v>
      </c>
      <c r="H14" s="16">
        <v>0.16147263038914905</v>
      </c>
      <c r="I14" s="16">
        <v>0.99700897308075787</v>
      </c>
      <c r="J14" s="16">
        <v>6.2421972534332077</v>
      </c>
      <c r="K14" s="59" t="str">
        <f t="shared" si="0"/>
        <v>1.00 (0.16 – 6.24)</v>
      </c>
      <c r="L14" s="16" t="str">
        <f t="shared" si="1"/>
        <v>1.00
(0.16 – 6.24)</v>
      </c>
      <c r="N14" s="59" t="s">
        <v>427</v>
      </c>
      <c r="O14" s="104" t="s">
        <v>732</v>
      </c>
      <c r="P14">
        <v>1.2989999999999999</v>
      </c>
      <c r="Q14">
        <v>2.3889999999999998</v>
      </c>
      <c r="R14">
        <v>4.4880000000000004</v>
      </c>
      <c r="S14">
        <v>3</v>
      </c>
      <c r="T14">
        <v>2</v>
      </c>
    </row>
    <row r="15" spans="1:20" ht="15" customHeight="1" x14ac:dyDescent="0.25">
      <c r="E15" s="19">
        <v>4</v>
      </c>
      <c r="F15" s="19">
        <v>3</v>
      </c>
      <c r="G15" s="19" t="s">
        <v>740</v>
      </c>
      <c r="H15" s="19">
        <v>0.74160000000000004</v>
      </c>
      <c r="I15" s="19">
        <v>1.58</v>
      </c>
      <c r="J15" s="19">
        <v>3.4569999999999999</v>
      </c>
      <c r="K15" s="59" t="str">
        <f t="shared" si="0"/>
        <v>1.58 (0.74 – 3.46)</v>
      </c>
      <c r="L15" s="16" t="str">
        <f t="shared" si="1"/>
        <v>1.58
(0.74 – 3.46)</v>
      </c>
      <c r="N15" s="59" t="s">
        <v>428</v>
      </c>
      <c r="O15" s="16" t="s">
        <v>733</v>
      </c>
      <c r="P15">
        <v>1.4730000000000001</v>
      </c>
      <c r="Q15">
        <v>3.7730000000000001</v>
      </c>
      <c r="R15">
        <v>10.039999999999999</v>
      </c>
      <c r="S15">
        <v>4</v>
      </c>
      <c r="T15">
        <v>2</v>
      </c>
    </row>
    <row r="16" spans="1:20" ht="15" customHeight="1" x14ac:dyDescent="0.25">
      <c r="E16" s="19">
        <v>4</v>
      </c>
      <c r="F16" s="19">
        <v>9</v>
      </c>
      <c r="G16" s="19" t="s">
        <v>776</v>
      </c>
      <c r="H16" s="19">
        <v>0.66666666666666663</v>
      </c>
      <c r="I16" s="19">
        <v>1.8758206715438004</v>
      </c>
      <c r="J16" s="19">
        <v>5.0327126321087068</v>
      </c>
      <c r="K16" s="59" t="str">
        <f t="shared" si="0"/>
        <v>1.88 (0.67 – 5.03)</v>
      </c>
      <c r="L16" s="16" t="str">
        <f t="shared" si="1"/>
        <v>1.88
(0.67 – 5.03)</v>
      </c>
      <c r="N16" s="59" t="s">
        <v>429</v>
      </c>
      <c r="O16" s="16" t="s">
        <v>734</v>
      </c>
      <c r="P16">
        <v>0.82969999999999999</v>
      </c>
      <c r="Q16">
        <v>3.762</v>
      </c>
      <c r="R16">
        <v>18.23</v>
      </c>
      <c r="S16">
        <v>5</v>
      </c>
      <c r="T16">
        <v>2</v>
      </c>
    </row>
    <row r="17" spans="5:20" ht="15" customHeight="1" x14ac:dyDescent="0.25">
      <c r="E17" s="19">
        <v>4</v>
      </c>
      <c r="F17" s="19">
        <v>1</v>
      </c>
      <c r="G17" s="19" t="s">
        <v>725</v>
      </c>
      <c r="H17" s="19">
        <v>0.77590000000000003</v>
      </c>
      <c r="I17" s="19">
        <v>2.016</v>
      </c>
      <c r="J17" s="19">
        <v>5.32</v>
      </c>
      <c r="K17" s="59" t="str">
        <f t="shared" si="0"/>
        <v>2.02 (0.78 – 5.32)</v>
      </c>
      <c r="L17" s="16" t="str">
        <f t="shared" si="1"/>
        <v>2.02
(0.78 – 5.32)</v>
      </c>
      <c r="N17" s="59" t="s">
        <v>430</v>
      </c>
      <c r="O17" s="16" t="s">
        <v>735</v>
      </c>
      <c r="P17">
        <v>1.5229999999999999</v>
      </c>
      <c r="Q17">
        <v>4.3410000000000002</v>
      </c>
      <c r="R17">
        <v>12.78</v>
      </c>
      <c r="S17">
        <v>6</v>
      </c>
      <c r="T17">
        <v>2</v>
      </c>
    </row>
    <row r="18" spans="5:20" ht="15" customHeight="1" x14ac:dyDescent="0.25">
      <c r="E18" s="19">
        <v>4</v>
      </c>
      <c r="F18" s="19">
        <v>8</v>
      </c>
      <c r="G18" s="19" t="s">
        <v>777</v>
      </c>
      <c r="H18" s="19">
        <v>0.69541029207232274</v>
      </c>
      <c r="I18" s="19">
        <v>2.8240609997175938</v>
      </c>
      <c r="J18" s="19">
        <v>12.025012025012025</v>
      </c>
      <c r="K18" s="59" t="str">
        <f t="shared" si="0"/>
        <v>2.82 (0.70 – 12.03)</v>
      </c>
      <c r="L18" s="16" t="str">
        <f t="shared" si="1"/>
        <v>2.82
(0.70 – 12.03)</v>
      </c>
      <c r="N18" s="59" t="s">
        <v>431</v>
      </c>
      <c r="O18" s="16" t="s">
        <v>736</v>
      </c>
      <c r="P18">
        <v>0.21049999999999999</v>
      </c>
      <c r="Q18">
        <v>0.71870000000000001</v>
      </c>
      <c r="R18">
        <v>2.4870000000000001</v>
      </c>
      <c r="S18">
        <v>7</v>
      </c>
      <c r="T18">
        <v>2</v>
      </c>
    </row>
    <row r="19" spans="5:20" ht="15" customHeight="1" x14ac:dyDescent="0.25">
      <c r="E19" s="19">
        <v>4</v>
      </c>
      <c r="F19" s="19">
        <v>2</v>
      </c>
      <c r="G19" s="19" t="s">
        <v>733</v>
      </c>
      <c r="H19" s="19">
        <v>1.4730000000000001</v>
      </c>
      <c r="I19" s="19">
        <v>3.7730000000000001</v>
      </c>
      <c r="J19" s="19">
        <v>10.039999999999999</v>
      </c>
      <c r="K19" s="59" t="str">
        <f t="shared" si="0"/>
        <v>3.77 (1.47 – 10.04)</v>
      </c>
      <c r="L19" s="16" t="str">
        <f t="shared" si="1"/>
        <v>3.77
(1.47 – 10.04)</v>
      </c>
      <c r="N19" s="59" t="s">
        <v>432</v>
      </c>
      <c r="O19" s="16" t="s">
        <v>737</v>
      </c>
      <c r="P19">
        <v>0.43769999999999998</v>
      </c>
      <c r="Q19">
        <v>1.333</v>
      </c>
      <c r="R19">
        <v>3.915</v>
      </c>
      <c r="S19">
        <v>8</v>
      </c>
      <c r="T19">
        <v>2</v>
      </c>
    </row>
    <row r="20" spans="5:20" ht="15" customHeight="1" x14ac:dyDescent="0.25">
      <c r="E20" s="19">
        <v>4</v>
      </c>
      <c r="F20" s="19">
        <v>7</v>
      </c>
      <c r="G20" s="19" t="s">
        <v>778</v>
      </c>
      <c r="H20" s="19">
        <v>1.1227124733355787</v>
      </c>
      <c r="I20" s="19">
        <v>5.1840331778123385</v>
      </c>
      <c r="J20" s="19">
        <v>25.400050800101599</v>
      </c>
      <c r="K20" s="59" t="str">
        <f t="shared" si="0"/>
        <v>5.18 (1.12 – 25.40)</v>
      </c>
      <c r="L20" s="16" t="str">
        <f t="shared" si="1"/>
        <v>5.18
(1.12 – 25.40)</v>
      </c>
      <c r="N20" s="59" t="s">
        <v>433</v>
      </c>
      <c r="O20" s="16" t="s">
        <v>738</v>
      </c>
      <c r="P20">
        <v>1.038</v>
      </c>
      <c r="Q20">
        <v>2.008</v>
      </c>
      <c r="R20">
        <v>4.117</v>
      </c>
      <c r="S20">
        <v>9</v>
      </c>
      <c r="T20">
        <v>2</v>
      </c>
    </row>
    <row r="21" spans="5:20" ht="15" customHeight="1" x14ac:dyDescent="0.25">
      <c r="E21" s="19">
        <v>4</v>
      </c>
      <c r="F21" s="19">
        <v>10</v>
      </c>
      <c r="G21" s="19" t="s">
        <v>779</v>
      </c>
      <c r="H21" s="19">
        <v>5.0658561296859173</v>
      </c>
      <c r="I21" s="19">
        <v>13.8217000691085</v>
      </c>
      <c r="J21" s="19">
        <v>38.654812524159254</v>
      </c>
      <c r="K21" s="59" t="str">
        <f t="shared" si="0"/>
        <v>13.82 (5.07 – 38.65)</v>
      </c>
      <c r="L21" s="16" t="str">
        <f t="shared" si="1"/>
        <v>13.82
(5.07 – 38.65)</v>
      </c>
      <c r="N21" s="59" t="s">
        <v>434</v>
      </c>
      <c r="O21" s="16" t="s">
        <v>739</v>
      </c>
      <c r="P21">
        <v>0.1439</v>
      </c>
      <c r="Q21">
        <v>0.2727</v>
      </c>
      <c r="R21">
        <v>0.51929999999999998</v>
      </c>
      <c r="S21">
        <v>10</v>
      </c>
      <c r="T21">
        <v>2</v>
      </c>
    </row>
    <row r="22" spans="5:20" ht="15" customHeight="1" x14ac:dyDescent="0.25">
      <c r="E22" s="19">
        <v>5</v>
      </c>
      <c r="F22" s="19">
        <v>3</v>
      </c>
      <c r="G22" s="19" t="s">
        <v>741</v>
      </c>
      <c r="H22" s="19">
        <v>0.30370000000000003</v>
      </c>
      <c r="I22" s="19">
        <v>1.5820000000000001</v>
      </c>
      <c r="J22" s="19">
        <v>8.5289999999999999</v>
      </c>
      <c r="K22" s="59" t="str">
        <f t="shared" si="0"/>
        <v>1.58 (0.30 – 8.53)</v>
      </c>
      <c r="L22" s="16" t="str">
        <f t="shared" si="1"/>
        <v>1.58
(0.30 – 8.53)</v>
      </c>
      <c r="N22" s="59" t="s">
        <v>435</v>
      </c>
      <c r="O22" s="16" t="s">
        <v>740</v>
      </c>
      <c r="P22">
        <v>0.74160000000000004</v>
      </c>
      <c r="Q22">
        <v>1.58</v>
      </c>
      <c r="R22">
        <v>3.4569999999999999</v>
      </c>
      <c r="S22">
        <v>4</v>
      </c>
      <c r="T22">
        <v>3</v>
      </c>
    </row>
    <row r="23" spans="5:20" ht="15" customHeight="1" x14ac:dyDescent="0.25">
      <c r="E23" s="19">
        <v>5</v>
      </c>
      <c r="F23" s="19">
        <v>9</v>
      </c>
      <c r="G23" s="19" t="s">
        <v>772</v>
      </c>
      <c r="H23" s="19">
        <v>0.34293552812071332</v>
      </c>
      <c r="I23" s="19">
        <v>1.8608113137327875</v>
      </c>
      <c r="J23" s="19">
        <v>10.232272587741738</v>
      </c>
      <c r="K23" s="59" t="str">
        <f t="shared" si="0"/>
        <v>1.86 (0.34 – 10.23)</v>
      </c>
      <c r="L23" s="16" t="str">
        <f t="shared" si="1"/>
        <v>1.86
(0.34 – 10.23)</v>
      </c>
      <c r="N23" s="59" t="s">
        <v>436</v>
      </c>
      <c r="O23" s="16" t="s">
        <v>741</v>
      </c>
      <c r="P23">
        <v>0.30370000000000003</v>
      </c>
      <c r="Q23">
        <v>1.5820000000000001</v>
      </c>
      <c r="R23">
        <v>8.5289999999999999</v>
      </c>
      <c r="S23">
        <v>5</v>
      </c>
      <c r="T23">
        <v>3</v>
      </c>
    </row>
    <row r="24" spans="5:20" ht="15" customHeight="1" x14ac:dyDescent="0.25">
      <c r="E24" s="19">
        <v>5</v>
      </c>
      <c r="F24" s="19">
        <v>1</v>
      </c>
      <c r="G24" s="19" t="s">
        <v>726</v>
      </c>
      <c r="H24" s="19">
        <v>0.40679999999999999</v>
      </c>
      <c r="I24" s="19">
        <v>2.0129999999999999</v>
      </c>
      <c r="J24" s="19">
        <v>10.48</v>
      </c>
      <c r="K24" s="59" t="str">
        <f t="shared" si="0"/>
        <v>2.01 (0.41 – 10.48)</v>
      </c>
      <c r="L24" s="16" t="str">
        <f t="shared" si="1"/>
        <v>2.01
(0.41 – 10.48)</v>
      </c>
      <c r="N24" s="59" t="s">
        <v>437</v>
      </c>
      <c r="O24" s="16" t="s">
        <v>742</v>
      </c>
      <c r="P24">
        <v>0.76549999999999996</v>
      </c>
      <c r="Q24">
        <v>1.8109999999999999</v>
      </c>
      <c r="R24">
        <v>4.4569999999999999</v>
      </c>
      <c r="S24">
        <v>6</v>
      </c>
      <c r="T24">
        <v>3</v>
      </c>
    </row>
    <row r="25" spans="5:20" ht="15" customHeight="1" x14ac:dyDescent="0.25">
      <c r="E25" s="19">
        <v>5</v>
      </c>
      <c r="F25" s="19">
        <v>8</v>
      </c>
      <c r="G25" s="19" t="s">
        <v>773</v>
      </c>
      <c r="H25" s="19">
        <v>0.42735042735042739</v>
      </c>
      <c r="I25" s="19">
        <v>2.8620492272467088</v>
      </c>
      <c r="J25" s="19">
        <v>19.71608832807571</v>
      </c>
      <c r="K25" s="59" t="str">
        <f t="shared" si="0"/>
        <v>2.86 (0.43 – 19.72)</v>
      </c>
      <c r="L25" s="16" t="str">
        <f t="shared" si="1"/>
        <v>2.86
(0.43 – 19.72)</v>
      </c>
      <c r="N25" s="59" t="s">
        <v>438</v>
      </c>
      <c r="O25" s="16" t="s">
        <v>743</v>
      </c>
      <c r="P25">
        <v>7.5590000000000004E-2</v>
      </c>
      <c r="Q25">
        <v>0.30130000000000001</v>
      </c>
      <c r="R25">
        <v>1.2</v>
      </c>
      <c r="S25">
        <v>7</v>
      </c>
      <c r="T25">
        <v>3</v>
      </c>
    </row>
    <row r="26" spans="5:20" ht="15" customHeight="1" x14ac:dyDescent="0.25">
      <c r="E26" s="19">
        <v>5</v>
      </c>
      <c r="F26" s="19">
        <v>2</v>
      </c>
      <c r="G26" s="19" t="s">
        <v>734</v>
      </c>
      <c r="H26" s="19">
        <v>0.82969999999999999</v>
      </c>
      <c r="I26" s="19">
        <v>3.762</v>
      </c>
      <c r="J26" s="19">
        <v>18.23</v>
      </c>
      <c r="K26" s="59" t="str">
        <f t="shared" si="0"/>
        <v>3.76 (0.83 – 18.23)</v>
      </c>
      <c r="L26" s="16" t="str">
        <f t="shared" si="1"/>
        <v>3.76
(0.83 – 18.23)</v>
      </c>
      <c r="N26" s="59" t="s">
        <v>439</v>
      </c>
      <c r="O26" s="16" t="s">
        <v>744</v>
      </c>
      <c r="P26">
        <v>0.16039999999999999</v>
      </c>
      <c r="Q26">
        <v>0.56059999999999999</v>
      </c>
      <c r="R26">
        <v>1.843</v>
      </c>
      <c r="S26">
        <v>8</v>
      </c>
      <c r="T26">
        <v>3</v>
      </c>
    </row>
    <row r="27" spans="5:20" ht="15" customHeight="1" x14ac:dyDescent="0.25">
      <c r="E27" s="19">
        <v>5</v>
      </c>
      <c r="F27" s="19">
        <v>7</v>
      </c>
      <c r="G27" s="19" t="s">
        <v>774</v>
      </c>
      <c r="H27" s="19">
        <v>0.75528700906344404</v>
      </c>
      <c r="I27" s="19">
        <v>5.2137643378519289</v>
      </c>
      <c r="J27" s="19">
        <v>38.402457757296467</v>
      </c>
      <c r="K27" s="59" t="str">
        <f t="shared" si="0"/>
        <v>5.21 (0.76 – 38.40)</v>
      </c>
      <c r="L27" s="16" t="str">
        <f t="shared" si="1"/>
        <v>5.21
(0.76 – 38.40)</v>
      </c>
      <c r="N27" s="59" t="s">
        <v>440</v>
      </c>
      <c r="O27" s="16" t="s">
        <v>745</v>
      </c>
      <c r="P27">
        <v>0.42359999999999998</v>
      </c>
      <c r="Q27">
        <v>0.8458</v>
      </c>
      <c r="R27">
        <v>1.7509999999999999</v>
      </c>
      <c r="S27">
        <v>9</v>
      </c>
      <c r="T27">
        <v>3</v>
      </c>
    </row>
    <row r="28" spans="5:20" ht="15" customHeight="1" x14ac:dyDescent="0.25">
      <c r="E28" s="19">
        <v>5</v>
      </c>
      <c r="F28" s="19">
        <v>10</v>
      </c>
      <c r="G28" s="19" t="s">
        <v>775</v>
      </c>
      <c r="H28" s="19">
        <v>2.6553372278279341</v>
      </c>
      <c r="I28" s="19">
        <v>13.781697905181918</v>
      </c>
      <c r="J28" s="19">
        <v>77.160493827160494</v>
      </c>
      <c r="K28" s="59" t="str">
        <f t="shared" si="0"/>
        <v>13.78 (2.66 – 77.16)</v>
      </c>
      <c r="L28" s="16" t="str">
        <f t="shared" si="1"/>
        <v>13.78
(2.66 – 77.16)</v>
      </c>
      <c r="N28" s="59" t="s">
        <v>441</v>
      </c>
      <c r="O28" s="16" t="s">
        <v>746</v>
      </c>
      <c r="P28">
        <v>5.7230000000000003E-2</v>
      </c>
      <c r="Q28">
        <v>0.1147</v>
      </c>
      <c r="R28">
        <v>0.22500000000000001</v>
      </c>
      <c r="S28">
        <v>10</v>
      </c>
      <c r="T28">
        <v>3</v>
      </c>
    </row>
    <row r="29" spans="5:20" ht="15" customHeight="1" x14ac:dyDescent="0.25">
      <c r="E29" s="19">
        <v>3</v>
      </c>
      <c r="F29" s="19">
        <v>9</v>
      </c>
      <c r="G29" s="19" t="s">
        <v>780</v>
      </c>
      <c r="H29" s="19">
        <v>0.57110222729868654</v>
      </c>
      <c r="I29" s="19">
        <v>1.1823126034523528</v>
      </c>
      <c r="J29" s="19">
        <v>2.3607176581680833</v>
      </c>
      <c r="K29" s="59" t="str">
        <f t="shared" si="0"/>
        <v>1.18 (0.57 – 2.36)</v>
      </c>
      <c r="L29" s="16" t="str">
        <f t="shared" si="1"/>
        <v>1.18
(0.57 – 2.36)</v>
      </c>
      <c r="N29" s="59" t="s">
        <v>442</v>
      </c>
      <c r="O29" s="16" t="s">
        <v>747</v>
      </c>
      <c r="P29">
        <v>0.16020000000000001</v>
      </c>
      <c r="Q29">
        <v>1.0029999999999999</v>
      </c>
      <c r="R29">
        <v>6.1929999999999996</v>
      </c>
      <c r="S29">
        <v>5</v>
      </c>
      <c r="T29">
        <v>4</v>
      </c>
    </row>
    <row r="30" spans="5:20" ht="15" customHeight="1" x14ac:dyDescent="0.25">
      <c r="E30" s="19">
        <v>3</v>
      </c>
      <c r="F30" s="19">
        <v>1</v>
      </c>
      <c r="G30" s="19" t="s">
        <v>724</v>
      </c>
      <c r="H30" s="19">
        <v>0.66180000000000005</v>
      </c>
      <c r="I30" s="19">
        <v>1.282</v>
      </c>
      <c r="J30" s="19">
        <v>2.419</v>
      </c>
      <c r="K30" s="59" t="str">
        <f t="shared" si="0"/>
        <v>1.28 (0.66 – 2.42)</v>
      </c>
      <c r="L30" s="16" t="str">
        <f t="shared" si="1"/>
        <v>1.28
(0.66 – 2.42)</v>
      </c>
      <c r="N30" s="59" t="s">
        <v>443</v>
      </c>
      <c r="O30" s="16" t="s">
        <v>748</v>
      </c>
      <c r="P30">
        <v>0.45629999999999998</v>
      </c>
      <c r="Q30">
        <v>1.151</v>
      </c>
      <c r="R30">
        <v>2.9729999999999999</v>
      </c>
      <c r="S30">
        <v>6</v>
      </c>
      <c r="T30">
        <v>4</v>
      </c>
    </row>
    <row r="31" spans="5:20" ht="15" customHeight="1" x14ac:dyDescent="0.25">
      <c r="E31" s="19">
        <v>3</v>
      </c>
      <c r="F31" s="19">
        <v>8</v>
      </c>
      <c r="G31" s="19" t="s">
        <v>781</v>
      </c>
      <c r="H31" s="19">
        <v>0.54259359739555069</v>
      </c>
      <c r="I31" s="19">
        <v>1.7838030681412773</v>
      </c>
      <c r="J31" s="19">
        <v>6.2344139650872821</v>
      </c>
      <c r="K31" s="59" t="str">
        <f t="shared" si="0"/>
        <v>1.78 (0.54 – 6.23)</v>
      </c>
      <c r="L31" s="16" t="str">
        <f t="shared" si="1"/>
        <v>1.78
(0.54 – 6.23)</v>
      </c>
      <c r="N31" s="59" t="s">
        <v>444</v>
      </c>
      <c r="O31" s="16" t="s">
        <v>749</v>
      </c>
      <c r="P31">
        <v>3.9370000000000002E-2</v>
      </c>
      <c r="Q31">
        <v>0.19289999999999999</v>
      </c>
      <c r="R31">
        <v>0.89070000000000005</v>
      </c>
      <c r="S31">
        <v>7</v>
      </c>
      <c r="T31">
        <v>4</v>
      </c>
    </row>
    <row r="32" spans="5:20" ht="15" customHeight="1" x14ac:dyDescent="0.25">
      <c r="E32" s="19">
        <v>3</v>
      </c>
      <c r="F32" s="19">
        <v>2</v>
      </c>
      <c r="G32" s="19" t="s">
        <v>732</v>
      </c>
      <c r="H32" s="19">
        <v>1.2989999999999999</v>
      </c>
      <c r="I32" s="19">
        <v>2.3889999999999998</v>
      </c>
      <c r="J32" s="19">
        <v>4.4880000000000004</v>
      </c>
      <c r="K32" s="59" t="str">
        <f t="shared" si="0"/>
        <v>2.39 (1.30 – 4.49)</v>
      </c>
      <c r="L32" s="16" t="str">
        <f t="shared" si="1"/>
        <v>2.39
(1.30 – 4.49)</v>
      </c>
      <c r="N32" s="59" t="s">
        <v>445</v>
      </c>
      <c r="O32" s="16" t="s">
        <v>750</v>
      </c>
      <c r="P32">
        <v>8.3159999999999998E-2</v>
      </c>
      <c r="Q32">
        <v>0.35410000000000003</v>
      </c>
      <c r="R32">
        <v>1.4379999999999999</v>
      </c>
      <c r="S32">
        <v>8</v>
      </c>
      <c r="T32">
        <v>4</v>
      </c>
    </row>
    <row r="33" spans="3:20" ht="15" customHeight="1" x14ac:dyDescent="0.25">
      <c r="E33" s="19">
        <v>3</v>
      </c>
      <c r="F33" s="19">
        <v>7</v>
      </c>
      <c r="G33" s="19" t="s">
        <v>782</v>
      </c>
      <c r="H33" s="19">
        <v>0.83333333333333337</v>
      </c>
      <c r="I33" s="19">
        <v>3.318951211417192</v>
      </c>
      <c r="J33" s="19">
        <v>13.229263130043655</v>
      </c>
      <c r="K33" s="59" t="str">
        <f t="shared" si="0"/>
        <v>3.32 (0.83 – 13.23)</v>
      </c>
      <c r="L33" s="16" t="str">
        <f t="shared" si="1"/>
        <v>3.32
(0.83 – 13.23)</v>
      </c>
      <c r="N33" s="59" t="s">
        <v>446</v>
      </c>
      <c r="O33" s="16" t="s">
        <v>751</v>
      </c>
      <c r="P33">
        <v>0.19869999999999999</v>
      </c>
      <c r="Q33">
        <v>0.53310000000000002</v>
      </c>
      <c r="R33">
        <v>1.5</v>
      </c>
      <c r="S33">
        <v>9</v>
      </c>
      <c r="T33">
        <v>4</v>
      </c>
    </row>
    <row r="34" spans="3:20" ht="15" customHeight="1" x14ac:dyDescent="0.25">
      <c r="E34" s="19">
        <v>3</v>
      </c>
      <c r="F34" s="19">
        <v>10</v>
      </c>
      <c r="G34" s="19" t="s">
        <v>783</v>
      </c>
      <c r="H34" s="19">
        <v>4.4444444444444446</v>
      </c>
      <c r="I34" s="19">
        <v>8.7183958151700089</v>
      </c>
      <c r="J34" s="19">
        <v>17.473353136466887</v>
      </c>
      <c r="K34" s="59" t="str">
        <f t="shared" si="0"/>
        <v>8.72 (4.44 – 17.47)</v>
      </c>
      <c r="L34" s="16" t="str">
        <f t="shared" si="1"/>
        <v>8.72
(4.44 – 17.47)</v>
      </c>
      <c r="N34" s="59" t="s">
        <v>447</v>
      </c>
      <c r="O34" s="16" t="s">
        <v>752</v>
      </c>
      <c r="P34">
        <v>2.5870000000000001E-2</v>
      </c>
      <c r="Q34">
        <v>7.2349999999999998E-2</v>
      </c>
      <c r="R34">
        <v>0.19739999999999999</v>
      </c>
      <c r="S34">
        <v>10</v>
      </c>
      <c r="T34">
        <v>4</v>
      </c>
    </row>
    <row r="35" spans="3:20" ht="15" customHeight="1" x14ac:dyDescent="0.25">
      <c r="E35" s="19">
        <v>9</v>
      </c>
      <c r="F35" s="19">
        <v>1</v>
      </c>
      <c r="G35" s="19" t="s">
        <v>730</v>
      </c>
      <c r="H35" s="19">
        <v>0.60140000000000005</v>
      </c>
      <c r="I35" s="19">
        <v>1.077</v>
      </c>
      <c r="J35" s="19">
        <v>2.024</v>
      </c>
      <c r="K35" s="59" t="str">
        <f t="shared" si="0"/>
        <v>1.08 (0.60 – 2.02)</v>
      </c>
      <c r="L35" s="16" t="str">
        <f t="shared" si="1"/>
        <v>1.08
(0.60 – 2.02)</v>
      </c>
      <c r="N35" s="59" t="s">
        <v>448</v>
      </c>
      <c r="O35" s="16" t="s">
        <v>753</v>
      </c>
      <c r="P35">
        <v>0.17449999999999999</v>
      </c>
      <c r="Q35">
        <v>1.1499999999999999</v>
      </c>
      <c r="R35">
        <v>7.5540000000000003</v>
      </c>
      <c r="S35">
        <v>6</v>
      </c>
      <c r="T35">
        <v>5</v>
      </c>
    </row>
    <row r="36" spans="3:20" ht="15" customHeight="1" x14ac:dyDescent="0.25">
      <c r="C36" s="56"/>
      <c r="D36" s="57"/>
      <c r="E36" s="57">
        <v>9</v>
      </c>
      <c r="F36" s="57">
        <v>8</v>
      </c>
      <c r="G36" s="57" t="s">
        <v>765</v>
      </c>
      <c r="H36" s="57">
        <v>0.45440000000000003</v>
      </c>
      <c r="I36" s="57">
        <v>1.508</v>
      </c>
      <c r="J36" s="57">
        <v>5.4349999999999996</v>
      </c>
      <c r="K36" s="59" t="str">
        <f t="shared" si="0"/>
        <v>1.51 (0.45 – 5.44)</v>
      </c>
      <c r="L36" s="16" t="str">
        <f t="shared" si="1"/>
        <v>1.51
(0.45 – 5.44)</v>
      </c>
      <c r="M36" s="57"/>
      <c r="N36" s="59" t="s">
        <v>449</v>
      </c>
      <c r="O36" s="16" t="s">
        <v>754</v>
      </c>
      <c r="P36">
        <v>2.6040000000000001E-2</v>
      </c>
      <c r="Q36">
        <v>0.1918</v>
      </c>
      <c r="R36">
        <v>1.3240000000000001</v>
      </c>
      <c r="S36">
        <v>7</v>
      </c>
      <c r="T36">
        <v>5</v>
      </c>
    </row>
    <row r="37" spans="3:20" ht="15" customHeight="1" x14ac:dyDescent="0.25">
      <c r="C37" s="56"/>
      <c r="D37" s="57"/>
      <c r="E37" s="57">
        <v>9</v>
      </c>
      <c r="F37" s="57">
        <v>2</v>
      </c>
      <c r="G37" s="57" t="s">
        <v>738</v>
      </c>
      <c r="H37" s="57">
        <v>1.038</v>
      </c>
      <c r="I37" s="57">
        <v>2.008</v>
      </c>
      <c r="J37" s="57">
        <v>4.117</v>
      </c>
      <c r="K37" s="59" t="str">
        <f t="shared" si="0"/>
        <v>2.01 (1.04 – 4.12)</v>
      </c>
      <c r="L37" s="16" t="str">
        <f t="shared" si="1"/>
        <v>2.01
(1.04 – 4.12)</v>
      </c>
      <c r="M37" s="57"/>
      <c r="N37" s="59" t="s">
        <v>450</v>
      </c>
      <c r="O37" s="16" t="s">
        <v>755</v>
      </c>
      <c r="P37">
        <v>5.0720000000000001E-2</v>
      </c>
      <c r="Q37">
        <v>0.34939999999999999</v>
      </c>
      <c r="R37">
        <v>2.34</v>
      </c>
      <c r="S37">
        <v>8</v>
      </c>
      <c r="T37">
        <v>5</v>
      </c>
    </row>
    <row r="38" spans="3:20" ht="15" customHeight="1" x14ac:dyDescent="0.25">
      <c r="C38" s="56"/>
      <c r="D38" s="57"/>
      <c r="E38" s="57">
        <v>9</v>
      </c>
      <c r="F38" s="57">
        <v>7</v>
      </c>
      <c r="G38" s="57" t="s">
        <v>763</v>
      </c>
      <c r="H38" s="57">
        <v>0.70320000000000005</v>
      </c>
      <c r="I38" s="57">
        <v>2.7669999999999999</v>
      </c>
      <c r="J38" s="57">
        <v>11.91</v>
      </c>
      <c r="K38" s="59" t="str">
        <f t="shared" si="0"/>
        <v>2.77 (0.70 – 11.91)</v>
      </c>
      <c r="L38" s="16" t="str">
        <f t="shared" si="1"/>
        <v>2.77
(0.70 – 11.91)</v>
      </c>
      <c r="M38" s="57"/>
      <c r="N38" s="59" t="s">
        <v>451</v>
      </c>
      <c r="O38" s="16" t="s">
        <v>756</v>
      </c>
      <c r="P38">
        <v>9.7729999999999997E-2</v>
      </c>
      <c r="Q38">
        <v>0.53739999999999999</v>
      </c>
      <c r="R38">
        <v>2.9159999999999999</v>
      </c>
      <c r="S38">
        <v>9</v>
      </c>
      <c r="T38">
        <v>5</v>
      </c>
    </row>
    <row r="39" spans="3:20" ht="15" customHeight="1" x14ac:dyDescent="0.25">
      <c r="C39" s="56"/>
      <c r="D39" s="57"/>
      <c r="E39" s="57">
        <v>9</v>
      </c>
      <c r="F39" s="57">
        <v>10</v>
      </c>
      <c r="G39" s="57" t="s">
        <v>788</v>
      </c>
      <c r="H39" s="57">
        <v>3.9824771007566708</v>
      </c>
      <c r="I39" s="57">
        <v>7.3583517292126563</v>
      </c>
      <c r="J39" s="57">
        <v>14.55604075691412</v>
      </c>
      <c r="K39" s="59" t="str">
        <f t="shared" si="0"/>
        <v>7.36 (3.98 – 14.56)</v>
      </c>
      <c r="L39" s="16" t="str">
        <f t="shared" si="1"/>
        <v>7.36
(3.98 – 14.56)</v>
      </c>
      <c r="M39" s="57"/>
      <c r="N39" s="59" t="s">
        <v>452</v>
      </c>
      <c r="O39" s="16" t="s">
        <v>757</v>
      </c>
      <c r="P39">
        <v>1.2959999999999999E-2</v>
      </c>
      <c r="Q39">
        <v>7.2559999999999999E-2</v>
      </c>
      <c r="R39">
        <v>0.37659999999999999</v>
      </c>
      <c r="S39">
        <v>10</v>
      </c>
      <c r="T39">
        <v>5</v>
      </c>
    </row>
    <row r="40" spans="3:20" ht="15" customHeight="1" x14ac:dyDescent="0.25">
      <c r="C40" s="56"/>
      <c r="D40" s="57"/>
      <c r="E40" s="57">
        <v>1</v>
      </c>
      <c r="F40" s="57">
        <v>8</v>
      </c>
      <c r="G40" s="57" t="s">
        <v>784</v>
      </c>
      <c r="H40" s="57">
        <v>0.46970408642555189</v>
      </c>
      <c r="I40" s="57">
        <v>1.3982102908277405</v>
      </c>
      <c r="J40" s="57">
        <v>4.3346337234503682</v>
      </c>
      <c r="K40" s="59" t="str">
        <f t="shared" si="0"/>
        <v>1.40 (0.47 – 4.33)</v>
      </c>
      <c r="L40" s="16" t="str">
        <f t="shared" si="1"/>
        <v>1.40
(0.47 – 4.33)</v>
      </c>
      <c r="M40" s="57"/>
      <c r="N40" s="59" t="s">
        <v>453</v>
      </c>
      <c r="O40" s="16" t="s">
        <v>758</v>
      </c>
      <c r="P40">
        <v>3.1300000000000001E-2</v>
      </c>
      <c r="Q40">
        <v>0.16669999999999999</v>
      </c>
      <c r="R40">
        <v>0.82669999999999999</v>
      </c>
      <c r="S40">
        <v>7</v>
      </c>
      <c r="T40">
        <v>6</v>
      </c>
    </row>
    <row r="41" spans="3:20" ht="15" customHeight="1" x14ac:dyDescent="0.25">
      <c r="C41" s="56"/>
      <c r="D41" s="57"/>
      <c r="E41" s="57">
        <v>1</v>
      </c>
      <c r="F41" s="57">
        <v>2</v>
      </c>
      <c r="G41" s="57" t="s">
        <v>785</v>
      </c>
      <c r="H41" s="57">
        <v>1.1889192723814053</v>
      </c>
      <c r="I41" s="57">
        <v>1.862891207153502</v>
      </c>
      <c r="J41" s="57">
        <v>3.0129557095510697</v>
      </c>
      <c r="K41" s="59" t="str">
        <f t="shared" si="0"/>
        <v>1.86 (1.19 – 3.01)</v>
      </c>
      <c r="L41" s="16" t="str">
        <f t="shared" si="1"/>
        <v>1.86
(1.19 – 3.01)</v>
      </c>
      <c r="M41" s="57"/>
      <c r="N41" s="59" t="s">
        <v>454</v>
      </c>
      <c r="O41" s="16" t="s">
        <v>759</v>
      </c>
      <c r="P41">
        <v>6.6869999999999999E-2</v>
      </c>
      <c r="Q41">
        <v>0.30980000000000002</v>
      </c>
      <c r="R41">
        <v>1.3280000000000001</v>
      </c>
      <c r="S41">
        <v>8</v>
      </c>
      <c r="T41">
        <v>6</v>
      </c>
    </row>
    <row r="42" spans="3:20" ht="15" customHeight="1" x14ac:dyDescent="0.25">
      <c r="C42" s="56"/>
      <c r="D42" s="57"/>
      <c r="E42" s="57">
        <v>1</v>
      </c>
      <c r="F42" s="57">
        <v>7</v>
      </c>
      <c r="G42" s="57" t="s">
        <v>786</v>
      </c>
      <c r="H42" s="57">
        <v>0.69444444444444442</v>
      </c>
      <c r="I42" s="57">
        <v>2.5893319523562921</v>
      </c>
      <c r="J42" s="57">
        <v>9.7087378640776709</v>
      </c>
      <c r="K42" s="59" t="str">
        <f t="shared" si="0"/>
        <v>2.59 (0.69 – 9.71)</v>
      </c>
      <c r="L42" s="16" t="str">
        <f t="shared" si="1"/>
        <v>2.59
(0.69 – 9.71)</v>
      </c>
      <c r="M42" s="57"/>
      <c r="N42" s="59" t="s">
        <v>455</v>
      </c>
      <c r="O42" s="16" t="s">
        <v>760</v>
      </c>
      <c r="P42">
        <v>0.154</v>
      </c>
      <c r="Q42">
        <v>0.45889999999999997</v>
      </c>
      <c r="R42">
        <v>1.43</v>
      </c>
      <c r="S42">
        <v>9</v>
      </c>
      <c r="T42">
        <v>6</v>
      </c>
    </row>
    <row r="43" spans="3:20" ht="15" customHeight="1" x14ac:dyDescent="0.25">
      <c r="C43" s="56"/>
      <c r="D43" s="57"/>
      <c r="E43" s="57">
        <v>1</v>
      </c>
      <c r="F43" s="57">
        <v>10</v>
      </c>
      <c r="G43" s="57" t="s">
        <v>787</v>
      </c>
      <c r="H43" s="57">
        <v>3.8124285169653072</v>
      </c>
      <c r="I43" s="57">
        <v>6.8166325835037496</v>
      </c>
      <c r="J43" s="57">
        <v>12.74534794799898</v>
      </c>
      <c r="K43" s="59" t="str">
        <f t="shared" si="0"/>
        <v>6.82 (3.81 – 12.75)</v>
      </c>
      <c r="L43" s="16" t="str">
        <f t="shared" si="1"/>
        <v>6.82
(3.81 – 12.75)</v>
      </c>
      <c r="M43" s="57"/>
      <c r="N43" s="59" t="s">
        <v>456</v>
      </c>
      <c r="O43" s="16" t="s">
        <v>761</v>
      </c>
      <c r="P43">
        <v>2.01E-2</v>
      </c>
      <c r="Q43">
        <v>6.3109999999999999E-2</v>
      </c>
      <c r="R43">
        <v>0.18709999999999999</v>
      </c>
      <c r="S43">
        <v>10</v>
      </c>
      <c r="T43">
        <v>6</v>
      </c>
    </row>
    <row r="44" spans="3:20" ht="15" customHeight="1" x14ac:dyDescent="0.25">
      <c r="C44" s="56"/>
      <c r="D44" s="57"/>
      <c r="E44" s="57">
        <v>8</v>
      </c>
      <c r="F44" s="57">
        <v>2</v>
      </c>
      <c r="G44" s="57" t="s">
        <v>737</v>
      </c>
      <c r="H44" s="57">
        <v>0.43769999999999998</v>
      </c>
      <c r="I44" s="57">
        <v>1.333</v>
      </c>
      <c r="J44" s="57">
        <v>3.915</v>
      </c>
      <c r="K44" s="59" t="str">
        <f t="shared" si="0"/>
        <v>1.33 (0.44 – 3.92)</v>
      </c>
      <c r="L44" s="16" t="str">
        <f t="shared" si="1"/>
        <v>1.33
(0.44 – 3.92)</v>
      </c>
      <c r="M44" s="57"/>
      <c r="N44" s="59" t="s">
        <v>457</v>
      </c>
      <c r="O44" s="16" t="s">
        <v>762</v>
      </c>
      <c r="P44">
        <v>0.3569</v>
      </c>
      <c r="Q44">
        <v>1.859</v>
      </c>
      <c r="R44">
        <v>9.5299999999999994</v>
      </c>
      <c r="S44">
        <v>8</v>
      </c>
      <c r="T44">
        <v>7</v>
      </c>
    </row>
    <row r="45" spans="3:20" ht="15" customHeight="1" x14ac:dyDescent="0.25">
      <c r="C45" s="56"/>
      <c r="D45" s="57"/>
      <c r="E45" s="57">
        <v>8</v>
      </c>
      <c r="F45" s="57">
        <v>7</v>
      </c>
      <c r="G45" s="57" t="s">
        <v>762</v>
      </c>
      <c r="H45" s="57">
        <v>0.3569</v>
      </c>
      <c r="I45" s="57">
        <v>1.859</v>
      </c>
      <c r="J45" s="57">
        <v>9.5299999999999994</v>
      </c>
      <c r="K45" s="59" t="str">
        <f t="shared" si="0"/>
        <v>1.86 (0.36 – 9.53)</v>
      </c>
      <c r="L45" s="16" t="str">
        <f t="shared" si="1"/>
        <v>1.86
(0.36 – 9.53)</v>
      </c>
      <c r="M45" s="57"/>
      <c r="N45" s="59" t="s">
        <v>458</v>
      </c>
      <c r="O45" s="16" t="s">
        <v>763</v>
      </c>
      <c r="P45">
        <v>0.70320000000000005</v>
      </c>
      <c r="Q45">
        <v>2.7669999999999999</v>
      </c>
      <c r="R45">
        <v>11.91</v>
      </c>
      <c r="S45">
        <v>9</v>
      </c>
      <c r="T45">
        <v>7</v>
      </c>
    </row>
    <row r="46" spans="3:20" ht="15" customHeight="1" x14ac:dyDescent="0.25">
      <c r="C46" s="56"/>
      <c r="D46" s="57"/>
      <c r="E46" s="57">
        <v>8</v>
      </c>
      <c r="F46" s="57">
        <v>10</v>
      </c>
      <c r="G46" s="57" t="s">
        <v>789</v>
      </c>
      <c r="H46" s="57">
        <v>1.4436263894904</v>
      </c>
      <c r="I46" s="57">
        <v>4.8756704046806432</v>
      </c>
      <c r="J46" s="57">
        <v>16.32386549134835</v>
      </c>
      <c r="K46" s="59" t="str">
        <f t="shared" si="0"/>
        <v>4.88 (1.44 – 16.32)</v>
      </c>
      <c r="L46" s="16" t="str">
        <f t="shared" si="1"/>
        <v>4.88
(1.44 – 16.32)</v>
      </c>
      <c r="M46" s="57"/>
      <c r="N46" s="59" t="s">
        <v>459</v>
      </c>
      <c r="O46" s="16" t="s">
        <v>764</v>
      </c>
      <c r="P46">
        <v>9.3009999999999995E-2</v>
      </c>
      <c r="Q46">
        <v>0.38090000000000002</v>
      </c>
      <c r="R46">
        <v>1.514</v>
      </c>
      <c r="S46">
        <v>10</v>
      </c>
      <c r="T46">
        <v>7</v>
      </c>
    </row>
    <row r="47" spans="3:20" ht="15" customHeight="1" x14ac:dyDescent="0.25">
      <c r="C47" s="56"/>
      <c r="D47" s="57"/>
      <c r="E47" s="57">
        <v>2</v>
      </c>
      <c r="F47" s="57">
        <v>7</v>
      </c>
      <c r="G47" s="57" t="s">
        <v>790</v>
      </c>
      <c r="H47" s="57">
        <v>0.40209087253719339</v>
      </c>
      <c r="I47" s="57">
        <v>1.3914011409489355</v>
      </c>
      <c r="J47" s="57">
        <v>4.7505938242280283</v>
      </c>
      <c r="K47" s="59" t="str">
        <f t="shared" si="0"/>
        <v>1.39 (0.40 – 4.75)</v>
      </c>
      <c r="L47" s="16" t="str">
        <f t="shared" si="1"/>
        <v>1.39
(0.40 – 4.75)</v>
      </c>
      <c r="M47" s="57"/>
      <c r="N47" s="59" t="s">
        <v>460</v>
      </c>
      <c r="O47" s="16" t="s">
        <v>765</v>
      </c>
      <c r="P47">
        <v>0.45440000000000003</v>
      </c>
      <c r="Q47">
        <v>1.508</v>
      </c>
      <c r="R47">
        <v>5.4349999999999996</v>
      </c>
      <c r="S47">
        <v>9</v>
      </c>
      <c r="T47">
        <v>8</v>
      </c>
    </row>
    <row r="48" spans="3:20" ht="15" customHeight="1" x14ac:dyDescent="0.25">
      <c r="C48" s="56"/>
      <c r="D48" s="57"/>
      <c r="E48" s="57">
        <v>2</v>
      </c>
      <c r="F48" s="57">
        <v>10</v>
      </c>
      <c r="G48" s="57" t="s">
        <v>791</v>
      </c>
      <c r="H48" s="57">
        <v>1.9256691700365878</v>
      </c>
      <c r="I48" s="57">
        <v>3.6670333700036672</v>
      </c>
      <c r="J48" s="57">
        <v>6.9492703266157054</v>
      </c>
      <c r="K48" s="59" t="str">
        <f t="shared" si="0"/>
        <v>3.67 (1.93 – 6.95)</v>
      </c>
      <c r="L48" s="16" t="str">
        <f t="shared" si="1"/>
        <v>3.67
(1.93 – 6.95)</v>
      </c>
      <c r="M48" s="57"/>
      <c r="N48" s="59" t="s">
        <v>461</v>
      </c>
      <c r="O48" s="16" t="s">
        <v>766</v>
      </c>
      <c r="P48">
        <v>6.1260000000000002E-2</v>
      </c>
      <c r="Q48">
        <v>0.2051</v>
      </c>
      <c r="R48">
        <v>0.69269999999999998</v>
      </c>
      <c r="S48">
        <v>10</v>
      </c>
      <c r="T48">
        <v>8</v>
      </c>
    </row>
    <row r="49" spans="3:20" ht="15" customHeight="1" x14ac:dyDescent="0.25">
      <c r="C49" s="56"/>
      <c r="D49" s="57"/>
      <c r="E49" s="57">
        <v>7</v>
      </c>
      <c r="F49" s="57">
        <v>10</v>
      </c>
      <c r="G49" s="57" t="s">
        <v>792</v>
      </c>
      <c r="H49" s="57">
        <v>0.66050198150594452</v>
      </c>
      <c r="I49" s="57">
        <v>2.6253609871357311</v>
      </c>
      <c r="J49" s="57">
        <v>10.751532093323299</v>
      </c>
      <c r="K49" s="59" t="str">
        <f t="shared" si="0"/>
        <v>2.63 (0.66 – 10.75)</v>
      </c>
      <c r="L49" s="16" t="str">
        <f t="shared" si="1"/>
        <v>2.63
(0.66 – 10.75)</v>
      </c>
      <c r="M49" s="57"/>
      <c r="N49" s="59" t="s">
        <v>462</v>
      </c>
      <c r="O49" s="16" t="s">
        <v>767</v>
      </c>
      <c r="P49">
        <v>6.8699999999999997E-2</v>
      </c>
      <c r="Q49">
        <v>0.13589999999999999</v>
      </c>
      <c r="R49">
        <v>0.25109999999999999</v>
      </c>
      <c r="S49">
        <v>10</v>
      </c>
      <c r="T49">
        <v>9</v>
      </c>
    </row>
    <row r="50" spans="3:20" ht="15" hidden="1" customHeight="1" x14ac:dyDescent="0.25">
      <c r="C50" s="56"/>
      <c r="D50" s="57"/>
      <c r="E50" s="57"/>
      <c r="F50" s="57"/>
      <c r="G50" s="57"/>
      <c r="H50" s="57"/>
      <c r="I50" s="57"/>
      <c r="J50" s="57"/>
      <c r="K50" s="59" t="str">
        <f t="shared" si="0"/>
        <v>0.00 (0.00 – 0.00)</v>
      </c>
      <c r="L50" s="16" t="str">
        <f t="shared" si="1"/>
        <v>0.00
(0.00 – 0.00)</v>
      </c>
      <c r="M50" s="57"/>
      <c r="N50" s="59"/>
      <c r="O50" s="16"/>
    </row>
    <row r="51" spans="3:20" ht="15" hidden="1" customHeight="1" x14ac:dyDescent="0.25">
      <c r="C51" s="56"/>
      <c r="D51" s="57"/>
      <c r="E51" s="57"/>
      <c r="F51" s="57"/>
      <c r="G51" s="57"/>
      <c r="H51" s="57"/>
      <c r="I51" s="57"/>
      <c r="J51" s="57"/>
      <c r="K51" s="59" t="str">
        <f t="shared" si="0"/>
        <v>0.00 (0.00 – 0.00)</v>
      </c>
      <c r="L51" s="16" t="str">
        <f t="shared" si="1"/>
        <v>0.00
(0.00 – 0.00)</v>
      </c>
      <c r="M51" s="57"/>
      <c r="N51" s="59"/>
      <c r="O51" s="16"/>
    </row>
    <row r="52" spans="3:20" ht="15" hidden="1" customHeight="1" x14ac:dyDescent="0.25">
      <c r="C52" s="56"/>
      <c r="D52" s="57"/>
      <c r="E52" s="57"/>
      <c r="F52" s="57"/>
      <c r="G52" s="57"/>
      <c r="H52" s="57"/>
      <c r="I52" s="57"/>
      <c r="J52" s="57"/>
      <c r="K52" s="59" t="str">
        <f t="shared" si="0"/>
        <v>0.00 (0.00 – 0.00)</v>
      </c>
      <c r="L52" s="16" t="str">
        <f t="shared" si="1"/>
        <v>0.00
(0.00 – 0.00)</v>
      </c>
      <c r="M52" s="57"/>
      <c r="N52" s="59"/>
      <c r="O52" s="16"/>
    </row>
    <row r="53" spans="3:20" ht="15" hidden="1" customHeight="1" x14ac:dyDescent="0.25">
      <c r="C53" s="56"/>
      <c r="D53" s="57"/>
      <c r="E53" s="57"/>
      <c r="F53" s="57"/>
      <c r="G53" s="57"/>
      <c r="H53" s="57"/>
      <c r="I53" s="57"/>
      <c r="J53" s="57"/>
      <c r="K53" s="59" t="str">
        <f t="shared" si="0"/>
        <v>0.00 (0.00 – 0.00)</v>
      </c>
      <c r="L53" s="16" t="str">
        <f t="shared" si="1"/>
        <v>0.00
(0.00 – 0.00)</v>
      </c>
      <c r="M53" s="57"/>
      <c r="N53" s="59"/>
      <c r="O53" s="16"/>
    </row>
    <row r="54" spans="3:20" ht="15" hidden="1" customHeight="1" x14ac:dyDescent="0.25">
      <c r="C54" s="56"/>
      <c r="D54" s="57"/>
      <c r="E54" s="57"/>
      <c r="F54" s="57"/>
      <c r="G54" s="57"/>
      <c r="H54" s="57"/>
      <c r="I54" s="57"/>
      <c r="J54" s="57"/>
      <c r="K54" s="59" t="str">
        <f t="shared" si="0"/>
        <v>0.00 (0.00 – 0.00)</v>
      </c>
      <c r="L54" s="16" t="str">
        <f t="shared" si="1"/>
        <v>0.00
(0.00 – 0.00)</v>
      </c>
      <c r="M54" s="57"/>
      <c r="N54" s="59"/>
      <c r="O54" s="16"/>
    </row>
    <row r="55" spans="3:20" ht="15" hidden="1" customHeight="1" x14ac:dyDescent="0.25">
      <c r="C55" s="56"/>
      <c r="D55" s="57"/>
      <c r="E55" s="57"/>
      <c r="F55" s="57"/>
      <c r="G55" s="57"/>
      <c r="H55" s="57"/>
      <c r="I55" s="57"/>
      <c r="J55" s="57"/>
      <c r="K55" s="59" t="str">
        <f t="shared" si="0"/>
        <v>0.00 (0.00 – 0.00)</v>
      </c>
      <c r="L55" s="16" t="str">
        <f t="shared" si="1"/>
        <v>0.00
(0.00 – 0.00)</v>
      </c>
      <c r="M55" s="57"/>
      <c r="N55" s="59"/>
      <c r="O55" s="16"/>
    </row>
    <row r="56" spans="3:20" ht="15" hidden="1" customHeight="1" x14ac:dyDescent="0.25">
      <c r="C56" s="56"/>
      <c r="D56" s="57"/>
      <c r="E56" s="57"/>
      <c r="F56" s="57"/>
      <c r="G56" s="57"/>
      <c r="H56" s="57"/>
      <c r="I56" s="57"/>
      <c r="J56" s="57"/>
      <c r="K56" s="59" t="str">
        <f t="shared" si="0"/>
        <v>0.00 (0.00 – 0.00)</v>
      </c>
      <c r="L56" s="16" t="str">
        <f t="shared" si="1"/>
        <v>0.00
(0.00 – 0.00)</v>
      </c>
      <c r="M56" s="57"/>
      <c r="N56" s="59"/>
      <c r="O56" s="16"/>
    </row>
    <row r="57" spans="3:20" ht="15" hidden="1" customHeight="1" x14ac:dyDescent="0.25">
      <c r="C57" s="56"/>
      <c r="D57" s="57"/>
      <c r="E57" s="57"/>
      <c r="F57" s="57"/>
      <c r="G57" s="57"/>
      <c r="H57" s="57"/>
      <c r="I57" s="57"/>
      <c r="J57" s="57"/>
      <c r="K57" s="59" t="str">
        <f t="shared" si="0"/>
        <v>0.00 (0.00 – 0.00)</v>
      </c>
      <c r="L57" s="16" t="str">
        <f t="shared" si="1"/>
        <v>0.00
(0.00 – 0.00)</v>
      </c>
      <c r="M57" s="57"/>
      <c r="N57" s="59"/>
      <c r="O57" s="16"/>
    </row>
    <row r="58" spans="3:20" ht="15" hidden="1" customHeight="1" x14ac:dyDescent="0.25">
      <c r="C58" s="56"/>
      <c r="D58" s="57"/>
      <c r="E58" s="57"/>
      <c r="F58" s="57"/>
      <c r="G58" s="57"/>
      <c r="H58" s="57"/>
      <c r="I58" s="57"/>
      <c r="J58" s="57"/>
      <c r="K58" s="59" t="str">
        <f t="shared" si="0"/>
        <v>0.00 (0.00 – 0.00)</v>
      </c>
      <c r="L58" s="16" t="str">
        <f t="shared" si="1"/>
        <v>0.00
(0.00 – 0.00)</v>
      </c>
      <c r="M58" s="57"/>
      <c r="N58" s="59"/>
      <c r="O58" s="16"/>
    </row>
    <row r="59" spans="3:20" ht="15" hidden="1" customHeight="1" x14ac:dyDescent="0.25">
      <c r="C59" s="56"/>
      <c r="D59" s="57"/>
      <c r="E59" s="57"/>
      <c r="F59" s="57"/>
      <c r="G59" s="57"/>
      <c r="H59" s="57"/>
      <c r="I59" s="57"/>
      <c r="J59" s="57"/>
      <c r="K59" s="59" t="str">
        <f t="shared" si="0"/>
        <v>0.00 (0.00 – 0.00)</v>
      </c>
      <c r="L59" s="16" t="str">
        <f t="shared" si="1"/>
        <v>0.00
(0.00 – 0.00)</v>
      </c>
      <c r="M59" s="57"/>
      <c r="N59" s="59"/>
      <c r="O59" s="16"/>
    </row>
    <row r="60" spans="3:20" ht="15" hidden="1" customHeight="1" x14ac:dyDescent="0.25">
      <c r="C60" s="56"/>
      <c r="D60" s="57"/>
      <c r="E60" s="57"/>
      <c r="F60" s="57"/>
      <c r="G60" s="57"/>
      <c r="H60" s="57"/>
      <c r="I60" s="57"/>
      <c r="J60" s="57"/>
      <c r="K60" s="59" t="str">
        <f t="shared" si="0"/>
        <v>0.00 (0.00 – 0.00)</v>
      </c>
      <c r="L60" s="16" t="str">
        <f t="shared" si="1"/>
        <v>0.00
(0.00 – 0.00)</v>
      </c>
      <c r="M60" s="57"/>
      <c r="N60" s="59"/>
      <c r="O60" s="16"/>
    </row>
    <row r="61" spans="3:20" ht="15" hidden="1" customHeight="1" x14ac:dyDescent="0.25">
      <c r="C61" s="56"/>
      <c r="D61" s="57"/>
      <c r="E61" s="57"/>
      <c r="F61" s="57"/>
      <c r="G61" s="57"/>
      <c r="H61" s="57"/>
      <c r="I61" s="57"/>
      <c r="J61" s="57"/>
      <c r="K61" s="59" t="str">
        <f t="shared" si="0"/>
        <v>0.00 (0.00 – 0.00)</v>
      </c>
      <c r="L61" s="16" t="str">
        <f t="shared" si="1"/>
        <v>0.00
(0.00 – 0.00)</v>
      </c>
      <c r="M61" s="57"/>
      <c r="N61" s="59"/>
      <c r="O61" s="16"/>
    </row>
    <row r="62" spans="3:20" ht="15" hidden="1" customHeight="1" x14ac:dyDescent="0.25">
      <c r="C62" s="56"/>
      <c r="D62" s="57"/>
      <c r="E62" s="57"/>
      <c r="F62" s="57"/>
      <c r="G62" s="57"/>
      <c r="H62" s="57"/>
      <c r="I62" s="57"/>
      <c r="J62" s="57"/>
      <c r="K62" s="59" t="str">
        <f t="shared" si="0"/>
        <v>0.00 (0.00 – 0.00)</v>
      </c>
      <c r="L62" s="16" t="str">
        <f t="shared" si="1"/>
        <v>0.00
(0.00 – 0.00)</v>
      </c>
      <c r="M62" s="57"/>
      <c r="N62" s="59"/>
      <c r="O62" s="16"/>
    </row>
    <row r="63" spans="3:20" ht="15" hidden="1" customHeight="1" x14ac:dyDescent="0.25">
      <c r="C63" s="56"/>
      <c r="D63" s="57"/>
      <c r="E63" s="57"/>
      <c r="F63" s="57"/>
      <c r="G63" s="57"/>
      <c r="H63" s="57"/>
      <c r="I63" s="57"/>
      <c r="J63" s="57"/>
      <c r="K63" s="59" t="str">
        <f t="shared" si="0"/>
        <v>0.00 (0.00 – 0.00)</v>
      </c>
      <c r="L63" s="16" t="str">
        <f t="shared" si="1"/>
        <v>0.00
(0.00 – 0.00)</v>
      </c>
      <c r="M63" s="57"/>
      <c r="N63" s="59"/>
      <c r="O63" s="16"/>
    </row>
    <row r="64" spans="3:20" ht="15" hidden="1" customHeight="1" x14ac:dyDescent="0.25">
      <c r="C64" s="56"/>
      <c r="D64" s="57"/>
      <c r="E64" s="57"/>
      <c r="F64" s="57"/>
      <c r="G64" s="57"/>
      <c r="H64" s="57"/>
      <c r="I64" s="57"/>
      <c r="J64" s="57"/>
      <c r="K64" s="59" t="str">
        <f t="shared" si="0"/>
        <v>0.00 (0.00 – 0.00)</v>
      </c>
      <c r="L64" s="16" t="str">
        <f t="shared" si="1"/>
        <v>0.00
(0.00 – 0.00)</v>
      </c>
      <c r="M64" s="57"/>
      <c r="N64" s="59"/>
      <c r="O64" s="16"/>
    </row>
    <row r="65" spans="3:15" ht="15" hidden="1" customHeight="1" x14ac:dyDescent="0.25">
      <c r="C65" s="56"/>
      <c r="D65" s="57"/>
      <c r="E65" s="57"/>
      <c r="F65" s="57"/>
      <c r="G65" s="57"/>
      <c r="H65" s="57"/>
      <c r="I65" s="57"/>
      <c r="J65" s="57"/>
      <c r="K65" s="59" t="str">
        <f t="shared" si="0"/>
        <v>0.00 (0.00 – 0.00)</v>
      </c>
      <c r="L65" s="16" t="str">
        <f t="shared" si="1"/>
        <v>0.00
(0.00 – 0.00)</v>
      </c>
      <c r="M65" s="57"/>
      <c r="N65" s="59"/>
      <c r="O65" s="16"/>
    </row>
    <row r="66" spans="3:15" ht="15" hidden="1" customHeight="1" x14ac:dyDescent="0.25">
      <c r="C66" s="56"/>
      <c r="D66" s="57"/>
      <c r="E66" s="57"/>
      <c r="F66" s="57"/>
      <c r="G66" s="57"/>
      <c r="H66" s="57"/>
      <c r="I66" s="57"/>
      <c r="J66" s="57"/>
      <c r="K66" s="59" t="str">
        <f t="shared" si="0"/>
        <v>0.00 (0.00 – 0.00)</v>
      </c>
      <c r="L66" s="16" t="str">
        <f t="shared" si="1"/>
        <v>0.00
(0.00 – 0.00)</v>
      </c>
      <c r="M66" s="57"/>
      <c r="N66" s="59"/>
      <c r="O66" s="16"/>
    </row>
    <row r="67" spans="3:15" ht="15" hidden="1" customHeight="1" x14ac:dyDescent="0.25">
      <c r="C67" s="56"/>
      <c r="D67" s="57"/>
      <c r="E67" s="57"/>
      <c r="F67" s="57"/>
      <c r="G67" s="57"/>
      <c r="H67" s="57"/>
      <c r="I67" s="57"/>
      <c r="J67" s="57"/>
      <c r="K67" s="59" t="str">
        <f t="shared" si="0"/>
        <v>0.00 (0.00 – 0.00)</v>
      </c>
      <c r="L67" s="16" t="str">
        <f t="shared" si="1"/>
        <v>0.00
(0.00 – 0.00)</v>
      </c>
      <c r="M67" s="57"/>
      <c r="N67" s="59"/>
      <c r="O67" s="16"/>
    </row>
    <row r="68" spans="3:15" ht="15" hidden="1" customHeight="1" x14ac:dyDescent="0.25">
      <c r="C68" s="56"/>
      <c r="D68" s="57"/>
      <c r="E68" s="57"/>
      <c r="F68" s="57"/>
      <c r="G68" s="57"/>
      <c r="H68" s="57"/>
      <c r="I68" s="57"/>
      <c r="J68" s="57"/>
      <c r="K68" s="59" t="str">
        <f t="shared" si="0"/>
        <v>0.00 (0.00 – 0.00)</v>
      </c>
      <c r="L68" s="16" t="str">
        <f t="shared" si="1"/>
        <v>0.00
(0.00 – 0.00)</v>
      </c>
      <c r="M68" s="57"/>
      <c r="N68" s="59"/>
      <c r="O68" s="16"/>
    </row>
    <row r="69" spans="3:15" ht="15" hidden="1" customHeight="1" x14ac:dyDescent="0.25">
      <c r="C69" s="56"/>
      <c r="D69" s="57"/>
      <c r="E69" s="57"/>
      <c r="F69" s="57"/>
      <c r="G69" s="57"/>
      <c r="H69" s="57"/>
      <c r="I69" s="57"/>
      <c r="J69" s="57"/>
      <c r="K69" s="59" t="str">
        <f t="shared" si="0"/>
        <v>0.00 (0.00 – 0.00)</v>
      </c>
      <c r="L69" s="16" t="str">
        <f t="shared" si="1"/>
        <v>0.00
(0.00 – 0.00)</v>
      </c>
      <c r="M69" s="57"/>
      <c r="N69" s="59"/>
      <c r="O69" s="16"/>
    </row>
    <row r="70" spans="3:15" ht="15" hidden="1" customHeight="1" x14ac:dyDescent="0.25">
      <c r="C70" s="56"/>
      <c r="D70" s="57"/>
      <c r="E70" s="57"/>
      <c r="F70" s="57"/>
      <c r="G70" s="57"/>
      <c r="H70" s="57"/>
      <c r="I70" s="57"/>
      <c r="J70" s="57"/>
      <c r="K70" s="59" t="str">
        <f t="shared" ref="K70:K133" si="2">CONCATENATE(TEXT(I70,"0.00")," (",TEXT(H70,"0.00")," – ",TEXT(J70,"0.00"),")")</f>
        <v>0.00 (0.00 – 0.00)</v>
      </c>
      <c r="L70" s="16" t="str">
        <f t="shared" ref="L70:L133" si="3">CONCATENATE(TEXT(I70,"0.00"),"
(",TEXT(H70,"0.00")," – ",TEXT(J70,"0.00"),")")</f>
        <v>0.00
(0.00 – 0.00)</v>
      </c>
      <c r="M70" s="57"/>
      <c r="N70" s="59"/>
      <c r="O70" s="16"/>
    </row>
    <row r="71" spans="3:15" ht="15" hidden="1" customHeight="1" x14ac:dyDescent="0.25">
      <c r="C71" s="56"/>
      <c r="D71" s="57"/>
      <c r="E71" s="57"/>
      <c r="F71" s="57"/>
      <c r="G71" s="57"/>
      <c r="H71" s="57"/>
      <c r="I71" s="57"/>
      <c r="J71" s="57"/>
      <c r="K71" s="59" t="str">
        <f t="shared" si="2"/>
        <v>0.00 (0.00 – 0.00)</v>
      </c>
      <c r="L71" s="16" t="str">
        <f t="shared" si="3"/>
        <v>0.00
(0.00 – 0.00)</v>
      </c>
      <c r="M71" s="57"/>
      <c r="N71" s="59"/>
      <c r="O71" s="16"/>
    </row>
    <row r="72" spans="3:15" ht="15" hidden="1" customHeight="1" x14ac:dyDescent="0.25">
      <c r="C72" s="56"/>
      <c r="D72" s="57"/>
      <c r="E72" s="57"/>
      <c r="F72" s="57"/>
      <c r="G72" s="57"/>
      <c r="H72" s="57"/>
      <c r="I72" s="57"/>
      <c r="J72" s="57"/>
      <c r="K72" s="59" t="str">
        <f t="shared" si="2"/>
        <v>0.00 (0.00 – 0.00)</v>
      </c>
      <c r="L72" s="16" t="str">
        <f t="shared" si="3"/>
        <v>0.00
(0.00 – 0.00)</v>
      </c>
      <c r="M72" s="57"/>
      <c r="N72" s="59"/>
      <c r="O72" s="16"/>
    </row>
    <row r="73" spans="3:15" ht="15" hidden="1" customHeight="1" x14ac:dyDescent="0.25">
      <c r="C73" s="56"/>
      <c r="D73" s="57"/>
      <c r="E73" s="57"/>
      <c r="F73" s="57"/>
      <c r="G73" s="57"/>
      <c r="H73" s="57"/>
      <c r="I73" s="57"/>
      <c r="J73" s="57"/>
      <c r="K73" s="59" t="str">
        <f t="shared" si="2"/>
        <v>0.00 (0.00 – 0.00)</v>
      </c>
      <c r="L73" s="16" t="str">
        <f t="shared" si="3"/>
        <v>0.00
(0.00 – 0.00)</v>
      </c>
      <c r="M73" s="57"/>
      <c r="N73" s="59"/>
      <c r="O73" s="16"/>
    </row>
    <row r="74" spans="3:15" ht="15" hidden="1" customHeight="1" x14ac:dyDescent="0.25">
      <c r="C74" s="56"/>
      <c r="D74" s="57"/>
      <c r="E74" s="57"/>
      <c r="F74" s="57"/>
      <c r="G74" s="57"/>
      <c r="H74" s="57"/>
      <c r="I74" s="57"/>
      <c r="J74" s="57"/>
      <c r="K74" s="59" t="str">
        <f t="shared" si="2"/>
        <v>0.00 (0.00 – 0.00)</v>
      </c>
      <c r="L74" s="16" t="str">
        <f t="shared" si="3"/>
        <v>0.00
(0.00 – 0.00)</v>
      </c>
      <c r="M74" s="57"/>
      <c r="N74" s="59"/>
      <c r="O74" s="16"/>
    </row>
    <row r="75" spans="3:15" ht="15" hidden="1" customHeight="1" x14ac:dyDescent="0.25">
      <c r="C75" s="56"/>
      <c r="D75" s="57"/>
      <c r="E75" s="57"/>
      <c r="F75" s="57"/>
      <c r="G75" s="57"/>
      <c r="H75" s="57"/>
      <c r="I75" s="57"/>
      <c r="J75" s="57"/>
      <c r="K75" s="59" t="str">
        <f t="shared" si="2"/>
        <v>0.00 (0.00 – 0.00)</v>
      </c>
      <c r="L75" s="16" t="str">
        <f t="shared" si="3"/>
        <v>0.00
(0.00 – 0.00)</v>
      </c>
      <c r="M75" s="57"/>
      <c r="N75" s="59"/>
      <c r="O75" s="16"/>
    </row>
    <row r="76" spans="3:15" ht="15" hidden="1" customHeight="1" x14ac:dyDescent="0.25">
      <c r="C76" s="56"/>
      <c r="D76" s="57"/>
      <c r="E76" s="57"/>
      <c r="F76" s="57"/>
      <c r="G76" s="57"/>
      <c r="H76" s="57"/>
      <c r="I76" s="57"/>
      <c r="J76" s="57"/>
      <c r="K76" s="59" t="str">
        <f t="shared" si="2"/>
        <v>0.00 (0.00 – 0.00)</v>
      </c>
      <c r="L76" s="16" t="str">
        <f t="shared" si="3"/>
        <v>0.00
(0.00 – 0.00)</v>
      </c>
      <c r="M76" s="57"/>
      <c r="N76" s="59"/>
      <c r="O76" s="16"/>
    </row>
    <row r="77" spans="3:15" ht="15" hidden="1" customHeight="1" x14ac:dyDescent="0.25">
      <c r="C77" s="56"/>
      <c r="D77" s="57"/>
      <c r="E77" s="57"/>
      <c r="F77" s="57"/>
      <c r="G77" s="57"/>
      <c r="H77" s="57"/>
      <c r="I77" s="57"/>
      <c r="J77" s="57"/>
      <c r="K77" s="59" t="str">
        <f t="shared" si="2"/>
        <v>0.00 (0.00 – 0.00)</v>
      </c>
      <c r="L77" s="16" t="str">
        <f t="shared" si="3"/>
        <v>0.00
(0.00 – 0.00)</v>
      </c>
      <c r="M77" s="57"/>
      <c r="N77" s="59"/>
      <c r="O77" s="16"/>
    </row>
    <row r="78" spans="3:15" ht="15" hidden="1" customHeight="1" x14ac:dyDescent="0.25">
      <c r="C78" s="56"/>
      <c r="D78" s="57"/>
      <c r="E78" s="57"/>
      <c r="F78" s="57"/>
      <c r="G78" s="57"/>
      <c r="H78" s="57"/>
      <c r="I78" s="57"/>
      <c r="J78" s="57"/>
      <c r="K78" s="59" t="str">
        <f t="shared" si="2"/>
        <v>0.00 (0.00 – 0.00)</v>
      </c>
      <c r="L78" s="16" t="str">
        <f t="shared" si="3"/>
        <v>0.00
(0.00 – 0.00)</v>
      </c>
      <c r="M78" s="57"/>
      <c r="N78" s="59"/>
      <c r="O78" s="16"/>
    </row>
    <row r="79" spans="3:15" ht="15" hidden="1" customHeight="1" x14ac:dyDescent="0.25">
      <c r="C79" s="56"/>
      <c r="D79" s="57"/>
      <c r="E79" s="57"/>
      <c r="F79" s="57"/>
      <c r="G79" s="57"/>
      <c r="H79" s="57"/>
      <c r="I79" s="57"/>
      <c r="J79" s="57"/>
      <c r="K79" s="59" t="str">
        <f t="shared" si="2"/>
        <v>0.00 (0.00 – 0.00)</v>
      </c>
      <c r="L79" s="16" t="str">
        <f t="shared" si="3"/>
        <v>0.00
(0.00 – 0.00)</v>
      </c>
      <c r="M79" s="57"/>
      <c r="N79" s="59"/>
      <c r="O79" s="16"/>
    </row>
    <row r="80" spans="3:15" ht="15" hidden="1" customHeight="1" x14ac:dyDescent="0.25">
      <c r="C80" s="56"/>
      <c r="D80" s="57"/>
      <c r="E80" s="57"/>
      <c r="F80" s="57"/>
      <c r="G80" s="57"/>
      <c r="H80" s="57"/>
      <c r="I80" s="57"/>
      <c r="J80" s="57"/>
      <c r="K80" s="59" t="str">
        <f t="shared" si="2"/>
        <v>0.00 (0.00 – 0.00)</v>
      </c>
      <c r="L80" s="16" t="str">
        <f t="shared" si="3"/>
        <v>0.00
(0.00 – 0.00)</v>
      </c>
      <c r="M80" s="57"/>
      <c r="N80" s="59"/>
      <c r="O80" s="16"/>
    </row>
    <row r="81" spans="3:15" ht="15" hidden="1" customHeight="1" x14ac:dyDescent="0.25">
      <c r="C81" s="56"/>
      <c r="D81" s="57"/>
      <c r="E81" s="57"/>
      <c r="F81" s="57"/>
      <c r="G81" s="57"/>
      <c r="H81" s="57"/>
      <c r="I81" s="57"/>
      <c r="J81" s="57"/>
      <c r="K81" s="59" t="str">
        <f t="shared" si="2"/>
        <v>0.00 (0.00 – 0.00)</v>
      </c>
      <c r="L81" s="16" t="str">
        <f t="shared" si="3"/>
        <v>0.00
(0.00 – 0.00)</v>
      </c>
      <c r="M81" s="57"/>
      <c r="N81" s="59"/>
      <c r="O81" s="16"/>
    </row>
    <row r="82" spans="3:15" ht="15" hidden="1" customHeight="1" x14ac:dyDescent="0.25">
      <c r="C82" s="56"/>
      <c r="D82" s="57"/>
      <c r="E82" s="57"/>
      <c r="F82" s="57"/>
      <c r="G82" s="57"/>
      <c r="H82" s="57"/>
      <c r="I82" s="57"/>
      <c r="J82" s="57"/>
      <c r="K82" s="59" t="str">
        <f t="shared" si="2"/>
        <v>0.00 (0.00 – 0.00)</v>
      </c>
      <c r="L82" s="16" t="str">
        <f t="shared" si="3"/>
        <v>0.00
(0.00 – 0.00)</v>
      </c>
      <c r="M82" s="57"/>
      <c r="N82" s="59"/>
      <c r="O82" s="16"/>
    </row>
    <row r="83" spans="3:15" ht="15" hidden="1" customHeight="1" x14ac:dyDescent="0.25">
      <c r="C83" s="56"/>
      <c r="D83" s="57"/>
      <c r="E83" s="57"/>
      <c r="F83" s="57"/>
      <c r="G83" s="57"/>
      <c r="H83" s="57"/>
      <c r="I83" s="57"/>
      <c r="J83" s="57"/>
      <c r="K83" s="59" t="str">
        <f t="shared" si="2"/>
        <v>0.00 (0.00 – 0.00)</v>
      </c>
      <c r="L83" s="16" t="str">
        <f t="shared" si="3"/>
        <v>0.00
(0.00 – 0.00)</v>
      </c>
      <c r="M83" s="57"/>
      <c r="N83" s="59"/>
      <c r="O83" s="16"/>
    </row>
    <row r="84" spans="3:15" ht="15" hidden="1" customHeight="1" x14ac:dyDescent="0.25">
      <c r="C84" s="56"/>
      <c r="D84" s="57"/>
      <c r="E84" s="57"/>
      <c r="F84" s="57"/>
      <c r="G84" s="57"/>
      <c r="H84" s="57"/>
      <c r="I84" s="57"/>
      <c r="J84" s="57"/>
      <c r="K84" s="59" t="str">
        <f t="shared" si="2"/>
        <v>0.00 (0.00 – 0.00)</v>
      </c>
      <c r="L84" s="16" t="str">
        <f t="shared" si="3"/>
        <v>0.00
(0.00 – 0.00)</v>
      </c>
      <c r="M84" s="57"/>
      <c r="N84" s="59"/>
      <c r="O84" s="16"/>
    </row>
    <row r="85" spans="3:15" ht="15" hidden="1" customHeight="1" x14ac:dyDescent="0.25">
      <c r="C85" s="56"/>
      <c r="D85" s="57"/>
      <c r="E85" s="57"/>
      <c r="F85" s="57"/>
      <c r="G85" s="57"/>
      <c r="H85" s="57"/>
      <c r="I85" s="57"/>
      <c r="J85" s="57"/>
      <c r="K85" s="59" t="str">
        <f t="shared" si="2"/>
        <v>0.00 (0.00 – 0.00)</v>
      </c>
      <c r="L85" s="16" t="str">
        <f t="shared" si="3"/>
        <v>0.00
(0.00 – 0.00)</v>
      </c>
      <c r="M85" s="57"/>
      <c r="N85" s="59"/>
      <c r="O85" s="16"/>
    </row>
    <row r="86" spans="3:15" ht="15" hidden="1" customHeight="1" x14ac:dyDescent="0.25">
      <c r="C86" s="56"/>
      <c r="D86" s="57"/>
      <c r="E86" s="57"/>
      <c r="F86" s="57"/>
      <c r="G86" s="57"/>
      <c r="H86" s="57"/>
      <c r="I86" s="57"/>
      <c r="J86" s="57"/>
      <c r="K86" s="59" t="str">
        <f t="shared" si="2"/>
        <v>0.00 (0.00 – 0.00)</v>
      </c>
      <c r="L86" s="16" t="str">
        <f t="shared" si="3"/>
        <v>0.00
(0.00 – 0.00)</v>
      </c>
      <c r="M86" s="57"/>
      <c r="N86" s="59"/>
      <c r="O86" s="16"/>
    </row>
    <row r="87" spans="3:15" ht="15" hidden="1" customHeight="1" x14ac:dyDescent="0.25">
      <c r="C87" s="56"/>
      <c r="D87" s="57"/>
      <c r="E87" s="57"/>
      <c r="F87" s="57"/>
      <c r="G87" s="57"/>
      <c r="H87" s="57"/>
      <c r="I87" s="57"/>
      <c r="J87" s="57"/>
      <c r="K87" s="59" t="str">
        <f t="shared" si="2"/>
        <v>0.00 (0.00 – 0.00)</v>
      </c>
      <c r="L87" s="16" t="str">
        <f t="shared" si="3"/>
        <v>0.00
(0.00 – 0.00)</v>
      </c>
      <c r="M87" s="57"/>
      <c r="N87" s="59"/>
      <c r="O87" s="16"/>
    </row>
    <row r="88" spans="3:15" ht="15" hidden="1" customHeight="1" x14ac:dyDescent="0.25">
      <c r="C88" s="56"/>
      <c r="D88" s="57"/>
      <c r="E88" s="57"/>
      <c r="F88" s="57"/>
      <c r="G88" s="57"/>
      <c r="H88" s="57"/>
      <c r="I88" s="57"/>
      <c r="J88" s="57"/>
      <c r="K88" s="59" t="str">
        <f t="shared" si="2"/>
        <v>0.00 (0.00 – 0.00)</v>
      </c>
      <c r="L88" s="16" t="str">
        <f t="shared" si="3"/>
        <v>0.00
(0.00 – 0.00)</v>
      </c>
      <c r="M88" s="57"/>
      <c r="N88" s="59"/>
      <c r="O88" s="16"/>
    </row>
    <row r="89" spans="3:15" ht="15" hidden="1" customHeight="1" x14ac:dyDescent="0.25">
      <c r="C89" s="56"/>
      <c r="D89" s="57"/>
      <c r="E89" s="57"/>
      <c r="F89" s="57"/>
      <c r="G89" s="57"/>
      <c r="H89" s="57"/>
      <c r="I89" s="57"/>
      <c r="J89" s="57"/>
      <c r="K89" s="59" t="str">
        <f t="shared" si="2"/>
        <v>0.00 (0.00 – 0.00)</v>
      </c>
      <c r="L89" s="16" t="str">
        <f t="shared" si="3"/>
        <v>0.00
(0.00 – 0.00)</v>
      </c>
      <c r="M89" s="57"/>
      <c r="N89" s="59"/>
      <c r="O89" s="16"/>
    </row>
    <row r="90" spans="3:15" ht="15" hidden="1" customHeight="1" x14ac:dyDescent="0.25">
      <c r="C90" s="56"/>
      <c r="D90" s="57"/>
      <c r="E90" s="57"/>
      <c r="F90" s="57"/>
      <c r="G90" s="57"/>
      <c r="H90" s="57"/>
      <c r="I90" s="57"/>
      <c r="J90" s="57"/>
      <c r="K90" s="59" t="str">
        <f t="shared" si="2"/>
        <v>0.00 (0.00 – 0.00)</v>
      </c>
      <c r="L90" s="16" t="str">
        <f t="shared" si="3"/>
        <v>0.00
(0.00 – 0.00)</v>
      </c>
      <c r="M90" s="57"/>
      <c r="N90" s="59"/>
      <c r="O90" s="16"/>
    </row>
    <row r="91" spans="3:15" ht="15" hidden="1" customHeight="1" x14ac:dyDescent="0.25">
      <c r="C91" s="56"/>
      <c r="D91" s="57"/>
      <c r="E91" s="57"/>
      <c r="F91" s="57"/>
      <c r="G91" s="57"/>
      <c r="H91" s="57"/>
      <c r="I91" s="57"/>
      <c r="J91" s="57"/>
      <c r="K91" s="59" t="str">
        <f t="shared" si="2"/>
        <v>0.00 (0.00 – 0.00)</v>
      </c>
      <c r="L91" s="16" t="str">
        <f t="shared" si="3"/>
        <v>0.00
(0.00 – 0.00)</v>
      </c>
      <c r="M91" s="57"/>
      <c r="N91" s="59"/>
      <c r="O91" s="16"/>
    </row>
    <row r="92" spans="3:15" ht="15" hidden="1" customHeight="1" x14ac:dyDescent="0.25">
      <c r="C92" s="56"/>
      <c r="D92" s="57"/>
      <c r="E92" s="57"/>
      <c r="F92" s="57"/>
      <c r="G92" s="57"/>
      <c r="H92" s="57"/>
      <c r="I92" s="57"/>
      <c r="J92" s="57"/>
      <c r="K92" s="59" t="str">
        <f t="shared" si="2"/>
        <v>0.00 (0.00 – 0.00)</v>
      </c>
      <c r="L92" s="16" t="str">
        <f t="shared" si="3"/>
        <v>0.00
(0.00 – 0.00)</v>
      </c>
      <c r="M92" s="57"/>
      <c r="N92" s="59"/>
      <c r="O92" s="16"/>
    </row>
    <row r="93" spans="3:15" ht="15" hidden="1" customHeight="1" x14ac:dyDescent="0.25">
      <c r="C93" s="56"/>
      <c r="D93" s="57"/>
      <c r="E93" s="57"/>
      <c r="F93" s="57"/>
      <c r="G93" s="57"/>
      <c r="H93" s="57"/>
      <c r="I93" s="57"/>
      <c r="J93" s="57"/>
      <c r="K93" s="59" t="str">
        <f t="shared" si="2"/>
        <v>0.00 (0.00 – 0.00)</v>
      </c>
      <c r="L93" s="16" t="str">
        <f t="shared" si="3"/>
        <v>0.00
(0.00 – 0.00)</v>
      </c>
      <c r="M93" s="57"/>
      <c r="N93" s="59"/>
      <c r="O93" s="16"/>
    </row>
    <row r="94" spans="3:15" ht="15" hidden="1" customHeight="1" x14ac:dyDescent="0.25">
      <c r="C94" s="56"/>
      <c r="D94" s="57"/>
      <c r="E94" s="57"/>
      <c r="F94" s="57"/>
      <c r="G94" s="57"/>
      <c r="H94" s="57"/>
      <c r="I94" s="57"/>
      <c r="J94" s="57"/>
      <c r="K94" s="59" t="str">
        <f t="shared" si="2"/>
        <v>0.00 (0.00 – 0.00)</v>
      </c>
      <c r="L94" s="16" t="str">
        <f t="shared" si="3"/>
        <v>0.00
(0.00 – 0.00)</v>
      </c>
      <c r="M94" s="57"/>
      <c r="N94" s="59"/>
      <c r="O94" s="16"/>
    </row>
    <row r="95" spans="3:15" ht="15" hidden="1" customHeight="1" x14ac:dyDescent="0.25">
      <c r="C95" s="56"/>
      <c r="D95" s="57"/>
      <c r="E95" s="57"/>
      <c r="F95" s="57"/>
      <c r="G95" s="57"/>
      <c r="H95" s="57"/>
      <c r="I95" s="57"/>
      <c r="J95" s="57"/>
      <c r="K95" s="59" t="str">
        <f t="shared" si="2"/>
        <v>0.00 (0.00 – 0.00)</v>
      </c>
      <c r="L95" s="16" t="str">
        <f t="shared" si="3"/>
        <v>0.00
(0.00 – 0.00)</v>
      </c>
      <c r="M95" s="57"/>
      <c r="N95" s="59"/>
      <c r="O95" s="16"/>
    </row>
    <row r="96" spans="3:15" ht="15" hidden="1" customHeight="1" x14ac:dyDescent="0.25">
      <c r="C96" s="56"/>
      <c r="D96" s="57"/>
      <c r="E96" s="57"/>
      <c r="F96" s="57"/>
      <c r="G96" s="57"/>
      <c r="H96" s="57"/>
      <c r="I96" s="57"/>
      <c r="J96" s="57"/>
      <c r="K96" s="59" t="str">
        <f t="shared" si="2"/>
        <v>0.00 (0.00 – 0.00)</v>
      </c>
      <c r="L96" s="16" t="str">
        <f t="shared" si="3"/>
        <v>0.00
(0.00 – 0.00)</v>
      </c>
      <c r="M96" s="57"/>
      <c r="N96" s="59"/>
      <c r="O96" s="16"/>
    </row>
    <row r="97" spans="3:15" ht="15" hidden="1" customHeight="1" x14ac:dyDescent="0.25">
      <c r="C97" s="56"/>
      <c r="D97" s="57"/>
      <c r="E97" s="57"/>
      <c r="F97" s="57"/>
      <c r="G97" s="57"/>
      <c r="H97" s="57"/>
      <c r="I97" s="57"/>
      <c r="J97" s="57"/>
      <c r="K97" s="59" t="str">
        <f t="shared" si="2"/>
        <v>0.00 (0.00 – 0.00)</v>
      </c>
      <c r="L97" s="16" t="str">
        <f t="shared" si="3"/>
        <v>0.00
(0.00 – 0.00)</v>
      </c>
      <c r="M97" s="57"/>
      <c r="N97" s="59"/>
      <c r="O97" s="16"/>
    </row>
    <row r="98" spans="3:15" ht="15" hidden="1" customHeight="1" x14ac:dyDescent="0.25">
      <c r="C98" s="56"/>
      <c r="D98" s="57"/>
      <c r="E98" s="57"/>
      <c r="F98" s="57"/>
      <c r="G98" s="57"/>
      <c r="H98" s="57"/>
      <c r="I98" s="57"/>
      <c r="J98" s="57"/>
      <c r="K98" s="59" t="str">
        <f t="shared" si="2"/>
        <v>0.00 (0.00 – 0.00)</v>
      </c>
      <c r="L98" s="16" t="str">
        <f t="shared" si="3"/>
        <v>0.00
(0.00 – 0.00)</v>
      </c>
      <c r="M98" s="57"/>
      <c r="N98" s="59"/>
      <c r="O98" s="16"/>
    </row>
    <row r="99" spans="3:15" ht="15" hidden="1" customHeight="1" x14ac:dyDescent="0.25">
      <c r="C99" s="56"/>
      <c r="D99" s="57"/>
      <c r="E99" s="57"/>
      <c r="F99" s="57"/>
      <c r="G99" s="57"/>
      <c r="H99" s="57"/>
      <c r="I99" s="57"/>
      <c r="J99" s="57"/>
      <c r="K99" s="59" t="str">
        <f t="shared" si="2"/>
        <v>0.00 (0.00 – 0.00)</v>
      </c>
      <c r="L99" s="16" t="str">
        <f t="shared" si="3"/>
        <v>0.00
(0.00 – 0.00)</v>
      </c>
      <c r="M99" s="57"/>
      <c r="N99" s="59"/>
      <c r="O99" s="16"/>
    </row>
    <row r="100" spans="3:15" ht="15" hidden="1" customHeight="1" x14ac:dyDescent="0.25">
      <c r="C100" s="56"/>
      <c r="D100" s="57"/>
      <c r="E100" s="57"/>
      <c r="F100" s="57"/>
      <c r="G100" s="57"/>
      <c r="H100" s="57"/>
      <c r="I100" s="57"/>
      <c r="J100" s="57"/>
      <c r="K100" s="59" t="str">
        <f t="shared" si="2"/>
        <v>0.00 (0.00 – 0.00)</v>
      </c>
      <c r="L100" s="16" t="str">
        <f t="shared" si="3"/>
        <v>0.00
(0.00 – 0.00)</v>
      </c>
      <c r="M100" s="57"/>
      <c r="N100" s="59"/>
      <c r="O100" s="16"/>
    </row>
    <row r="101" spans="3:15" ht="15" hidden="1" customHeight="1" x14ac:dyDescent="0.25">
      <c r="C101" s="56"/>
      <c r="D101" s="57"/>
      <c r="E101" s="57"/>
      <c r="F101" s="57"/>
      <c r="G101" s="57"/>
      <c r="H101" s="57"/>
      <c r="I101" s="57"/>
      <c r="J101" s="57"/>
      <c r="K101" s="59" t="str">
        <f t="shared" si="2"/>
        <v>0.00 (0.00 – 0.00)</v>
      </c>
      <c r="L101" s="16" t="str">
        <f t="shared" si="3"/>
        <v>0.00
(0.00 – 0.00)</v>
      </c>
      <c r="M101" s="57"/>
      <c r="N101" s="59"/>
      <c r="O101" s="16"/>
    </row>
    <row r="102" spans="3:15" ht="15" hidden="1" customHeight="1" x14ac:dyDescent="0.25">
      <c r="C102" s="56"/>
      <c r="D102" s="57"/>
      <c r="E102" s="57"/>
      <c r="F102" s="57"/>
      <c r="G102" s="57"/>
      <c r="H102" s="57"/>
      <c r="I102" s="57"/>
      <c r="J102" s="57"/>
      <c r="K102" s="59" t="str">
        <f t="shared" si="2"/>
        <v>0.00 (0.00 – 0.00)</v>
      </c>
      <c r="L102" s="16" t="str">
        <f t="shared" si="3"/>
        <v>0.00
(0.00 – 0.00)</v>
      </c>
      <c r="M102" s="57"/>
      <c r="N102" s="59"/>
      <c r="O102" s="16"/>
    </row>
    <row r="103" spans="3:15" ht="15" hidden="1" customHeight="1" x14ac:dyDescent="0.25">
      <c r="C103" s="56"/>
      <c r="D103" s="57"/>
      <c r="E103" s="57"/>
      <c r="F103" s="57"/>
      <c r="G103" s="57"/>
      <c r="H103" s="57"/>
      <c r="I103" s="57"/>
      <c r="J103" s="57"/>
      <c r="K103" s="59" t="str">
        <f t="shared" si="2"/>
        <v>0.00 (0.00 – 0.00)</v>
      </c>
      <c r="L103" s="16" t="str">
        <f t="shared" si="3"/>
        <v>0.00
(0.00 – 0.00)</v>
      </c>
      <c r="M103" s="57"/>
      <c r="N103" s="59"/>
      <c r="O103" s="16"/>
    </row>
    <row r="104" spans="3:15" ht="15" hidden="1" customHeight="1" x14ac:dyDescent="0.25">
      <c r="C104" s="56"/>
      <c r="D104" s="57"/>
      <c r="E104" s="57"/>
      <c r="F104" s="57"/>
      <c r="G104" s="57"/>
      <c r="H104" s="57"/>
      <c r="I104" s="57"/>
      <c r="J104" s="57"/>
      <c r="K104" s="59" t="str">
        <f t="shared" si="2"/>
        <v>0.00 (0.00 – 0.00)</v>
      </c>
      <c r="L104" s="16" t="str">
        <f t="shared" si="3"/>
        <v>0.00
(0.00 – 0.00)</v>
      </c>
      <c r="M104" s="57"/>
      <c r="N104" s="59"/>
      <c r="O104" s="16"/>
    </row>
    <row r="105" spans="3:15" ht="15" hidden="1" customHeight="1" x14ac:dyDescent="0.25">
      <c r="C105" s="56"/>
      <c r="D105" s="57"/>
      <c r="E105" s="57"/>
      <c r="F105" s="57"/>
      <c r="G105" s="57"/>
      <c r="H105" s="57"/>
      <c r="I105" s="57"/>
      <c r="J105" s="57"/>
      <c r="K105" s="59" t="str">
        <f t="shared" si="2"/>
        <v>0.00 (0.00 – 0.00)</v>
      </c>
      <c r="L105" s="16" t="str">
        <f t="shared" si="3"/>
        <v>0.00
(0.00 – 0.00)</v>
      </c>
      <c r="M105" s="57"/>
      <c r="N105" s="59"/>
      <c r="O105" s="16"/>
    </row>
    <row r="106" spans="3:15" ht="15" hidden="1" customHeight="1" x14ac:dyDescent="0.25">
      <c r="C106" s="56"/>
      <c r="D106" s="57"/>
      <c r="E106" s="57"/>
      <c r="F106" s="57"/>
      <c r="G106" s="57"/>
      <c r="H106" s="57"/>
      <c r="I106" s="57"/>
      <c r="J106" s="57"/>
      <c r="K106" s="59" t="str">
        <f t="shared" si="2"/>
        <v>0.00 (0.00 – 0.00)</v>
      </c>
      <c r="L106" s="16" t="str">
        <f t="shared" si="3"/>
        <v>0.00
(0.00 – 0.00)</v>
      </c>
      <c r="M106" s="57"/>
      <c r="N106" s="59"/>
      <c r="O106" s="16"/>
    </row>
    <row r="107" spans="3:15" ht="15" hidden="1" customHeight="1" x14ac:dyDescent="0.25">
      <c r="C107" s="56"/>
      <c r="D107" s="57"/>
      <c r="E107" s="57"/>
      <c r="F107" s="57"/>
      <c r="G107" s="57"/>
      <c r="H107" s="57"/>
      <c r="I107" s="57"/>
      <c r="J107" s="57"/>
      <c r="K107" s="59" t="str">
        <f t="shared" si="2"/>
        <v>0.00 (0.00 – 0.00)</v>
      </c>
      <c r="L107" s="16" t="str">
        <f t="shared" si="3"/>
        <v>0.00
(0.00 – 0.00)</v>
      </c>
      <c r="M107" s="57"/>
      <c r="N107" s="59"/>
      <c r="O107" s="16"/>
    </row>
    <row r="108" spans="3:15" ht="15" hidden="1" customHeight="1" x14ac:dyDescent="0.25">
      <c r="C108" s="56"/>
      <c r="D108" s="57"/>
      <c r="E108" s="57"/>
      <c r="F108" s="57"/>
      <c r="G108" s="57"/>
      <c r="H108" s="57"/>
      <c r="I108" s="57"/>
      <c r="J108" s="57"/>
      <c r="K108" s="59" t="str">
        <f t="shared" si="2"/>
        <v>0.00 (0.00 – 0.00)</v>
      </c>
      <c r="L108" s="16" t="str">
        <f t="shared" si="3"/>
        <v>0.00
(0.00 – 0.00)</v>
      </c>
      <c r="M108" s="57"/>
      <c r="N108" s="59"/>
      <c r="O108" s="16"/>
    </row>
    <row r="109" spans="3:15" ht="15" hidden="1" customHeight="1" x14ac:dyDescent="0.25">
      <c r="C109" s="56"/>
      <c r="D109" s="57"/>
      <c r="E109" s="57"/>
      <c r="F109" s="57"/>
      <c r="G109" s="57"/>
      <c r="H109" s="57"/>
      <c r="I109" s="57"/>
      <c r="J109" s="57"/>
      <c r="K109" s="59" t="str">
        <f t="shared" si="2"/>
        <v>0.00 (0.00 – 0.00)</v>
      </c>
      <c r="L109" s="16" t="str">
        <f t="shared" si="3"/>
        <v>0.00
(0.00 – 0.00)</v>
      </c>
      <c r="M109" s="57"/>
      <c r="N109" s="59"/>
      <c r="O109" s="16"/>
    </row>
    <row r="110" spans="3:15" ht="15" hidden="1" customHeight="1" x14ac:dyDescent="0.25">
      <c r="C110" s="56"/>
      <c r="D110" s="57"/>
      <c r="E110" s="57"/>
      <c r="F110" s="57"/>
      <c r="G110" s="57"/>
      <c r="H110" s="57"/>
      <c r="I110" s="57"/>
      <c r="J110" s="57"/>
      <c r="K110" s="59" t="str">
        <f t="shared" si="2"/>
        <v>0.00 (0.00 – 0.00)</v>
      </c>
      <c r="L110" s="16" t="str">
        <f t="shared" si="3"/>
        <v>0.00
(0.00 – 0.00)</v>
      </c>
      <c r="M110" s="57"/>
      <c r="N110" s="59"/>
      <c r="O110" s="16"/>
    </row>
    <row r="111" spans="3:15" ht="15" hidden="1" customHeight="1" x14ac:dyDescent="0.25">
      <c r="C111" s="56"/>
      <c r="D111" s="57"/>
      <c r="E111" s="57"/>
      <c r="F111" s="57"/>
      <c r="G111" s="57"/>
      <c r="H111" s="57"/>
      <c r="I111" s="57"/>
      <c r="J111" s="57"/>
      <c r="K111" s="59" t="str">
        <f t="shared" si="2"/>
        <v>0.00 (0.00 – 0.00)</v>
      </c>
      <c r="L111" s="16" t="str">
        <f t="shared" si="3"/>
        <v>0.00
(0.00 – 0.00)</v>
      </c>
      <c r="M111" s="57"/>
      <c r="N111" s="59"/>
      <c r="O111" s="16"/>
    </row>
    <row r="112" spans="3:15" ht="15" hidden="1" customHeight="1" x14ac:dyDescent="0.25">
      <c r="C112" s="56"/>
      <c r="D112" s="57"/>
      <c r="E112" s="57"/>
      <c r="F112" s="57"/>
      <c r="G112" s="57"/>
      <c r="H112" s="57"/>
      <c r="I112" s="57"/>
      <c r="J112" s="57"/>
      <c r="K112" s="59" t="str">
        <f t="shared" si="2"/>
        <v>0.00 (0.00 – 0.00)</v>
      </c>
      <c r="L112" s="16" t="str">
        <f t="shared" si="3"/>
        <v>0.00
(0.00 – 0.00)</v>
      </c>
      <c r="M112" s="57"/>
      <c r="N112" s="59"/>
      <c r="O112" s="16"/>
    </row>
    <row r="113" spans="3:15" ht="15" hidden="1" customHeight="1" x14ac:dyDescent="0.25">
      <c r="C113" s="56"/>
      <c r="D113" s="57"/>
      <c r="E113" s="57"/>
      <c r="F113" s="57"/>
      <c r="G113" s="57"/>
      <c r="H113" s="57"/>
      <c r="I113" s="57"/>
      <c r="J113" s="57"/>
      <c r="K113" s="59" t="str">
        <f t="shared" si="2"/>
        <v>0.00 (0.00 – 0.00)</v>
      </c>
      <c r="L113" s="16" t="str">
        <f t="shared" si="3"/>
        <v>0.00
(0.00 – 0.00)</v>
      </c>
      <c r="M113" s="57"/>
      <c r="N113" s="59"/>
      <c r="O113" s="16"/>
    </row>
    <row r="114" spans="3:15" ht="15" hidden="1" customHeight="1" x14ac:dyDescent="0.25">
      <c r="C114" s="56"/>
      <c r="D114" s="57"/>
      <c r="E114" s="57"/>
      <c r="F114" s="57"/>
      <c r="G114" s="57"/>
      <c r="H114" s="57"/>
      <c r="I114" s="57"/>
      <c r="J114" s="57"/>
      <c r="K114" s="59" t="str">
        <f t="shared" si="2"/>
        <v>0.00 (0.00 – 0.00)</v>
      </c>
      <c r="L114" s="16" t="str">
        <f t="shared" si="3"/>
        <v>0.00
(0.00 – 0.00)</v>
      </c>
      <c r="M114" s="57"/>
      <c r="N114" s="59"/>
      <c r="O114" s="16"/>
    </row>
    <row r="115" spans="3:15" ht="15" hidden="1" customHeight="1" x14ac:dyDescent="0.25">
      <c r="C115" s="56"/>
      <c r="D115" s="57"/>
      <c r="E115" s="57"/>
      <c r="F115" s="57"/>
      <c r="G115" s="57"/>
      <c r="H115" s="57"/>
      <c r="I115" s="57"/>
      <c r="J115" s="57"/>
      <c r="K115" s="59" t="str">
        <f t="shared" si="2"/>
        <v>0.00 (0.00 – 0.00)</v>
      </c>
      <c r="L115" s="16" t="str">
        <f t="shared" si="3"/>
        <v>0.00
(0.00 – 0.00)</v>
      </c>
      <c r="M115" s="57"/>
      <c r="N115" s="59"/>
      <c r="O115" s="16"/>
    </row>
    <row r="116" spans="3:15" ht="15" hidden="1" customHeight="1" x14ac:dyDescent="0.25">
      <c r="C116" s="56"/>
      <c r="D116" s="57"/>
      <c r="E116" s="57"/>
      <c r="F116" s="57"/>
      <c r="G116" s="57"/>
      <c r="H116" s="57"/>
      <c r="I116" s="57"/>
      <c r="J116" s="57"/>
      <c r="K116" s="59" t="str">
        <f t="shared" si="2"/>
        <v>0.00 (0.00 – 0.00)</v>
      </c>
      <c r="L116" s="16" t="str">
        <f t="shared" si="3"/>
        <v>0.00
(0.00 – 0.00)</v>
      </c>
      <c r="M116" s="57"/>
      <c r="N116" s="59"/>
      <c r="O116" s="16"/>
    </row>
    <row r="117" spans="3:15" ht="15" hidden="1" customHeight="1" x14ac:dyDescent="0.25">
      <c r="C117" s="56"/>
      <c r="D117" s="57"/>
      <c r="E117" s="57"/>
      <c r="F117" s="57"/>
      <c r="G117" s="57"/>
      <c r="H117" s="57"/>
      <c r="I117" s="57"/>
      <c r="J117" s="57"/>
      <c r="K117" s="59" t="str">
        <f t="shared" si="2"/>
        <v>0.00 (0.00 – 0.00)</v>
      </c>
      <c r="L117" s="16" t="str">
        <f t="shared" si="3"/>
        <v>0.00
(0.00 – 0.00)</v>
      </c>
      <c r="M117" s="57"/>
      <c r="N117" s="59"/>
      <c r="O117" s="16"/>
    </row>
    <row r="118" spans="3:15" ht="15" hidden="1" customHeight="1" x14ac:dyDescent="0.25">
      <c r="C118" s="56"/>
      <c r="D118" s="57"/>
      <c r="E118" s="57"/>
      <c r="F118" s="57"/>
      <c r="G118" s="57"/>
      <c r="H118" s="57"/>
      <c r="I118" s="57"/>
      <c r="J118" s="57"/>
      <c r="K118" s="59" t="str">
        <f t="shared" si="2"/>
        <v>0.00 (0.00 – 0.00)</v>
      </c>
      <c r="L118" s="16" t="str">
        <f t="shared" si="3"/>
        <v>0.00
(0.00 – 0.00)</v>
      </c>
      <c r="M118" s="57"/>
      <c r="N118" s="59"/>
      <c r="O118" s="16"/>
    </row>
    <row r="119" spans="3:15" ht="15" hidden="1" customHeight="1" x14ac:dyDescent="0.25">
      <c r="C119" s="56"/>
      <c r="D119" s="57"/>
      <c r="E119" s="57"/>
      <c r="F119" s="57"/>
      <c r="G119" s="57"/>
      <c r="H119" s="57"/>
      <c r="I119" s="57"/>
      <c r="J119" s="57"/>
      <c r="K119" s="59" t="str">
        <f t="shared" si="2"/>
        <v>0.00 (0.00 – 0.00)</v>
      </c>
      <c r="L119" s="16" t="str">
        <f t="shared" si="3"/>
        <v>0.00
(0.00 – 0.00)</v>
      </c>
      <c r="M119" s="57"/>
      <c r="N119" s="59"/>
      <c r="O119" s="16"/>
    </row>
    <row r="120" spans="3:15" ht="15" hidden="1" customHeight="1" x14ac:dyDescent="0.25">
      <c r="C120" s="56"/>
      <c r="D120" s="57"/>
      <c r="E120" s="57"/>
      <c r="F120" s="57"/>
      <c r="G120" s="57"/>
      <c r="H120" s="57"/>
      <c r="I120" s="57"/>
      <c r="J120" s="57"/>
      <c r="K120" s="59" t="str">
        <f t="shared" si="2"/>
        <v>0.00 (0.00 – 0.00)</v>
      </c>
      <c r="L120" s="16" t="str">
        <f t="shared" si="3"/>
        <v>0.00
(0.00 – 0.00)</v>
      </c>
      <c r="M120" s="57"/>
      <c r="N120" s="59"/>
      <c r="O120" s="16"/>
    </row>
    <row r="121" spans="3:15" ht="15" hidden="1" customHeight="1" x14ac:dyDescent="0.25">
      <c r="C121" s="56"/>
      <c r="D121" s="57"/>
      <c r="E121" s="57"/>
      <c r="F121" s="57"/>
      <c r="G121" s="57"/>
      <c r="H121" s="57"/>
      <c r="I121" s="57"/>
      <c r="J121" s="57"/>
      <c r="K121" s="59" t="str">
        <f t="shared" si="2"/>
        <v>0.00 (0.00 – 0.00)</v>
      </c>
      <c r="L121" s="16" t="str">
        <f t="shared" si="3"/>
        <v>0.00
(0.00 – 0.00)</v>
      </c>
      <c r="M121" s="57"/>
      <c r="N121" s="59"/>
      <c r="O121" s="16"/>
    </row>
    <row r="122" spans="3:15" ht="15" hidden="1" customHeight="1" x14ac:dyDescent="0.25">
      <c r="C122" s="56"/>
      <c r="D122" s="57"/>
      <c r="E122" s="57"/>
      <c r="F122" s="57"/>
      <c r="G122" s="57"/>
      <c r="H122" s="57"/>
      <c r="I122" s="57"/>
      <c r="J122" s="57"/>
      <c r="K122" s="59" t="str">
        <f t="shared" si="2"/>
        <v>0.00 (0.00 – 0.00)</v>
      </c>
      <c r="L122" s="16" t="str">
        <f t="shared" si="3"/>
        <v>0.00
(0.00 – 0.00)</v>
      </c>
      <c r="M122" s="57"/>
      <c r="N122" s="59"/>
      <c r="O122" s="16"/>
    </row>
    <row r="123" spans="3:15" ht="15" hidden="1" customHeight="1" x14ac:dyDescent="0.25">
      <c r="C123" s="56"/>
      <c r="D123" s="57"/>
      <c r="E123" s="57"/>
      <c r="F123" s="57"/>
      <c r="G123" s="57"/>
      <c r="H123" s="57"/>
      <c r="I123" s="57"/>
      <c r="J123" s="57"/>
      <c r="K123" s="59" t="str">
        <f t="shared" si="2"/>
        <v>0.00 (0.00 – 0.00)</v>
      </c>
      <c r="L123" s="16" t="str">
        <f t="shared" si="3"/>
        <v>0.00
(0.00 – 0.00)</v>
      </c>
      <c r="M123" s="57"/>
      <c r="N123" s="59"/>
      <c r="O123" s="16"/>
    </row>
    <row r="124" spans="3:15" ht="15" hidden="1" customHeight="1" x14ac:dyDescent="0.25">
      <c r="C124" s="56"/>
      <c r="D124" s="57"/>
      <c r="E124" s="57"/>
      <c r="F124" s="57"/>
      <c r="G124" s="57"/>
      <c r="H124" s="57"/>
      <c r="I124" s="57"/>
      <c r="J124" s="57"/>
      <c r="K124" s="59" t="str">
        <f t="shared" si="2"/>
        <v>0.00 (0.00 – 0.00)</v>
      </c>
      <c r="L124" s="16" t="str">
        <f t="shared" si="3"/>
        <v>0.00
(0.00 – 0.00)</v>
      </c>
      <c r="M124" s="57"/>
      <c r="N124" s="59"/>
      <c r="O124" s="16"/>
    </row>
    <row r="125" spans="3:15" ht="15" hidden="1" customHeight="1" x14ac:dyDescent="0.25">
      <c r="C125" s="56"/>
      <c r="D125" s="57"/>
      <c r="E125" s="57"/>
      <c r="F125" s="57"/>
      <c r="G125" s="57"/>
      <c r="H125" s="57"/>
      <c r="I125" s="57"/>
      <c r="J125" s="57"/>
      <c r="K125" s="59" t="str">
        <f t="shared" si="2"/>
        <v>0.00 (0.00 – 0.00)</v>
      </c>
      <c r="L125" s="16" t="str">
        <f t="shared" si="3"/>
        <v>0.00
(0.00 – 0.00)</v>
      </c>
      <c r="M125" s="57"/>
      <c r="N125" s="59"/>
      <c r="O125" s="16"/>
    </row>
    <row r="126" spans="3:15" ht="15" hidden="1" customHeight="1" x14ac:dyDescent="0.25">
      <c r="C126" s="56"/>
      <c r="D126" s="57"/>
      <c r="E126" s="57"/>
      <c r="F126" s="57"/>
      <c r="G126" s="57"/>
      <c r="H126" s="57"/>
      <c r="I126" s="57"/>
      <c r="J126" s="57"/>
      <c r="K126" s="59" t="str">
        <f t="shared" si="2"/>
        <v>0.00 (0.00 – 0.00)</v>
      </c>
      <c r="L126" s="16" t="str">
        <f t="shared" si="3"/>
        <v>0.00
(0.00 – 0.00)</v>
      </c>
      <c r="M126" s="57"/>
      <c r="N126" s="59"/>
      <c r="O126" s="16"/>
    </row>
    <row r="127" spans="3:15" ht="15" hidden="1" customHeight="1" x14ac:dyDescent="0.25">
      <c r="C127" s="56"/>
      <c r="D127" s="57"/>
      <c r="E127" s="57"/>
      <c r="F127" s="57"/>
      <c r="G127" s="57"/>
      <c r="H127" s="57"/>
      <c r="I127" s="57"/>
      <c r="J127" s="57"/>
      <c r="K127" s="59" t="str">
        <f t="shared" si="2"/>
        <v>0.00 (0.00 – 0.00)</v>
      </c>
      <c r="L127" s="16" t="str">
        <f t="shared" si="3"/>
        <v>0.00
(0.00 – 0.00)</v>
      </c>
      <c r="M127" s="57"/>
      <c r="N127" s="59"/>
      <c r="O127" s="16"/>
    </row>
    <row r="128" spans="3:15" ht="15" hidden="1" customHeight="1" x14ac:dyDescent="0.25">
      <c r="C128" s="56"/>
      <c r="D128" s="57"/>
      <c r="E128" s="57"/>
      <c r="F128" s="57"/>
      <c r="G128" s="57"/>
      <c r="H128" s="57"/>
      <c r="I128" s="57"/>
      <c r="J128" s="57"/>
      <c r="K128" s="59" t="str">
        <f t="shared" si="2"/>
        <v>0.00 (0.00 – 0.00)</v>
      </c>
      <c r="L128" s="16" t="str">
        <f t="shared" si="3"/>
        <v>0.00
(0.00 – 0.00)</v>
      </c>
      <c r="M128" s="57"/>
      <c r="N128" s="59"/>
      <c r="O128" s="16"/>
    </row>
    <row r="129" spans="3:15" ht="15" hidden="1" customHeight="1" x14ac:dyDescent="0.25">
      <c r="C129" s="56"/>
      <c r="D129" s="57"/>
      <c r="E129" s="57"/>
      <c r="F129" s="57"/>
      <c r="G129" s="57"/>
      <c r="H129" s="57"/>
      <c r="I129" s="57"/>
      <c r="J129" s="57"/>
      <c r="K129" s="59" t="str">
        <f t="shared" si="2"/>
        <v>0.00 (0.00 – 0.00)</v>
      </c>
      <c r="L129" s="16" t="str">
        <f t="shared" si="3"/>
        <v>0.00
(0.00 – 0.00)</v>
      </c>
      <c r="M129" s="57"/>
      <c r="N129" s="59"/>
      <c r="O129" s="16"/>
    </row>
    <row r="130" spans="3:15" ht="15" hidden="1" customHeight="1" x14ac:dyDescent="0.25">
      <c r="C130" s="56"/>
      <c r="D130" s="57"/>
      <c r="E130" s="57"/>
      <c r="F130" s="57"/>
      <c r="G130" s="57"/>
      <c r="H130" s="57"/>
      <c r="I130" s="57"/>
      <c r="J130" s="57"/>
      <c r="K130" s="59" t="str">
        <f t="shared" si="2"/>
        <v>0.00 (0.00 – 0.00)</v>
      </c>
      <c r="L130" s="16" t="str">
        <f t="shared" si="3"/>
        <v>0.00
(0.00 – 0.00)</v>
      </c>
      <c r="M130" s="57"/>
      <c r="N130" s="59"/>
      <c r="O130" s="16"/>
    </row>
    <row r="131" spans="3:15" ht="15" hidden="1" customHeight="1" x14ac:dyDescent="0.25">
      <c r="C131" s="56"/>
      <c r="D131" s="57"/>
      <c r="E131" s="57"/>
      <c r="F131" s="57"/>
      <c r="G131" s="57"/>
      <c r="H131" s="57"/>
      <c r="I131" s="57"/>
      <c r="J131" s="57"/>
      <c r="K131" s="59" t="str">
        <f t="shared" si="2"/>
        <v>0.00 (0.00 – 0.00)</v>
      </c>
      <c r="L131" s="16" t="str">
        <f t="shared" si="3"/>
        <v>0.00
(0.00 – 0.00)</v>
      </c>
      <c r="M131" s="57"/>
      <c r="N131" s="59"/>
      <c r="O131" s="16"/>
    </row>
    <row r="132" spans="3:15" ht="15" hidden="1" customHeight="1" x14ac:dyDescent="0.25">
      <c r="C132" s="56"/>
      <c r="D132" s="57"/>
      <c r="E132" s="57"/>
      <c r="F132" s="57"/>
      <c r="G132" s="57"/>
      <c r="H132" s="57"/>
      <c r="I132" s="57"/>
      <c r="J132" s="57"/>
      <c r="K132" s="59" t="str">
        <f t="shared" si="2"/>
        <v>0.00 (0.00 – 0.00)</v>
      </c>
      <c r="L132" s="16" t="str">
        <f t="shared" si="3"/>
        <v>0.00
(0.00 – 0.00)</v>
      </c>
      <c r="M132" s="57"/>
      <c r="N132" s="59"/>
      <c r="O132" s="16"/>
    </row>
    <row r="133" spans="3:15" ht="15" hidden="1" customHeight="1" x14ac:dyDescent="0.25">
      <c r="C133" s="56"/>
      <c r="D133" s="57"/>
      <c r="E133" s="57"/>
      <c r="F133" s="57"/>
      <c r="G133" s="57"/>
      <c r="H133" s="57"/>
      <c r="I133" s="57"/>
      <c r="J133" s="57"/>
      <c r="K133" s="59" t="str">
        <f t="shared" si="2"/>
        <v>0.00 (0.00 – 0.00)</v>
      </c>
      <c r="L133" s="16" t="str">
        <f t="shared" si="3"/>
        <v>0.00
(0.00 – 0.00)</v>
      </c>
      <c r="M133" s="57"/>
      <c r="N133" s="59"/>
      <c r="O133" s="16"/>
    </row>
    <row r="134" spans="3:15" ht="15" hidden="1" customHeight="1" x14ac:dyDescent="0.25">
      <c r="C134" s="56"/>
      <c r="D134" s="57"/>
      <c r="E134" s="57"/>
      <c r="F134" s="57"/>
      <c r="G134" s="57"/>
      <c r="H134" s="57"/>
      <c r="I134" s="57"/>
      <c r="J134" s="57"/>
      <c r="K134" s="59" t="str">
        <f t="shared" ref="K134:K197" si="4">CONCATENATE(TEXT(I134,"0.00")," (",TEXT(H134,"0.00")," – ",TEXT(J134,"0.00"),")")</f>
        <v>0.00 (0.00 – 0.00)</v>
      </c>
      <c r="L134" s="16" t="str">
        <f t="shared" ref="L134:L197" si="5">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4"/>
        <v>0.00 (0.00 – 0.00)</v>
      </c>
      <c r="L135" s="16" t="str">
        <f t="shared" si="5"/>
        <v>0.00
(0.00 – 0.00)</v>
      </c>
      <c r="M135" s="57"/>
      <c r="N135" s="59"/>
      <c r="O135" s="16"/>
    </row>
    <row r="136" spans="3:15" ht="15" hidden="1" customHeight="1" x14ac:dyDescent="0.25">
      <c r="C136" s="56"/>
      <c r="D136" s="57"/>
      <c r="E136" s="57"/>
      <c r="F136" s="57"/>
      <c r="G136" s="57"/>
      <c r="H136" s="57"/>
      <c r="I136" s="57"/>
      <c r="J136" s="57"/>
      <c r="K136" s="59" t="str">
        <f t="shared" si="4"/>
        <v>0.00 (0.00 – 0.00)</v>
      </c>
      <c r="L136" s="16" t="str">
        <f t="shared" si="5"/>
        <v>0.00
(0.00 – 0.00)</v>
      </c>
      <c r="M136" s="57"/>
      <c r="N136" s="59"/>
      <c r="O136" s="16"/>
    </row>
    <row r="137" spans="3:15" ht="15" hidden="1" customHeight="1" x14ac:dyDescent="0.25">
      <c r="C137" s="56"/>
      <c r="D137" s="57"/>
      <c r="E137" s="57"/>
      <c r="F137" s="57"/>
      <c r="G137" s="57"/>
      <c r="H137" s="57"/>
      <c r="I137" s="57"/>
      <c r="J137" s="57"/>
      <c r="K137" s="59" t="str">
        <f t="shared" si="4"/>
        <v>0.00 (0.00 – 0.00)</v>
      </c>
      <c r="L137" s="16" t="str">
        <f t="shared" si="5"/>
        <v>0.00
(0.00 – 0.00)</v>
      </c>
      <c r="M137" s="57"/>
      <c r="N137" s="59"/>
      <c r="O137" s="16"/>
    </row>
    <row r="138" spans="3:15" ht="15" hidden="1" customHeight="1" x14ac:dyDescent="0.25">
      <c r="C138" s="56"/>
      <c r="D138" s="57"/>
      <c r="E138" s="57"/>
      <c r="F138" s="57"/>
      <c r="G138" s="57"/>
      <c r="H138" s="57"/>
      <c r="I138" s="57"/>
      <c r="J138" s="57"/>
      <c r="K138" s="59" t="str">
        <f t="shared" si="4"/>
        <v>0.00 (0.00 – 0.00)</v>
      </c>
      <c r="L138" s="16" t="str">
        <f t="shared" si="5"/>
        <v>0.00
(0.00 – 0.00)</v>
      </c>
      <c r="M138" s="57"/>
      <c r="N138" s="59"/>
      <c r="O138" s="16"/>
    </row>
    <row r="139" spans="3:15" ht="15" hidden="1" customHeight="1" x14ac:dyDescent="0.25">
      <c r="C139" s="56"/>
      <c r="D139" s="57"/>
      <c r="E139" s="57"/>
      <c r="F139" s="57"/>
      <c r="G139" s="57"/>
      <c r="H139" s="57"/>
      <c r="I139" s="57"/>
      <c r="J139" s="57"/>
      <c r="K139" s="59" t="str">
        <f t="shared" si="4"/>
        <v>0.00 (0.00 – 0.00)</v>
      </c>
      <c r="L139" s="16" t="str">
        <f t="shared" si="5"/>
        <v>0.00
(0.00 – 0.00)</v>
      </c>
      <c r="M139" s="57"/>
      <c r="N139" s="59"/>
      <c r="O139" s="16"/>
    </row>
    <row r="140" spans="3:15" ht="15" hidden="1" customHeight="1" x14ac:dyDescent="0.25">
      <c r="C140" s="56"/>
      <c r="D140" s="57"/>
      <c r="E140" s="57"/>
      <c r="F140" s="57"/>
      <c r="G140" s="57"/>
      <c r="H140" s="57"/>
      <c r="I140" s="57"/>
      <c r="J140" s="57"/>
      <c r="K140" s="59" t="str">
        <f t="shared" si="4"/>
        <v>0.00 (0.00 – 0.00)</v>
      </c>
      <c r="L140" s="16" t="str">
        <f t="shared" si="5"/>
        <v>0.00
(0.00 – 0.00)</v>
      </c>
      <c r="M140" s="57"/>
      <c r="N140" s="59"/>
      <c r="O140" s="16"/>
    </row>
    <row r="141" spans="3:15" ht="15" hidden="1" customHeight="1" x14ac:dyDescent="0.25">
      <c r="C141" s="56"/>
      <c r="D141" s="57"/>
      <c r="E141" s="57"/>
      <c r="F141" s="57"/>
      <c r="G141" s="57"/>
      <c r="H141" s="57"/>
      <c r="I141" s="57"/>
      <c r="J141" s="57"/>
      <c r="K141" s="59" t="str">
        <f t="shared" si="4"/>
        <v>0.00 (0.00 – 0.00)</v>
      </c>
      <c r="L141" s="16" t="str">
        <f t="shared" si="5"/>
        <v>0.00
(0.00 – 0.00)</v>
      </c>
      <c r="M141" s="57"/>
      <c r="N141" s="59"/>
      <c r="O141" s="16"/>
    </row>
    <row r="142" spans="3:15" ht="15" hidden="1" customHeight="1" x14ac:dyDescent="0.25">
      <c r="C142" s="56"/>
      <c r="D142" s="57"/>
      <c r="E142" s="57"/>
      <c r="F142" s="57"/>
      <c r="G142" s="57"/>
      <c r="H142" s="57"/>
      <c r="I142" s="57"/>
      <c r="J142" s="57"/>
      <c r="K142" s="59" t="str">
        <f t="shared" si="4"/>
        <v>0.00 (0.00 – 0.00)</v>
      </c>
      <c r="L142" s="16" t="str">
        <f t="shared" si="5"/>
        <v>0.00
(0.00 – 0.00)</v>
      </c>
      <c r="M142" s="57"/>
      <c r="N142" s="59"/>
      <c r="O142" s="16"/>
    </row>
    <row r="143" spans="3:15" ht="15" hidden="1" customHeight="1" x14ac:dyDescent="0.25">
      <c r="C143" s="56"/>
      <c r="D143" s="57"/>
      <c r="E143" s="57"/>
      <c r="F143" s="57"/>
      <c r="G143" s="57"/>
      <c r="H143" s="57"/>
      <c r="I143" s="57"/>
      <c r="J143" s="57"/>
      <c r="K143" s="59" t="str">
        <f t="shared" si="4"/>
        <v>0.00 (0.00 – 0.00)</v>
      </c>
      <c r="L143" s="16" t="str">
        <f t="shared" si="5"/>
        <v>0.00
(0.00 – 0.00)</v>
      </c>
      <c r="M143" s="57"/>
      <c r="N143" s="59"/>
      <c r="O143" s="16"/>
    </row>
    <row r="144" spans="3:15" ht="15" hidden="1" customHeight="1" x14ac:dyDescent="0.25">
      <c r="C144" s="56"/>
      <c r="D144" s="57"/>
      <c r="E144" s="57"/>
      <c r="F144" s="57"/>
      <c r="G144" s="57"/>
      <c r="H144" s="57"/>
      <c r="I144" s="57"/>
      <c r="J144" s="57"/>
      <c r="K144" s="59" t="str">
        <f t="shared" si="4"/>
        <v>0.00 (0.00 – 0.00)</v>
      </c>
      <c r="L144" s="16" t="str">
        <f t="shared" si="5"/>
        <v>0.00
(0.00 – 0.00)</v>
      </c>
      <c r="M144" s="57"/>
      <c r="N144" s="59"/>
      <c r="O144" s="16"/>
    </row>
    <row r="145" spans="3:15" ht="15" hidden="1" customHeight="1" x14ac:dyDescent="0.25">
      <c r="C145" s="56"/>
      <c r="D145" s="57"/>
      <c r="E145" s="57"/>
      <c r="F145" s="57"/>
      <c r="G145" s="57"/>
      <c r="H145" s="57"/>
      <c r="I145" s="57"/>
      <c r="J145" s="57"/>
      <c r="K145" s="59" t="str">
        <f t="shared" si="4"/>
        <v>0.00 (0.00 – 0.00)</v>
      </c>
      <c r="L145" s="16" t="str">
        <f t="shared" si="5"/>
        <v>0.00
(0.00 – 0.00)</v>
      </c>
      <c r="M145" s="57"/>
      <c r="N145" s="59"/>
      <c r="O145" s="16"/>
    </row>
    <row r="146" spans="3:15" ht="15" hidden="1" customHeight="1" x14ac:dyDescent="0.25">
      <c r="C146" s="56"/>
      <c r="D146" s="57"/>
      <c r="E146" s="57"/>
      <c r="F146" s="57"/>
      <c r="G146" s="57"/>
      <c r="H146" s="57"/>
      <c r="I146" s="57"/>
      <c r="J146" s="57"/>
      <c r="K146" s="59" t="str">
        <f t="shared" si="4"/>
        <v>0.00 (0.00 – 0.00)</v>
      </c>
      <c r="L146" s="16" t="str">
        <f t="shared" si="5"/>
        <v>0.00
(0.00 – 0.00)</v>
      </c>
      <c r="M146" s="57"/>
      <c r="N146" s="59"/>
      <c r="O146" s="16"/>
    </row>
    <row r="147" spans="3:15" ht="15" hidden="1" customHeight="1" x14ac:dyDescent="0.25">
      <c r="C147" s="56"/>
      <c r="D147" s="57"/>
      <c r="E147" s="57"/>
      <c r="F147" s="57"/>
      <c r="G147" s="57"/>
      <c r="H147" s="57"/>
      <c r="I147" s="57"/>
      <c r="J147" s="57"/>
      <c r="K147" s="59" t="str">
        <f t="shared" si="4"/>
        <v>0.00 (0.00 – 0.00)</v>
      </c>
      <c r="L147" s="16" t="str">
        <f t="shared" si="5"/>
        <v>0.00
(0.00 – 0.00)</v>
      </c>
      <c r="M147" s="57"/>
      <c r="N147" s="59"/>
      <c r="O147" s="16"/>
    </row>
    <row r="148" spans="3:15" ht="15" hidden="1" customHeight="1" x14ac:dyDescent="0.25">
      <c r="C148" s="56"/>
      <c r="D148" s="57"/>
      <c r="E148" s="57"/>
      <c r="F148" s="57"/>
      <c r="G148" s="57"/>
      <c r="H148" s="57"/>
      <c r="I148" s="57"/>
      <c r="J148" s="57"/>
      <c r="K148" s="59" t="str">
        <f t="shared" si="4"/>
        <v>0.00 (0.00 – 0.00)</v>
      </c>
      <c r="L148" s="16" t="str">
        <f t="shared" si="5"/>
        <v>0.00
(0.00 – 0.00)</v>
      </c>
      <c r="M148" s="57"/>
      <c r="N148" s="59"/>
      <c r="O148" s="16"/>
    </row>
    <row r="149" spans="3:15" ht="15" hidden="1" customHeight="1" x14ac:dyDescent="0.25">
      <c r="C149" s="56"/>
      <c r="D149" s="57"/>
      <c r="E149" s="57"/>
      <c r="F149" s="57"/>
      <c r="G149" s="57"/>
      <c r="H149" s="57"/>
      <c r="I149" s="57"/>
      <c r="J149" s="57"/>
      <c r="K149" s="59" t="str">
        <f t="shared" si="4"/>
        <v>0.00 (0.00 – 0.00)</v>
      </c>
      <c r="L149" s="16" t="str">
        <f t="shared" si="5"/>
        <v>0.00
(0.00 – 0.00)</v>
      </c>
      <c r="M149" s="57"/>
      <c r="N149" s="59"/>
      <c r="O149" s="16"/>
    </row>
    <row r="150" spans="3:15" ht="15" hidden="1" customHeight="1" x14ac:dyDescent="0.25">
      <c r="C150" s="56"/>
      <c r="D150" s="57"/>
      <c r="E150" s="57"/>
      <c r="F150" s="57"/>
      <c r="G150" s="57"/>
      <c r="H150" s="57"/>
      <c r="I150" s="57"/>
      <c r="J150" s="57"/>
      <c r="K150" s="59" t="str">
        <f t="shared" si="4"/>
        <v>0.00 (0.00 – 0.00)</v>
      </c>
      <c r="L150" s="16" t="str">
        <f t="shared" si="5"/>
        <v>0.00
(0.00 – 0.00)</v>
      </c>
      <c r="M150" s="57"/>
      <c r="N150" s="59"/>
      <c r="O150" s="16"/>
    </row>
    <row r="151" spans="3:15" ht="15" hidden="1" customHeight="1" x14ac:dyDescent="0.25">
      <c r="C151" s="56"/>
      <c r="D151" s="57"/>
      <c r="E151" s="57"/>
      <c r="F151" s="57"/>
      <c r="G151" s="57"/>
      <c r="H151" s="57"/>
      <c r="I151" s="57"/>
      <c r="J151" s="57"/>
      <c r="K151" s="59" t="str">
        <f t="shared" si="4"/>
        <v>0.00 (0.00 – 0.00)</v>
      </c>
      <c r="L151" s="16" t="str">
        <f t="shared" si="5"/>
        <v>0.00
(0.00 – 0.00)</v>
      </c>
      <c r="M151" s="57"/>
      <c r="N151" s="59"/>
      <c r="O151" s="16"/>
    </row>
    <row r="152" spans="3:15" ht="15" hidden="1" customHeight="1" x14ac:dyDescent="0.25">
      <c r="C152" s="56"/>
      <c r="D152" s="57"/>
      <c r="E152" s="57"/>
      <c r="F152" s="57"/>
      <c r="G152" s="57"/>
      <c r="H152" s="57"/>
      <c r="I152" s="57"/>
      <c r="J152" s="57"/>
      <c r="K152" s="59" t="str">
        <f t="shared" si="4"/>
        <v>0.00 (0.00 – 0.00)</v>
      </c>
      <c r="L152" s="16" t="str">
        <f t="shared" si="5"/>
        <v>0.00
(0.00 – 0.00)</v>
      </c>
      <c r="M152" s="57"/>
      <c r="N152" s="59"/>
      <c r="O152" s="16"/>
    </row>
    <row r="153" spans="3:15" ht="15" hidden="1" customHeight="1" x14ac:dyDescent="0.25">
      <c r="C153" s="56"/>
      <c r="D153" s="57"/>
      <c r="E153" s="57"/>
      <c r="F153" s="57"/>
      <c r="G153" s="57"/>
      <c r="H153" s="57"/>
      <c r="I153" s="57"/>
      <c r="J153" s="57"/>
      <c r="K153" s="59" t="str">
        <f t="shared" si="4"/>
        <v>0.00 (0.00 – 0.00)</v>
      </c>
      <c r="L153" s="16" t="str">
        <f t="shared" si="5"/>
        <v>0.00
(0.00 – 0.00)</v>
      </c>
      <c r="M153" s="57"/>
      <c r="N153" s="59"/>
      <c r="O153" s="16"/>
    </row>
    <row r="154" spans="3:15" ht="15" hidden="1" customHeight="1" x14ac:dyDescent="0.25">
      <c r="C154" s="56"/>
      <c r="D154" s="57"/>
      <c r="E154" s="57"/>
      <c r="F154" s="57"/>
      <c r="G154" s="57"/>
      <c r="H154" s="57"/>
      <c r="I154" s="57"/>
      <c r="J154" s="57"/>
      <c r="K154" s="59" t="str">
        <f t="shared" si="4"/>
        <v>0.00 (0.00 – 0.00)</v>
      </c>
      <c r="L154" s="16" t="str">
        <f t="shared" si="5"/>
        <v>0.00
(0.00 – 0.00)</v>
      </c>
      <c r="M154" s="57"/>
      <c r="N154" s="59"/>
      <c r="O154" s="16"/>
    </row>
    <row r="155" spans="3:15" ht="15" hidden="1" customHeight="1" x14ac:dyDescent="0.25">
      <c r="C155" s="56"/>
      <c r="D155" s="57"/>
      <c r="E155" s="57"/>
      <c r="F155" s="57"/>
      <c r="G155" s="57"/>
      <c r="H155" s="57"/>
      <c r="I155" s="57"/>
      <c r="J155" s="57"/>
      <c r="K155" s="59" t="str">
        <f t="shared" si="4"/>
        <v>0.00 (0.00 – 0.00)</v>
      </c>
      <c r="L155" s="16" t="str">
        <f t="shared" si="5"/>
        <v>0.00
(0.00 – 0.00)</v>
      </c>
      <c r="M155" s="57"/>
      <c r="N155" s="59"/>
      <c r="O155" s="16"/>
    </row>
    <row r="156" spans="3:15" ht="15" hidden="1" customHeight="1" x14ac:dyDescent="0.25">
      <c r="C156" s="56"/>
      <c r="D156" s="57"/>
      <c r="E156" s="57"/>
      <c r="F156" s="57"/>
      <c r="G156" s="57"/>
      <c r="H156" s="57"/>
      <c r="I156" s="57"/>
      <c r="J156" s="57"/>
      <c r="K156" s="59" t="str">
        <f t="shared" si="4"/>
        <v>0.00 (0.00 – 0.00)</v>
      </c>
      <c r="L156" s="16" t="str">
        <f t="shared" si="5"/>
        <v>0.00
(0.00 – 0.00)</v>
      </c>
      <c r="M156" s="57"/>
      <c r="N156" s="59"/>
      <c r="O156" s="16"/>
    </row>
    <row r="157" spans="3:15" ht="15" hidden="1" customHeight="1" x14ac:dyDescent="0.25">
      <c r="C157" s="56"/>
      <c r="D157" s="57"/>
      <c r="E157" s="57"/>
      <c r="F157" s="57"/>
      <c r="G157" s="57"/>
      <c r="H157" s="57"/>
      <c r="I157" s="57"/>
      <c r="J157" s="57"/>
      <c r="K157" s="59" t="str">
        <f t="shared" si="4"/>
        <v>0.00 (0.00 – 0.00)</v>
      </c>
      <c r="L157" s="16" t="str">
        <f t="shared" si="5"/>
        <v>0.00
(0.00 – 0.00)</v>
      </c>
      <c r="M157" s="57"/>
      <c r="N157" s="59"/>
      <c r="O157" s="16"/>
    </row>
    <row r="158" spans="3:15" ht="15" hidden="1" customHeight="1" x14ac:dyDescent="0.25">
      <c r="C158" s="56"/>
      <c r="D158" s="57"/>
      <c r="E158" s="57"/>
      <c r="F158" s="57"/>
      <c r="G158" s="57"/>
      <c r="H158" s="57"/>
      <c r="I158" s="57"/>
      <c r="J158" s="57"/>
      <c r="K158" s="59" t="str">
        <f t="shared" si="4"/>
        <v>0.00 (0.00 – 0.00)</v>
      </c>
      <c r="L158" s="16" t="str">
        <f t="shared" si="5"/>
        <v>0.00
(0.00 – 0.00)</v>
      </c>
      <c r="M158" s="57"/>
      <c r="N158" s="59"/>
      <c r="O158" s="16"/>
    </row>
    <row r="159" spans="3:15" ht="15" hidden="1" customHeight="1" x14ac:dyDescent="0.25">
      <c r="C159" s="56"/>
      <c r="D159" s="57"/>
      <c r="E159" s="57"/>
      <c r="F159" s="57"/>
      <c r="G159" s="57"/>
      <c r="H159" s="57"/>
      <c r="I159" s="57"/>
      <c r="J159" s="57"/>
      <c r="K159" s="59" t="str">
        <f t="shared" si="4"/>
        <v>0.00 (0.00 – 0.00)</v>
      </c>
      <c r="L159" s="16" t="str">
        <f t="shared" si="5"/>
        <v>0.00
(0.00 – 0.00)</v>
      </c>
      <c r="M159" s="57"/>
      <c r="N159" s="59"/>
      <c r="O159" s="16"/>
    </row>
    <row r="160" spans="3:15" ht="15" hidden="1" customHeight="1" x14ac:dyDescent="0.25">
      <c r="C160" s="56"/>
      <c r="D160" s="57"/>
      <c r="E160" s="57"/>
      <c r="F160" s="57"/>
      <c r="G160" s="57"/>
      <c r="H160" s="57"/>
      <c r="I160" s="57"/>
      <c r="J160" s="57"/>
      <c r="K160" s="59" t="str">
        <f t="shared" si="4"/>
        <v>0.00 (0.00 – 0.00)</v>
      </c>
      <c r="L160" s="16" t="str">
        <f t="shared" si="5"/>
        <v>0.00
(0.00 – 0.00)</v>
      </c>
      <c r="M160" s="57"/>
      <c r="N160" s="59"/>
      <c r="O160" s="16"/>
    </row>
    <row r="161" spans="3:15" ht="15" hidden="1" customHeight="1" x14ac:dyDescent="0.25">
      <c r="C161" s="56"/>
      <c r="D161" s="57"/>
      <c r="E161" s="57"/>
      <c r="F161" s="57"/>
      <c r="G161" s="57"/>
      <c r="H161" s="57"/>
      <c r="I161" s="57"/>
      <c r="J161" s="57"/>
      <c r="K161" s="59" t="str">
        <f t="shared" si="4"/>
        <v>0.00 (0.00 – 0.00)</v>
      </c>
      <c r="L161" s="16" t="str">
        <f t="shared" si="5"/>
        <v>0.00
(0.00 – 0.00)</v>
      </c>
      <c r="M161" s="57"/>
      <c r="N161" s="59"/>
      <c r="O161" s="16"/>
    </row>
    <row r="162" spans="3:15" ht="15" hidden="1" customHeight="1" x14ac:dyDescent="0.25">
      <c r="C162" s="56"/>
      <c r="D162" s="57"/>
      <c r="E162" s="57"/>
      <c r="F162" s="57"/>
      <c r="G162" s="57"/>
      <c r="H162" s="57"/>
      <c r="I162" s="57"/>
      <c r="J162" s="57"/>
      <c r="K162" s="59" t="str">
        <f t="shared" si="4"/>
        <v>0.00 (0.00 – 0.00)</v>
      </c>
      <c r="L162" s="16" t="str">
        <f t="shared" si="5"/>
        <v>0.00
(0.00 – 0.00)</v>
      </c>
      <c r="M162" s="57"/>
      <c r="N162" s="59"/>
      <c r="O162" s="16"/>
    </row>
    <row r="163" spans="3:15" ht="15" hidden="1" customHeight="1" x14ac:dyDescent="0.25">
      <c r="C163" s="56"/>
      <c r="D163" s="57"/>
      <c r="E163" s="57"/>
      <c r="F163" s="57"/>
      <c r="G163" s="57"/>
      <c r="H163" s="57"/>
      <c r="I163" s="57"/>
      <c r="J163" s="57"/>
      <c r="K163" s="59" t="str">
        <f t="shared" si="4"/>
        <v>0.00 (0.00 – 0.00)</v>
      </c>
      <c r="L163" s="16" t="str">
        <f t="shared" si="5"/>
        <v>0.00
(0.00 – 0.00)</v>
      </c>
      <c r="M163" s="57"/>
      <c r="N163" s="59"/>
      <c r="O163" s="16"/>
    </row>
    <row r="164" spans="3:15" ht="15" hidden="1" customHeight="1" x14ac:dyDescent="0.25">
      <c r="C164" s="56"/>
      <c r="D164" s="57"/>
      <c r="E164" s="57"/>
      <c r="F164" s="57"/>
      <c r="G164" s="57"/>
      <c r="H164" s="57"/>
      <c r="I164" s="57"/>
      <c r="J164" s="57"/>
      <c r="K164" s="59" t="str">
        <f t="shared" si="4"/>
        <v>0.00 (0.00 – 0.00)</v>
      </c>
      <c r="L164" s="16" t="str">
        <f t="shared" si="5"/>
        <v>0.00
(0.00 – 0.00)</v>
      </c>
      <c r="M164" s="57"/>
      <c r="N164" s="59"/>
      <c r="O164" s="16"/>
    </row>
    <row r="165" spans="3:15" ht="15" hidden="1" customHeight="1" x14ac:dyDescent="0.25">
      <c r="C165" s="56"/>
      <c r="D165" s="57"/>
      <c r="E165" s="57"/>
      <c r="F165" s="57"/>
      <c r="G165" s="57"/>
      <c r="H165" s="57"/>
      <c r="I165" s="57"/>
      <c r="J165" s="57"/>
      <c r="K165" s="59" t="str">
        <f t="shared" si="4"/>
        <v>0.00 (0.00 – 0.00)</v>
      </c>
      <c r="L165" s="16" t="str">
        <f t="shared" si="5"/>
        <v>0.00
(0.00 – 0.00)</v>
      </c>
      <c r="M165" s="57"/>
      <c r="N165" s="59"/>
      <c r="O165" s="16"/>
    </row>
    <row r="166" spans="3:15" ht="15" hidden="1" customHeight="1" x14ac:dyDescent="0.25">
      <c r="C166" s="56"/>
      <c r="D166" s="57"/>
      <c r="E166" s="57"/>
      <c r="F166" s="57"/>
      <c r="G166" s="57"/>
      <c r="H166" s="57"/>
      <c r="I166" s="57"/>
      <c r="J166" s="57"/>
      <c r="K166" s="59" t="str">
        <f t="shared" si="4"/>
        <v>0.00 (0.00 – 0.00)</v>
      </c>
      <c r="L166" s="16" t="str">
        <f t="shared" si="5"/>
        <v>0.00
(0.00 – 0.00)</v>
      </c>
      <c r="M166" s="57"/>
      <c r="N166" s="59"/>
      <c r="O166" s="16"/>
    </row>
    <row r="167" spans="3:15" ht="15" hidden="1" customHeight="1" x14ac:dyDescent="0.25">
      <c r="C167" s="56"/>
      <c r="D167" s="57"/>
      <c r="E167" s="57"/>
      <c r="F167" s="57"/>
      <c r="G167" s="57"/>
      <c r="H167" s="57"/>
      <c r="I167" s="57"/>
      <c r="J167" s="57"/>
      <c r="K167" s="59" t="str">
        <f t="shared" si="4"/>
        <v>0.00 (0.00 – 0.00)</v>
      </c>
      <c r="L167" s="16" t="str">
        <f t="shared" si="5"/>
        <v>0.00
(0.00 – 0.00)</v>
      </c>
      <c r="M167" s="57"/>
      <c r="N167" s="59"/>
      <c r="O167" s="16"/>
    </row>
    <row r="168" spans="3:15" ht="15" hidden="1" customHeight="1" x14ac:dyDescent="0.25">
      <c r="C168" s="56"/>
      <c r="D168" s="57"/>
      <c r="E168" s="57"/>
      <c r="F168" s="57"/>
      <c r="G168" s="57"/>
      <c r="H168" s="57"/>
      <c r="I168" s="57"/>
      <c r="J168" s="57"/>
      <c r="K168" s="59" t="str">
        <f t="shared" si="4"/>
        <v>0.00 (0.00 – 0.00)</v>
      </c>
      <c r="L168" s="16" t="str">
        <f t="shared" si="5"/>
        <v>0.00
(0.00 – 0.00)</v>
      </c>
      <c r="M168" s="57"/>
      <c r="N168" s="59"/>
      <c r="O168" s="16"/>
    </row>
    <row r="169" spans="3:15" ht="15" hidden="1" customHeight="1" x14ac:dyDescent="0.25">
      <c r="C169" s="56"/>
      <c r="D169" s="57"/>
      <c r="E169" s="57"/>
      <c r="F169" s="57"/>
      <c r="G169" s="57"/>
      <c r="H169" s="57"/>
      <c r="I169" s="57"/>
      <c r="J169" s="57"/>
      <c r="K169" s="59" t="str">
        <f t="shared" si="4"/>
        <v>0.00 (0.00 – 0.00)</v>
      </c>
      <c r="L169" s="16" t="str">
        <f t="shared" si="5"/>
        <v>0.00
(0.00 – 0.00)</v>
      </c>
      <c r="M169" s="57"/>
      <c r="N169" s="59"/>
      <c r="O169" s="16"/>
    </row>
    <row r="170" spans="3:15" ht="15" hidden="1" customHeight="1" x14ac:dyDescent="0.25">
      <c r="C170" s="56"/>
      <c r="D170" s="57"/>
      <c r="E170" s="57"/>
      <c r="F170" s="57"/>
      <c r="G170" s="57"/>
      <c r="H170" s="57"/>
      <c r="I170" s="57"/>
      <c r="J170" s="57"/>
      <c r="K170" s="59" t="str">
        <f t="shared" si="4"/>
        <v>0.00 (0.00 – 0.00)</v>
      </c>
      <c r="L170" s="16" t="str">
        <f t="shared" si="5"/>
        <v>0.00
(0.00 – 0.00)</v>
      </c>
      <c r="M170" s="57"/>
      <c r="N170" s="59"/>
      <c r="O170" s="16"/>
    </row>
    <row r="171" spans="3:15" ht="15" hidden="1" customHeight="1" x14ac:dyDescent="0.25">
      <c r="C171" s="56"/>
      <c r="D171" s="57"/>
      <c r="E171" s="57"/>
      <c r="F171" s="57"/>
      <c r="G171" s="57"/>
      <c r="H171" s="57"/>
      <c r="I171" s="57"/>
      <c r="J171" s="57"/>
      <c r="K171" s="59" t="str">
        <f t="shared" si="4"/>
        <v>0.00 (0.00 – 0.00)</v>
      </c>
      <c r="L171" s="16" t="str">
        <f t="shared" si="5"/>
        <v>0.00
(0.00 – 0.00)</v>
      </c>
      <c r="M171" s="57"/>
      <c r="N171" s="59"/>
      <c r="O171" s="16"/>
    </row>
    <row r="172" spans="3:15" ht="15" hidden="1" customHeight="1" x14ac:dyDescent="0.25">
      <c r="C172" s="56"/>
      <c r="D172" s="57"/>
      <c r="E172" s="57"/>
      <c r="F172" s="57"/>
      <c r="G172" s="57"/>
      <c r="H172" s="57"/>
      <c r="I172" s="57"/>
      <c r="J172" s="57"/>
      <c r="K172" s="59" t="str">
        <f t="shared" si="4"/>
        <v>0.00 (0.00 – 0.00)</v>
      </c>
      <c r="L172" s="16" t="str">
        <f t="shared" si="5"/>
        <v>0.00
(0.00 – 0.00)</v>
      </c>
      <c r="M172" s="57"/>
      <c r="N172" s="59"/>
      <c r="O172" s="16"/>
    </row>
    <row r="173" spans="3:15" ht="15" hidden="1" customHeight="1" x14ac:dyDescent="0.25">
      <c r="C173" s="56"/>
      <c r="D173" s="57"/>
      <c r="E173" s="57"/>
      <c r="F173" s="57"/>
      <c r="G173" s="57"/>
      <c r="H173" s="57"/>
      <c r="I173" s="57"/>
      <c r="J173" s="57"/>
      <c r="K173" s="59" t="str">
        <f t="shared" si="4"/>
        <v>0.00 (0.00 – 0.00)</v>
      </c>
      <c r="L173" s="16" t="str">
        <f t="shared" si="5"/>
        <v>0.00
(0.00 – 0.00)</v>
      </c>
      <c r="M173" s="57"/>
      <c r="N173" s="59"/>
      <c r="O173" s="16"/>
    </row>
    <row r="174" spans="3:15" ht="15" hidden="1" customHeight="1" x14ac:dyDescent="0.25">
      <c r="C174" s="56"/>
      <c r="D174" s="57"/>
      <c r="E174" s="57"/>
      <c r="F174" s="57"/>
      <c r="G174" s="57"/>
      <c r="H174" s="57"/>
      <c r="I174" s="57"/>
      <c r="J174" s="57"/>
      <c r="K174" s="59" t="str">
        <f t="shared" si="4"/>
        <v>0.00 (0.00 – 0.00)</v>
      </c>
      <c r="L174" s="16" t="str">
        <f t="shared" si="5"/>
        <v>0.00
(0.00 – 0.00)</v>
      </c>
      <c r="M174" s="57"/>
      <c r="N174" s="59"/>
      <c r="O174" s="16"/>
    </row>
    <row r="175" spans="3:15" ht="15" hidden="1" customHeight="1" x14ac:dyDescent="0.25">
      <c r="C175" s="56"/>
      <c r="D175" s="57"/>
      <c r="E175" s="57"/>
      <c r="F175" s="57"/>
      <c r="G175" s="57"/>
      <c r="H175" s="57"/>
      <c r="I175" s="57"/>
      <c r="J175" s="57"/>
      <c r="K175" s="59" t="str">
        <f t="shared" si="4"/>
        <v>0.00 (0.00 – 0.00)</v>
      </c>
      <c r="L175" s="16" t="str">
        <f t="shared" si="5"/>
        <v>0.00
(0.00 – 0.00)</v>
      </c>
      <c r="M175" s="57"/>
      <c r="N175" s="59"/>
      <c r="O175" s="16"/>
    </row>
    <row r="176" spans="3:15" ht="15" hidden="1" customHeight="1" x14ac:dyDescent="0.25">
      <c r="C176" s="56"/>
      <c r="D176" s="57"/>
      <c r="E176" s="57"/>
      <c r="F176" s="57"/>
      <c r="G176" s="57"/>
      <c r="H176" s="57"/>
      <c r="I176" s="57"/>
      <c r="J176" s="57"/>
      <c r="K176" s="59" t="str">
        <f t="shared" si="4"/>
        <v>0.00 (0.00 – 0.00)</v>
      </c>
      <c r="L176" s="16" t="str">
        <f t="shared" si="5"/>
        <v>0.00
(0.00 – 0.00)</v>
      </c>
      <c r="M176" s="57"/>
      <c r="N176" s="59"/>
      <c r="O176" s="16"/>
    </row>
    <row r="177" spans="3:15" ht="15" hidden="1" customHeight="1" x14ac:dyDescent="0.25">
      <c r="C177" s="56"/>
      <c r="D177" s="57"/>
      <c r="E177" s="57"/>
      <c r="F177" s="57"/>
      <c r="G177" s="57"/>
      <c r="H177" s="57"/>
      <c r="I177" s="57"/>
      <c r="J177" s="57"/>
      <c r="K177" s="59" t="str">
        <f t="shared" si="4"/>
        <v>0.00 (0.00 – 0.00)</v>
      </c>
      <c r="L177" s="16" t="str">
        <f t="shared" si="5"/>
        <v>0.00
(0.00 – 0.00)</v>
      </c>
      <c r="M177" s="57"/>
      <c r="N177" s="59"/>
      <c r="O177" s="16"/>
    </row>
    <row r="178" spans="3:15" ht="15" hidden="1" customHeight="1" x14ac:dyDescent="0.25">
      <c r="C178" s="56"/>
      <c r="D178" s="57"/>
      <c r="E178" s="57"/>
      <c r="F178" s="57"/>
      <c r="G178" s="57"/>
      <c r="H178" s="57"/>
      <c r="I178" s="57"/>
      <c r="J178" s="57"/>
      <c r="K178" s="59" t="str">
        <f t="shared" si="4"/>
        <v>0.00 (0.00 – 0.00)</v>
      </c>
      <c r="L178" s="16" t="str">
        <f t="shared" si="5"/>
        <v>0.00
(0.00 – 0.00)</v>
      </c>
      <c r="M178" s="57"/>
      <c r="N178" s="59"/>
      <c r="O178" s="16"/>
    </row>
    <row r="179" spans="3:15" ht="15" hidden="1" customHeight="1" x14ac:dyDescent="0.25">
      <c r="C179" s="56"/>
      <c r="D179" s="57"/>
      <c r="E179" s="57"/>
      <c r="F179" s="57"/>
      <c r="G179" s="57"/>
      <c r="H179" s="57"/>
      <c r="I179" s="57"/>
      <c r="J179" s="57"/>
      <c r="K179" s="59" t="str">
        <f t="shared" si="4"/>
        <v>0.00 (0.00 – 0.00)</v>
      </c>
      <c r="L179" s="16" t="str">
        <f t="shared" si="5"/>
        <v>0.00
(0.00 – 0.00)</v>
      </c>
      <c r="M179" s="57"/>
      <c r="N179" s="59"/>
      <c r="O179" s="16"/>
    </row>
    <row r="180" spans="3:15" ht="15" hidden="1" customHeight="1" x14ac:dyDescent="0.25">
      <c r="C180" s="56"/>
      <c r="D180" s="57"/>
      <c r="E180" s="57"/>
      <c r="F180" s="57"/>
      <c r="G180" s="57"/>
      <c r="H180" s="57"/>
      <c r="I180" s="57"/>
      <c r="J180" s="57"/>
      <c r="K180" s="59" t="str">
        <f t="shared" si="4"/>
        <v>0.00 (0.00 – 0.00)</v>
      </c>
      <c r="L180" s="16" t="str">
        <f t="shared" si="5"/>
        <v>0.00
(0.00 – 0.00)</v>
      </c>
      <c r="M180" s="57"/>
      <c r="N180" s="59"/>
      <c r="O180" s="16"/>
    </row>
    <row r="181" spans="3:15" ht="15" hidden="1" customHeight="1" x14ac:dyDescent="0.25">
      <c r="C181" s="56"/>
      <c r="D181" s="57"/>
      <c r="E181" s="57"/>
      <c r="F181" s="57"/>
      <c r="G181" s="57"/>
      <c r="H181" s="57"/>
      <c r="I181" s="57"/>
      <c r="J181" s="57"/>
      <c r="K181" s="59" t="str">
        <f t="shared" si="4"/>
        <v>0.00 (0.00 – 0.00)</v>
      </c>
      <c r="L181" s="16" t="str">
        <f t="shared" si="5"/>
        <v>0.00
(0.00 – 0.00)</v>
      </c>
      <c r="M181" s="57"/>
      <c r="N181" s="59"/>
      <c r="O181" s="16"/>
    </row>
    <row r="182" spans="3:15" ht="15" hidden="1" customHeight="1" x14ac:dyDescent="0.25">
      <c r="C182" s="56"/>
      <c r="D182" s="57"/>
      <c r="E182" s="57"/>
      <c r="F182" s="57"/>
      <c r="G182" s="57"/>
      <c r="H182" s="57"/>
      <c r="I182" s="57"/>
      <c r="J182" s="57"/>
      <c r="K182" s="59" t="str">
        <f t="shared" si="4"/>
        <v>0.00 (0.00 – 0.00)</v>
      </c>
      <c r="L182" s="16" t="str">
        <f t="shared" si="5"/>
        <v>0.00
(0.00 – 0.00)</v>
      </c>
      <c r="M182" s="57"/>
      <c r="N182" s="59"/>
      <c r="O182" s="16"/>
    </row>
    <row r="183" spans="3:15" ht="15" hidden="1" customHeight="1" x14ac:dyDescent="0.25">
      <c r="C183" s="56"/>
      <c r="D183" s="57"/>
      <c r="E183" s="57"/>
      <c r="F183" s="57"/>
      <c r="G183" s="57"/>
      <c r="H183" s="57"/>
      <c r="I183" s="57"/>
      <c r="J183" s="57"/>
      <c r="K183" s="59" t="str">
        <f t="shared" si="4"/>
        <v>0.00 (0.00 – 0.00)</v>
      </c>
      <c r="L183" s="16" t="str">
        <f t="shared" si="5"/>
        <v>0.00
(0.00 – 0.00)</v>
      </c>
      <c r="M183" s="57"/>
      <c r="N183" s="59"/>
      <c r="O183" s="16"/>
    </row>
    <row r="184" spans="3:15" ht="15" hidden="1" customHeight="1" x14ac:dyDescent="0.25">
      <c r="C184" s="56"/>
      <c r="D184" s="57"/>
      <c r="E184" s="57"/>
      <c r="F184" s="57"/>
      <c r="G184" s="57"/>
      <c r="H184" s="57"/>
      <c r="I184" s="57"/>
      <c r="J184" s="57"/>
      <c r="K184" s="59" t="str">
        <f t="shared" si="4"/>
        <v>0.00 (0.00 – 0.00)</v>
      </c>
      <c r="L184" s="16" t="str">
        <f t="shared" si="5"/>
        <v>0.00
(0.00 – 0.00)</v>
      </c>
      <c r="M184" s="57"/>
      <c r="N184" s="59"/>
      <c r="O184" s="16"/>
    </row>
    <row r="185" spans="3:15" ht="15" hidden="1" customHeight="1" x14ac:dyDescent="0.25">
      <c r="C185" s="56"/>
      <c r="D185" s="57"/>
      <c r="E185" s="57"/>
      <c r="F185" s="57"/>
      <c r="G185" s="57"/>
      <c r="H185" s="57"/>
      <c r="I185" s="57"/>
      <c r="J185" s="57"/>
      <c r="K185" s="59" t="str">
        <f t="shared" si="4"/>
        <v>0.00 (0.00 – 0.00)</v>
      </c>
      <c r="L185" s="16" t="str">
        <f t="shared" si="5"/>
        <v>0.00
(0.00 – 0.00)</v>
      </c>
      <c r="M185" s="57"/>
      <c r="N185" s="59"/>
      <c r="O185" s="16"/>
    </row>
    <row r="186" spans="3:15" ht="15" hidden="1" customHeight="1" x14ac:dyDescent="0.25">
      <c r="C186" s="56"/>
      <c r="D186" s="57"/>
      <c r="E186" s="57"/>
      <c r="F186" s="57"/>
      <c r="G186" s="57"/>
      <c r="H186" s="57"/>
      <c r="I186" s="57"/>
      <c r="J186" s="57"/>
      <c r="K186" s="59" t="str">
        <f t="shared" si="4"/>
        <v>0.00 (0.00 – 0.00)</v>
      </c>
      <c r="L186" s="16" t="str">
        <f t="shared" si="5"/>
        <v>0.00
(0.00 – 0.00)</v>
      </c>
      <c r="M186" s="57"/>
      <c r="N186" s="59"/>
      <c r="O186" s="16"/>
    </row>
    <row r="187" spans="3:15" ht="15" hidden="1" customHeight="1" x14ac:dyDescent="0.25">
      <c r="C187" s="56"/>
      <c r="D187" s="57"/>
      <c r="E187" s="57"/>
      <c r="F187" s="57"/>
      <c r="G187" s="57"/>
      <c r="H187" s="57"/>
      <c r="I187" s="57"/>
      <c r="J187" s="57"/>
      <c r="K187" s="59" t="str">
        <f t="shared" si="4"/>
        <v>0.00 (0.00 – 0.00)</v>
      </c>
      <c r="L187" s="16" t="str">
        <f t="shared" si="5"/>
        <v>0.00
(0.00 – 0.00)</v>
      </c>
      <c r="M187" s="57"/>
      <c r="N187" s="59"/>
      <c r="O187" s="16"/>
    </row>
    <row r="188" spans="3:15" ht="15" hidden="1" customHeight="1" x14ac:dyDescent="0.25">
      <c r="C188" s="56"/>
      <c r="D188" s="57"/>
      <c r="E188" s="57"/>
      <c r="F188" s="57"/>
      <c r="G188" s="57"/>
      <c r="H188" s="57"/>
      <c r="I188" s="57"/>
      <c r="J188" s="57"/>
      <c r="K188" s="59" t="str">
        <f t="shared" si="4"/>
        <v>0.00 (0.00 – 0.00)</v>
      </c>
      <c r="L188" s="16" t="str">
        <f t="shared" si="5"/>
        <v>0.00
(0.00 – 0.00)</v>
      </c>
      <c r="M188" s="57"/>
      <c r="N188" s="59"/>
      <c r="O188" s="16"/>
    </row>
    <row r="189" spans="3:15" ht="15" hidden="1" customHeight="1" x14ac:dyDescent="0.25">
      <c r="C189" s="56"/>
      <c r="D189" s="57"/>
      <c r="E189" s="57"/>
      <c r="F189" s="57"/>
      <c r="G189" s="57"/>
      <c r="H189" s="57"/>
      <c r="I189" s="57"/>
      <c r="J189" s="57"/>
      <c r="K189" s="59" t="str">
        <f t="shared" si="4"/>
        <v>0.00 (0.00 – 0.00)</v>
      </c>
      <c r="L189" s="16" t="str">
        <f t="shared" si="5"/>
        <v>0.00
(0.00 – 0.00)</v>
      </c>
      <c r="M189" s="57"/>
      <c r="N189" s="59"/>
      <c r="O189" s="16"/>
    </row>
    <row r="190" spans="3:15" ht="15" hidden="1" customHeight="1" x14ac:dyDescent="0.25">
      <c r="C190" s="56"/>
      <c r="D190" s="57"/>
      <c r="E190" s="57"/>
      <c r="F190" s="57"/>
      <c r="G190" s="57"/>
      <c r="H190" s="57"/>
      <c r="I190" s="57"/>
      <c r="J190" s="57"/>
      <c r="K190" s="59" t="str">
        <f t="shared" si="4"/>
        <v>0.00 (0.00 – 0.00)</v>
      </c>
      <c r="L190" s="16" t="str">
        <f t="shared" si="5"/>
        <v>0.00
(0.00 – 0.00)</v>
      </c>
      <c r="M190" s="57"/>
      <c r="N190" s="59"/>
      <c r="O190" s="16"/>
    </row>
    <row r="191" spans="3:15" ht="15" hidden="1" customHeight="1" x14ac:dyDescent="0.25">
      <c r="C191" s="56"/>
      <c r="D191" s="57"/>
      <c r="E191" s="57"/>
      <c r="F191" s="57"/>
      <c r="G191" s="57"/>
      <c r="H191" s="57"/>
      <c r="I191" s="57"/>
      <c r="J191" s="57"/>
      <c r="K191" s="59" t="str">
        <f t="shared" si="4"/>
        <v>0.00 (0.00 – 0.00)</v>
      </c>
      <c r="L191" s="16" t="str">
        <f t="shared" si="5"/>
        <v>0.00
(0.00 – 0.00)</v>
      </c>
      <c r="M191" s="57"/>
      <c r="N191" s="59"/>
      <c r="O191" s="16"/>
    </row>
    <row r="192" spans="3:15" ht="15" hidden="1" customHeight="1" x14ac:dyDescent="0.25">
      <c r="C192" s="56"/>
      <c r="D192" s="57"/>
      <c r="E192" s="57"/>
      <c r="F192" s="57"/>
      <c r="G192" s="57"/>
      <c r="H192" s="57"/>
      <c r="I192" s="57"/>
      <c r="J192" s="57"/>
      <c r="K192" s="59" t="str">
        <f t="shared" si="4"/>
        <v>0.00 (0.00 – 0.00)</v>
      </c>
      <c r="L192" s="16" t="str">
        <f t="shared" si="5"/>
        <v>0.00
(0.00 – 0.00)</v>
      </c>
      <c r="M192" s="57"/>
      <c r="N192" s="59"/>
      <c r="O192" s="16"/>
    </row>
    <row r="193" spans="3:15" ht="15" hidden="1" customHeight="1" x14ac:dyDescent="0.25">
      <c r="C193" s="56"/>
      <c r="D193" s="57"/>
      <c r="E193" s="57"/>
      <c r="F193" s="57"/>
      <c r="G193" s="57"/>
      <c r="H193" s="57"/>
      <c r="I193" s="57"/>
      <c r="J193" s="57"/>
      <c r="K193" s="59" t="str">
        <f t="shared" si="4"/>
        <v>0.00 (0.00 – 0.00)</v>
      </c>
      <c r="L193" s="16" t="str">
        <f t="shared" si="5"/>
        <v>0.00
(0.00 – 0.00)</v>
      </c>
      <c r="M193" s="57"/>
      <c r="N193" s="59"/>
      <c r="O193" s="16"/>
    </row>
    <row r="194" spans="3:15" ht="15" hidden="1" customHeight="1" x14ac:dyDescent="0.25">
      <c r="C194" s="56"/>
      <c r="D194" s="57"/>
      <c r="E194" s="57"/>
      <c r="F194" s="57"/>
      <c r="G194" s="57"/>
      <c r="H194" s="57"/>
      <c r="I194" s="57"/>
      <c r="J194" s="57"/>
      <c r="K194" s="59" t="str">
        <f t="shared" si="4"/>
        <v>0.00 (0.00 – 0.00)</v>
      </c>
      <c r="L194" s="16" t="str">
        <f t="shared" si="5"/>
        <v>0.00
(0.00 – 0.00)</v>
      </c>
      <c r="M194" s="57"/>
      <c r="N194" s="59"/>
      <c r="O194" s="16"/>
    </row>
    <row r="195" spans="3:15" ht="15" hidden="1" customHeight="1" x14ac:dyDescent="0.25">
      <c r="C195" s="56"/>
      <c r="D195" s="57"/>
      <c r="E195" s="57"/>
      <c r="F195" s="57"/>
      <c r="G195" s="57"/>
      <c r="H195" s="57"/>
      <c r="I195" s="57"/>
      <c r="J195" s="57"/>
      <c r="K195" s="59" t="str">
        <f t="shared" si="4"/>
        <v>0.00 (0.00 – 0.00)</v>
      </c>
      <c r="L195" s="16" t="str">
        <f t="shared" si="5"/>
        <v>0.00
(0.00 – 0.00)</v>
      </c>
      <c r="M195" s="57"/>
      <c r="N195" s="59"/>
      <c r="O195" s="16"/>
    </row>
    <row r="196" spans="3:15" ht="15" hidden="1" customHeight="1" x14ac:dyDescent="0.25">
      <c r="C196" s="56"/>
      <c r="D196" s="57"/>
      <c r="E196" s="57"/>
      <c r="F196" s="57"/>
      <c r="G196" s="57"/>
      <c r="H196" s="57"/>
      <c r="I196" s="57"/>
      <c r="J196" s="57"/>
      <c r="K196" s="59" t="str">
        <f t="shared" si="4"/>
        <v>0.00 (0.00 – 0.00)</v>
      </c>
      <c r="L196" s="16" t="str">
        <f t="shared" si="5"/>
        <v>0.00
(0.00 – 0.00)</v>
      </c>
      <c r="M196" s="57"/>
      <c r="N196" s="59"/>
      <c r="O196" s="16"/>
    </row>
    <row r="197" spans="3:15" ht="15" hidden="1" customHeight="1" x14ac:dyDescent="0.25">
      <c r="C197" s="56"/>
      <c r="D197" s="57"/>
      <c r="E197" s="57"/>
      <c r="F197" s="57"/>
      <c r="G197" s="57"/>
      <c r="H197" s="57"/>
      <c r="I197" s="57"/>
      <c r="J197" s="57"/>
      <c r="K197" s="59" t="str">
        <f t="shared" si="4"/>
        <v>0.00 (0.00 – 0.00)</v>
      </c>
      <c r="L197" s="16" t="str">
        <f t="shared" si="5"/>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row r="203" spans="3:15" x14ac:dyDescent="0.25">
      <c r="C203" s="56"/>
      <c r="D203" s="57"/>
      <c r="E203" s="57"/>
      <c r="F203" s="57"/>
      <c r="G203" s="57"/>
      <c r="H203" s="57"/>
      <c r="I203" s="57"/>
      <c r="J203" s="57"/>
      <c r="K203" s="57"/>
      <c r="L203" s="57"/>
      <c r="M203" s="57"/>
    </row>
  </sheetData>
  <sortState ref="A5:C20">
    <sortCondition ref="C4"/>
  </sortState>
  <dataConsolidate/>
  <mergeCells count="2">
    <mergeCell ref="N3:T3"/>
    <mergeCell ref="F3:L3"/>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0" tint="-0.499984740745262"/>
  </sheetPr>
  <dimension ref="A1:T202"/>
  <sheetViews>
    <sheetView showGridLines="0" zoomScaleNormal="100" workbookViewId="0">
      <selection activeCell="E5" sqref="E5:L49"/>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Random Effects  (Informative)</v>
      </c>
      <c r="F1" s="57"/>
      <c r="G1" s="57"/>
      <c r="H1" s="57"/>
      <c r="I1" s="57"/>
      <c r="J1" s="57"/>
      <c r="K1" s="57"/>
      <c r="L1" s="57"/>
      <c r="M1" s="57"/>
    </row>
    <row r="2" spans="1:20" x14ac:dyDescent="0.25">
      <c r="A2" t="str">
        <f>CONCATENATE("Heterogeneity (Inform.) = ",INDEX('RE Results (Informative Prior)'!B:H,MATCH("sd",'RE Results (Informative Prior)'!B:B,0),6), " 
95% CrI (",INDEX('RE Results (Informative Prior)'!B:H,MATCH("sd",'RE Results (Informative Prior)'!B:B,0),5)," – ",INDEX('RE Results (Informative Prior)'!B:H,MATCH("sd",'RE Results (Informative Prior)'!B:B,0),7),")")</f>
        <v>Heterogeneity (Inform.) = 0.2579 
95% CrI (0.06658 – 0.5553)</v>
      </c>
      <c r="F2" s="57"/>
      <c r="G2" s="57"/>
      <c r="H2" s="57"/>
      <c r="I2" s="57"/>
      <c r="J2" s="57"/>
      <c r="K2" s="57"/>
      <c r="L2" s="57"/>
      <c r="M2" s="57"/>
    </row>
    <row r="3" spans="1:20" x14ac:dyDescent="0.25">
      <c r="F3" s="277" t="str">
        <f>"Random Effects  (Informative Prior)"</f>
        <v>Random Effects  (Informative Prior)</v>
      </c>
      <c r="G3" s="277"/>
      <c r="H3" s="277"/>
      <c r="I3" s="277"/>
      <c r="J3" s="277"/>
      <c r="K3" s="277"/>
      <c r="L3" s="277"/>
      <c r="N3" s="277" t="str">
        <f>F3</f>
        <v>Random Effects  (Informative Prior)</v>
      </c>
      <c r="O3" s="277"/>
      <c r="P3" s="277"/>
      <c r="Q3" s="277"/>
      <c r="R3" s="277"/>
      <c r="S3" s="277"/>
      <c r="T3" s="277"/>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A5" t="s">
        <v>356</v>
      </c>
      <c r="B5" s="54">
        <v>6</v>
      </c>
      <c r="C5" s="54">
        <v>2.0059999999999998</v>
      </c>
      <c r="E5" s="57">
        <v>6</v>
      </c>
      <c r="F5" s="57">
        <v>10</v>
      </c>
      <c r="G5" s="57" t="s">
        <v>771</v>
      </c>
      <c r="H5" s="57">
        <v>6.3492063492063489</v>
      </c>
      <c r="I5" s="57">
        <v>15.479876160990711</v>
      </c>
      <c r="J5" s="57">
        <v>39.261876717707104</v>
      </c>
      <c r="K5" s="59" t="str">
        <f t="shared" ref="K5:K49" si="0">CONCATENATE(TEXT(I5,"0.00")," (",TEXT(H5,"0.00")," – ",TEXT(J5,"0.00"),")")</f>
        <v>15.48 (6.35 – 39.26)</v>
      </c>
      <c r="L5" s="16" t="str">
        <f t="shared" ref="L5:L49" si="1">CONCATENATE(TEXT(I5,"0.00"),"
(",TEXT(H5,"0.00")," – ",TEXT(J5,"0.00"),")")</f>
        <v>15.48
(6.35 – 39.26)</v>
      </c>
      <c r="N5" s="59" t="s">
        <v>418</v>
      </c>
      <c r="O5" s="16" t="s">
        <v>723</v>
      </c>
      <c r="P5">
        <v>0.37759999999999999</v>
      </c>
      <c r="Q5">
        <v>0.55369999999999997</v>
      </c>
      <c r="R5">
        <v>0.80110000000000003</v>
      </c>
      <c r="S5">
        <v>2</v>
      </c>
      <c r="T5">
        <v>1</v>
      </c>
    </row>
    <row r="6" spans="1:20" x14ac:dyDescent="0.25">
      <c r="A6" t="s">
        <v>354</v>
      </c>
      <c r="B6" s="19">
        <v>4</v>
      </c>
      <c r="C6" s="19">
        <v>2.35</v>
      </c>
      <c r="E6" s="19">
        <v>5</v>
      </c>
      <c r="F6" s="19">
        <v>10</v>
      </c>
      <c r="G6" s="19" t="s">
        <v>775</v>
      </c>
      <c r="H6" s="19">
        <v>3.5688793718772307</v>
      </c>
      <c r="I6" s="19">
        <v>13.92369813422445</v>
      </c>
      <c r="J6" s="19">
        <v>64.977257959714109</v>
      </c>
      <c r="K6" s="59" t="str">
        <f t="shared" si="0"/>
        <v>13.92 (3.57 – 64.98)</v>
      </c>
      <c r="L6" s="16" t="str">
        <f t="shared" si="1"/>
        <v>13.92
(3.57 – 64.98)</v>
      </c>
      <c r="N6" s="59" t="s">
        <v>419</v>
      </c>
      <c r="O6" s="16" t="s">
        <v>724</v>
      </c>
      <c r="P6">
        <v>0.75990000000000002</v>
      </c>
      <c r="Q6">
        <v>1.2809999999999999</v>
      </c>
      <c r="R6">
        <v>2.194</v>
      </c>
      <c r="S6">
        <v>3</v>
      </c>
      <c r="T6">
        <v>1</v>
      </c>
    </row>
    <row r="7" spans="1:20" x14ac:dyDescent="0.25">
      <c r="A7" t="s">
        <v>355</v>
      </c>
      <c r="B7" s="54">
        <v>5</v>
      </c>
      <c r="C7" s="54">
        <v>2.7890000000000001</v>
      </c>
      <c r="E7" s="19">
        <v>4</v>
      </c>
      <c r="F7" s="59">
        <v>10</v>
      </c>
      <c r="G7" s="54" t="s">
        <v>779</v>
      </c>
      <c r="H7" s="16">
        <v>6.0864272671941571</v>
      </c>
      <c r="I7" s="16">
        <v>13.646288209606988</v>
      </c>
      <c r="J7" s="16">
        <v>31.387319522912744</v>
      </c>
      <c r="K7" s="59" t="str">
        <f t="shared" si="0"/>
        <v>13.65 (6.09 – 31.39)</v>
      </c>
      <c r="L7" s="16" t="str">
        <f t="shared" si="1"/>
        <v>13.65
(6.09 – 31.39)</v>
      </c>
      <c r="N7" s="59" t="s">
        <v>420</v>
      </c>
      <c r="O7" s="16" t="s">
        <v>725</v>
      </c>
      <c r="P7">
        <v>0.93220000000000003</v>
      </c>
      <c r="Q7">
        <v>2.0179999999999998</v>
      </c>
      <c r="R7">
        <v>4.3869999999999996</v>
      </c>
      <c r="S7">
        <v>4</v>
      </c>
      <c r="T7">
        <v>1</v>
      </c>
    </row>
    <row r="8" spans="1:20" x14ac:dyDescent="0.25">
      <c r="A8" t="s">
        <v>353</v>
      </c>
      <c r="B8" s="19">
        <v>3</v>
      </c>
      <c r="C8" s="19">
        <v>4.1849999999999996</v>
      </c>
      <c r="E8" s="57">
        <v>3</v>
      </c>
      <c r="F8" s="57">
        <v>10</v>
      </c>
      <c r="G8" s="57" t="s">
        <v>783</v>
      </c>
      <c r="H8" s="57">
        <v>4.9358341559723593</v>
      </c>
      <c r="I8" s="57">
        <v>8.7108013937282234</v>
      </c>
      <c r="J8" s="57">
        <v>15.750511891636476</v>
      </c>
      <c r="K8" s="59" t="str">
        <f t="shared" si="0"/>
        <v>8.71 (4.94 – 15.75)</v>
      </c>
      <c r="L8" s="16" t="str">
        <f t="shared" si="1"/>
        <v>8.71
(4.94 – 15.75)</v>
      </c>
      <c r="N8" s="59" t="s">
        <v>421</v>
      </c>
      <c r="O8" s="16" t="s">
        <v>726</v>
      </c>
      <c r="P8">
        <v>0.5323</v>
      </c>
      <c r="Q8">
        <v>2.0510000000000002</v>
      </c>
      <c r="R8">
        <v>9.0500000000000007</v>
      </c>
      <c r="S8">
        <v>5</v>
      </c>
      <c r="T8">
        <v>1</v>
      </c>
    </row>
    <row r="9" spans="1:20" x14ac:dyDescent="0.25">
      <c r="A9" t="s">
        <v>359</v>
      </c>
      <c r="B9" s="19">
        <v>9</v>
      </c>
      <c r="C9" s="19">
        <v>5.2510000000000003</v>
      </c>
      <c r="E9" s="19">
        <v>9</v>
      </c>
      <c r="F9" s="19">
        <v>10</v>
      </c>
      <c r="G9" s="19" t="s">
        <v>788</v>
      </c>
      <c r="H9" s="19">
        <v>4.2589437819420786</v>
      </c>
      <c r="I9" s="19">
        <v>7.0028011204481784</v>
      </c>
      <c r="J9" s="19">
        <v>12.257906349595489</v>
      </c>
      <c r="K9" s="59" t="str">
        <f t="shared" si="0"/>
        <v>7.00 (4.26 – 12.26)</v>
      </c>
      <c r="L9" s="16" t="str">
        <f t="shared" si="1"/>
        <v>7.00
(4.26 – 12.26)</v>
      </c>
      <c r="N9" s="59" t="s">
        <v>422</v>
      </c>
      <c r="O9" s="16" t="s">
        <v>727</v>
      </c>
      <c r="P9">
        <v>0.94299999999999995</v>
      </c>
      <c r="Q9">
        <v>2.27</v>
      </c>
      <c r="R9">
        <v>5.5789999999999997</v>
      </c>
      <c r="S9">
        <v>6</v>
      </c>
      <c r="T9">
        <v>1</v>
      </c>
    </row>
    <row r="10" spans="1:20" x14ac:dyDescent="0.25">
      <c r="A10" t="s">
        <v>351</v>
      </c>
      <c r="B10" s="19">
        <v>1</v>
      </c>
      <c r="C10" s="19">
        <v>5.452</v>
      </c>
      <c r="E10" s="19">
        <v>1</v>
      </c>
      <c r="F10" s="19">
        <v>10</v>
      </c>
      <c r="G10" s="19" t="s">
        <v>787</v>
      </c>
      <c r="H10" s="19">
        <v>4.2517006802721093</v>
      </c>
      <c r="I10" s="19">
        <v>6.8212824010914046</v>
      </c>
      <c r="J10" s="19">
        <v>10.914647456887144</v>
      </c>
      <c r="K10" s="59" t="str">
        <f t="shared" si="0"/>
        <v>6.82 (4.25 – 10.91)</v>
      </c>
      <c r="L10" s="16" t="str">
        <f t="shared" si="1"/>
        <v>6.82
(4.25 – 10.91)</v>
      </c>
      <c r="N10" s="59" t="s">
        <v>423</v>
      </c>
      <c r="O10" s="16" t="s">
        <v>728</v>
      </c>
      <c r="P10">
        <v>0.1389</v>
      </c>
      <c r="Q10">
        <v>0.39250000000000002</v>
      </c>
      <c r="R10">
        <v>1.0940000000000001</v>
      </c>
      <c r="S10">
        <v>7</v>
      </c>
      <c r="T10">
        <v>1</v>
      </c>
    </row>
    <row r="11" spans="1:20" x14ac:dyDescent="0.25">
      <c r="A11" t="s">
        <v>358</v>
      </c>
      <c r="B11" s="54">
        <v>8</v>
      </c>
      <c r="C11" s="54">
        <v>6.5759999999999996</v>
      </c>
      <c r="E11" s="19">
        <v>6</v>
      </c>
      <c r="F11" s="19">
        <v>7</v>
      </c>
      <c r="G11" s="19" t="s">
        <v>770</v>
      </c>
      <c r="H11" s="19">
        <v>1.6015374759769381</v>
      </c>
      <c r="I11" s="19">
        <v>5.7903879559930518</v>
      </c>
      <c r="J11" s="19">
        <v>21.905805038335156</v>
      </c>
      <c r="K11" s="59" t="str">
        <f t="shared" si="0"/>
        <v>5.79 (1.60 – 21.91)</v>
      </c>
      <c r="L11" s="16" t="str">
        <f t="shared" si="1"/>
        <v>5.79
(1.60 – 21.91)</v>
      </c>
      <c r="N11" s="59" t="s">
        <v>424</v>
      </c>
      <c r="O11" s="16" t="s">
        <v>729</v>
      </c>
      <c r="P11">
        <v>0.28270000000000001</v>
      </c>
      <c r="Q11">
        <v>0.73640000000000005</v>
      </c>
      <c r="R11">
        <v>1.9259999999999999</v>
      </c>
      <c r="S11">
        <v>8</v>
      </c>
      <c r="T11">
        <v>1</v>
      </c>
    </row>
    <row r="12" spans="1:20" x14ac:dyDescent="0.25">
      <c r="A12" t="s">
        <v>352</v>
      </c>
      <c r="B12" s="19">
        <v>2</v>
      </c>
      <c r="C12" s="19">
        <v>7.9260000000000002</v>
      </c>
      <c r="E12" s="19">
        <v>5</v>
      </c>
      <c r="F12" s="19">
        <v>7</v>
      </c>
      <c r="G12" s="19" t="s">
        <v>774</v>
      </c>
      <c r="H12" s="19">
        <v>1.0209290454313424</v>
      </c>
      <c r="I12" s="19">
        <v>5.2110474205315276</v>
      </c>
      <c r="J12" s="19">
        <v>30.47851264858275</v>
      </c>
      <c r="K12" s="59" t="str">
        <f t="shared" si="0"/>
        <v>5.21 (1.02 – 30.48)</v>
      </c>
      <c r="L12" s="16" t="str">
        <f t="shared" si="1"/>
        <v>5.21
(1.02 – 30.48)</v>
      </c>
      <c r="N12" s="59" t="s">
        <v>425</v>
      </c>
      <c r="O12" s="16" t="s">
        <v>730</v>
      </c>
      <c r="P12">
        <v>0.64710000000000001</v>
      </c>
      <c r="Q12">
        <v>1.0289999999999999</v>
      </c>
      <c r="R12">
        <v>1.7070000000000001</v>
      </c>
      <c r="S12">
        <v>9</v>
      </c>
      <c r="T12">
        <v>1</v>
      </c>
    </row>
    <row r="13" spans="1:20" x14ac:dyDescent="0.25">
      <c r="A13" t="s">
        <v>357</v>
      </c>
      <c r="B13" s="54">
        <v>7</v>
      </c>
      <c r="C13" s="54">
        <v>8.5060000000000002</v>
      </c>
      <c r="E13" s="57">
        <v>4</v>
      </c>
      <c r="F13" s="57">
        <v>7</v>
      </c>
      <c r="G13" s="57" t="s">
        <v>778</v>
      </c>
      <c r="H13" s="57">
        <v>1.4981273408239701</v>
      </c>
      <c r="I13" s="57">
        <v>5.1334702258726903</v>
      </c>
      <c r="J13" s="57">
        <v>17.83166904422254</v>
      </c>
      <c r="K13" s="59" t="str">
        <f t="shared" si="0"/>
        <v>5.13 (1.50 – 17.83)</v>
      </c>
      <c r="L13" s="16" t="str">
        <f t="shared" si="1"/>
        <v>5.13
(1.50 – 17.83)</v>
      </c>
      <c r="N13" s="59" t="s">
        <v>426</v>
      </c>
      <c r="O13" s="16" t="s">
        <v>731</v>
      </c>
      <c r="P13">
        <v>9.1619999999999993E-2</v>
      </c>
      <c r="Q13">
        <v>0.14660000000000001</v>
      </c>
      <c r="R13">
        <v>0.23519999999999999</v>
      </c>
      <c r="S13">
        <v>10</v>
      </c>
      <c r="T13">
        <v>1</v>
      </c>
    </row>
    <row r="14" spans="1:20" x14ac:dyDescent="0.25">
      <c r="A14" t="s">
        <v>360</v>
      </c>
      <c r="B14" s="54">
        <v>10</v>
      </c>
      <c r="C14" s="54">
        <v>9.9600000000000009</v>
      </c>
      <c r="E14" s="19">
        <v>8</v>
      </c>
      <c r="F14" s="19">
        <v>10</v>
      </c>
      <c r="G14" s="19" t="s">
        <v>789</v>
      </c>
      <c r="H14" s="19">
        <v>1.7818959372772629</v>
      </c>
      <c r="I14" s="19">
        <v>5.0479555779909138</v>
      </c>
      <c r="J14" s="19">
        <v>13.939224979091163</v>
      </c>
      <c r="K14" s="59" t="str">
        <f t="shared" si="0"/>
        <v>5.05 (1.78 – 13.94)</v>
      </c>
      <c r="L14" s="16" t="str">
        <f t="shared" si="1"/>
        <v>5.05
(1.78 – 13.94)</v>
      </c>
      <c r="N14" s="59" t="s">
        <v>427</v>
      </c>
      <c r="O14" s="16" t="s">
        <v>732</v>
      </c>
      <c r="P14">
        <v>1.3939999999999999</v>
      </c>
      <c r="Q14">
        <v>2.3109999999999999</v>
      </c>
      <c r="R14">
        <v>3.9620000000000002</v>
      </c>
      <c r="S14">
        <v>3</v>
      </c>
      <c r="T14">
        <v>2</v>
      </c>
    </row>
    <row r="15" spans="1:20" ht="15" customHeight="1" x14ac:dyDescent="0.25">
      <c r="E15" s="19">
        <v>6</v>
      </c>
      <c r="F15" s="19">
        <v>2</v>
      </c>
      <c r="G15" s="19" t="s">
        <v>735</v>
      </c>
      <c r="H15" s="19">
        <v>1.7390000000000001</v>
      </c>
      <c r="I15" s="19">
        <v>4.1050000000000004</v>
      </c>
      <c r="J15" s="19">
        <v>10.199999999999999</v>
      </c>
      <c r="K15" s="59" t="str">
        <f t="shared" si="0"/>
        <v>4.11 (1.74 – 10.20)</v>
      </c>
      <c r="L15" s="16" t="str">
        <f t="shared" si="1"/>
        <v>4.11
(1.74 – 10.20)</v>
      </c>
      <c r="N15" s="59" t="s">
        <v>428</v>
      </c>
      <c r="O15" s="16" t="s">
        <v>733</v>
      </c>
      <c r="P15">
        <v>1.7050000000000001</v>
      </c>
      <c r="Q15">
        <v>3.6259999999999999</v>
      </c>
      <c r="R15">
        <v>8.1050000000000004</v>
      </c>
      <c r="S15">
        <v>4</v>
      </c>
      <c r="T15">
        <v>2</v>
      </c>
    </row>
    <row r="16" spans="1:20" ht="15" customHeight="1" x14ac:dyDescent="0.25">
      <c r="E16" s="19">
        <v>2</v>
      </c>
      <c r="F16" s="19">
        <v>10</v>
      </c>
      <c r="G16" s="19" t="s">
        <v>791</v>
      </c>
      <c r="H16" s="19">
        <v>2.2306491188935982</v>
      </c>
      <c r="I16" s="19">
        <v>3.766478342749529</v>
      </c>
      <c r="J16" s="19">
        <v>6.25</v>
      </c>
      <c r="K16" s="59" t="str">
        <f t="shared" si="0"/>
        <v>3.77 (2.23 – 6.25)</v>
      </c>
      <c r="L16" s="16" t="str">
        <f t="shared" si="1"/>
        <v>3.77
(2.23 – 6.25)</v>
      </c>
      <c r="N16" s="59" t="s">
        <v>429</v>
      </c>
      <c r="O16" s="16" t="s">
        <v>734</v>
      </c>
      <c r="P16">
        <v>1.02</v>
      </c>
      <c r="Q16">
        <v>3.69</v>
      </c>
      <c r="R16">
        <v>16.059999999999999</v>
      </c>
      <c r="S16">
        <v>5</v>
      </c>
      <c r="T16">
        <v>2</v>
      </c>
    </row>
    <row r="17" spans="5:20" ht="15" customHeight="1" x14ac:dyDescent="0.25">
      <c r="E17" s="19">
        <v>5</v>
      </c>
      <c r="F17" s="59">
        <v>2</v>
      </c>
      <c r="G17" s="54" t="s">
        <v>734</v>
      </c>
      <c r="H17" s="16">
        <v>1.02</v>
      </c>
      <c r="I17" s="16">
        <v>3.69</v>
      </c>
      <c r="J17" s="16">
        <v>16.059999999999999</v>
      </c>
      <c r="K17" s="59" t="str">
        <f t="shared" si="0"/>
        <v>3.69 (1.02 – 16.06)</v>
      </c>
      <c r="L17" s="16" t="str">
        <f t="shared" si="1"/>
        <v>3.69
(1.02 – 16.06)</v>
      </c>
      <c r="N17" s="59" t="s">
        <v>430</v>
      </c>
      <c r="O17" s="16" t="s">
        <v>735</v>
      </c>
      <c r="P17">
        <v>1.7390000000000001</v>
      </c>
      <c r="Q17">
        <v>4.1050000000000004</v>
      </c>
      <c r="R17">
        <v>10.199999999999999</v>
      </c>
      <c r="S17">
        <v>6</v>
      </c>
      <c r="T17">
        <v>2</v>
      </c>
    </row>
    <row r="18" spans="5:20" ht="15" customHeight="1" x14ac:dyDescent="0.25">
      <c r="E18" s="19">
        <v>4</v>
      </c>
      <c r="F18" s="19">
        <v>2</v>
      </c>
      <c r="G18" s="19" t="s">
        <v>733</v>
      </c>
      <c r="H18" s="19">
        <v>1.7050000000000001</v>
      </c>
      <c r="I18" s="19">
        <v>3.6259999999999999</v>
      </c>
      <c r="J18" s="19">
        <v>8.1050000000000004</v>
      </c>
      <c r="K18" s="59" t="str">
        <f t="shared" si="0"/>
        <v>3.63 (1.71 – 8.11)</v>
      </c>
      <c r="L18" s="16" t="str">
        <f t="shared" si="1"/>
        <v>3.63
(1.71 – 8.11)</v>
      </c>
      <c r="N18" s="59" t="s">
        <v>431</v>
      </c>
      <c r="O18" s="16" t="s">
        <v>736</v>
      </c>
      <c r="P18">
        <v>0.27210000000000001</v>
      </c>
      <c r="Q18">
        <v>0.70779999999999998</v>
      </c>
      <c r="R18">
        <v>1.855</v>
      </c>
      <c r="S18">
        <v>7</v>
      </c>
      <c r="T18">
        <v>2</v>
      </c>
    </row>
    <row r="19" spans="5:20" ht="15" customHeight="1" x14ac:dyDescent="0.25">
      <c r="E19" s="57">
        <v>3</v>
      </c>
      <c r="F19" s="57">
        <v>7</v>
      </c>
      <c r="G19" s="57" t="s">
        <v>782</v>
      </c>
      <c r="H19" s="57">
        <v>1.1152001784320285</v>
      </c>
      <c r="I19" s="57">
        <v>3.265839320705421</v>
      </c>
      <c r="J19" s="57">
        <v>9.9206349206349209</v>
      </c>
      <c r="K19" s="59" t="str">
        <f t="shared" si="0"/>
        <v>3.27 (1.12 – 9.92)</v>
      </c>
      <c r="L19" s="16" t="str">
        <f t="shared" si="1"/>
        <v>3.27
(1.12 – 9.92)</v>
      </c>
      <c r="N19" s="59" t="s">
        <v>432</v>
      </c>
      <c r="O19" s="16" t="s">
        <v>737</v>
      </c>
      <c r="P19">
        <v>0.52529999999999999</v>
      </c>
      <c r="Q19">
        <v>1.329</v>
      </c>
      <c r="R19">
        <v>3.4289999999999998</v>
      </c>
      <c r="S19">
        <v>8</v>
      </c>
      <c r="T19">
        <v>2</v>
      </c>
    </row>
    <row r="20" spans="5:20" ht="15" customHeight="1" x14ac:dyDescent="0.25">
      <c r="E20" s="19">
        <v>6</v>
      </c>
      <c r="F20" s="59">
        <v>8</v>
      </c>
      <c r="G20" s="54" t="s">
        <v>769</v>
      </c>
      <c r="H20" s="16">
        <v>0.85543199315654406</v>
      </c>
      <c r="I20" s="16">
        <v>3.0902348578491967</v>
      </c>
      <c r="J20" s="16">
        <v>11.019283746556475</v>
      </c>
      <c r="K20" s="59" t="str">
        <f t="shared" si="0"/>
        <v>3.09 (0.86 – 11.02)</v>
      </c>
      <c r="L20" s="16" t="str">
        <f t="shared" si="1"/>
        <v>3.09
(0.86 – 11.02)</v>
      </c>
      <c r="N20" s="59" t="s">
        <v>433</v>
      </c>
      <c r="O20" s="16" t="s">
        <v>738</v>
      </c>
      <c r="P20">
        <v>1.093</v>
      </c>
      <c r="Q20">
        <v>1.861</v>
      </c>
      <c r="R20">
        <v>3.387</v>
      </c>
      <c r="S20">
        <v>9</v>
      </c>
      <c r="T20">
        <v>2</v>
      </c>
    </row>
    <row r="21" spans="5:20" ht="15" customHeight="1" x14ac:dyDescent="0.25">
      <c r="E21" s="19">
        <v>5</v>
      </c>
      <c r="F21" s="59">
        <v>8</v>
      </c>
      <c r="G21" s="54" t="s">
        <v>773</v>
      </c>
      <c r="H21" s="16">
        <v>0.56561085972850678</v>
      </c>
      <c r="I21" s="16">
        <v>2.7708506511499031</v>
      </c>
      <c r="J21" s="16">
        <v>15.765410688948448</v>
      </c>
      <c r="K21" s="59" t="str">
        <f t="shared" si="0"/>
        <v>2.77 (0.57 – 15.77)</v>
      </c>
      <c r="L21" s="16" t="str">
        <f t="shared" si="1"/>
        <v>2.77
(0.57 – 15.77)</v>
      </c>
      <c r="N21" s="59" t="s">
        <v>434</v>
      </c>
      <c r="O21" s="16" t="s">
        <v>739</v>
      </c>
      <c r="P21">
        <v>0.16</v>
      </c>
      <c r="Q21">
        <v>0.26550000000000001</v>
      </c>
      <c r="R21">
        <v>0.44829999999999998</v>
      </c>
      <c r="S21">
        <v>10</v>
      </c>
      <c r="T21">
        <v>2</v>
      </c>
    </row>
    <row r="22" spans="5:20" ht="15" customHeight="1" x14ac:dyDescent="0.25">
      <c r="E22" s="57">
        <v>4</v>
      </c>
      <c r="F22" s="57">
        <v>8</v>
      </c>
      <c r="G22" s="57" t="s">
        <v>777</v>
      </c>
      <c r="H22" s="57">
        <v>0.83542188805346695</v>
      </c>
      <c r="I22" s="57">
        <v>2.7329871549603717</v>
      </c>
      <c r="J22" s="57">
        <v>9.1911764705882355</v>
      </c>
      <c r="K22" s="59" t="str">
        <f t="shared" si="0"/>
        <v>2.73 (0.84 – 9.19)</v>
      </c>
      <c r="L22" s="16" t="str">
        <f t="shared" si="1"/>
        <v>2.73
(0.84 – 9.19)</v>
      </c>
      <c r="N22" s="59" t="s">
        <v>435</v>
      </c>
      <c r="O22" s="16" t="s">
        <v>740</v>
      </c>
      <c r="P22">
        <v>0.86819999999999997</v>
      </c>
      <c r="Q22">
        <v>1.5660000000000001</v>
      </c>
      <c r="R22">
        <v>2.8519999999999999</v>
      </c>
      <c r="S22">
        <v>4</v>
      </c>
      <c r="T22">
        <v>3</v>
      </c>
    </row>
    <row r="23" spans="5:20" ht="15" customHeight="1" x14ac:dyDescent="0.25">
      <c r="E23" s="19">
        <v>7</v>
      </c>
      <c r="F23" s="59">
        <v>10</v>
      </c>
      <c r="G23" s="54" t="s">
        <v>792</v>
      </c>
      <c r="H23" s="16">
        <v>0.90009000900090008</v>
      </c>
      <c r="I23" s="16">
        <v>2.6709401709401708</v>
      </c>
      <c r="J23" s="16">
        <v>7.9872204472843444</v>
      </c>
      <c r="K23" s="59" t="str">
        <f t="shared" si="0"/>
        <v>2.67 (0.90 – 7.99)</v>
      </c>
      <c r="L23" s="16" t="str">
        <f t="shared" si="1"/>
        <v>2.67
(0.90 – 7.99)</v>
      </c>
      <c r="N23" s="59" t="s">
        <v>436</v>
      </c>
      <c r="O23" s="16" t="s">
        <v>741</v>
      </c>
      <c r="P23">
        <v>0.39679999999999999</v>
      </c>
      <c r="Q23">
        <v>1.597</v>
      </c>
      <c r="R23">
        <v>7.3259999999999996</v>
      </c>
      <c r="S23">
        <v>5</v>
      </c>
      <c r="T23">
        <v>3</v>
      </c>
    </row>
    <row r="24" spans="5:20" ht="15" customHeight="1" x14ac:dyDescent="0.25">
      <c r="E24" s="19">
        <v>9</v>
      </c>
      <c r="F24" s="19">
        <v>7</v>
      </c>
      <c r="G24" s="19" t="s">
        <v>763</v>
      </c>
      <c r="H24" s="19">
        <v>0.88849999999999996</v>
      </c>
      <c r="I24" s="19">
        <v>2.64</v>
      </c>
      <c r="J24" s="19">
        <v>8.2379999999999995</v>
      </c>
      <c r="K24" s="59" t="str">
        <f t="shared" si="0"/>
        <v>2.64 (0.89 – 8.24)</v>
      </c>
      <c r="L24" s="16" t="str">
        <f t="shared" si="1"/>
        <v>2.64
(0.89 – 8.24)</v>
      </c>
      <c r="N24" s="59" t="s">
        <v>437</v>
      </c>
      <c r="O24" s="16" t="s">
        <v>742</v>
      </c>
      <c r="P24">
        <v>0.87390000000000001</v>
      </c>
      <c r="Q24">
        <v>1.77</v>
      </c>
      <c r="R24">
        <v>3.71</v>
      </c>
      <c r="S24">
        <v>6</v>
      </c>
      <c r="T24">
        <v>3</v>
      </c>
    </row>
    <row r="25" spans="5:20" ht="15" customHeight="1" x14ac:dyDescent="0.25">
      <c r="E25" s="57">
        <v>1</v>
      </c>
      <c r="F25" s="57">
        <v>7</v>
      </c>
      <c r="G25" s="57" t="s">
        <v>786</v>
      </c>
      <c r="H25" s="57">
        <v>0.91407678244972568</v>
      </c>
      <c r="I25" s="57">
        <v>2.5477707006369426</v>
      </c>
      <c r="J25" s="57">
        <v>7.1994240460763139</v>
      </c>
      <c r="K25" s="59" t="str">
        <f t="shared" si="0"/>
        <v>2.55 (0.91 – 7.20)</v>
      </c>
      <c r="L25" s="16" t="str">
        <f t="shared" si="1"/>
        <v>2.55
(0.91 – 7.20)</v>
      </c>
      <c r="N25" s="59" t="s">
        <v>438</v>
      </c>
      <c r="O25" s="16" t="s">
        <v>743</v>
      </c>
      <c r="P25">
        <v>0.1008</v>
      </c>
      <c r="Q25">
        <v>0.30620000000000003</v>
      </c>
      <c r="R25">
        <v>0.89670000000000005</v>
      </c>
      <c r="S25">
        <v>7</v>
      </c>
      <c r="T25">
        <v>3</v>
      </c>
    </row>
    <row r="26" spans="5:20" ht="15" customHeight="1" x14ac:dyDescent="0.25">
      <c r="E26" s="57">
        <v>3</v>
      </c>
      <c r="F26" s="57">
        <v>2</v>
      </c>
      <c r="G26" s="57" t="s">
        <v>732</v>
      </c>
      <c r="H26" s="57">
        <v>1.3939999999999999</v>
      </c>
      <c r="I26" s="57">
        <v>2.3109999999999999</v>
      </c>
      <c r="J26" s="57">
        <v>3.9620000000000002</v>
      </c>
      <c r="K26" s="59" t="str">
        <f t="shared" si="0"/>
        <v>2.31 (1.39 – 3.96)</v>
      </c>
      <c r="L26" s="16" t="str">
        <f t="shared" si="1"/>
        <v>2.31
(1.39 – 3.96)</v>
      </c>
      <c r="N26" s="59" t="s">
        <v>439</v>
      </c>
      <c r="O26" s="16" t="s">
        <v>744</v>
      </c>
      <c r="P26">
        <v>0.20369999999999999</v>
      </c>
      <c r="Q26">
        <v>0.57450000000000001</v>
      </c>
      <c r="R26">
        <v>1.6160000000000001</v>
      </c>
      <c r="S26">
        <v>8</v>
      </c>
      <c r="T26">
        <v>3</v>
      </c>
    </row>
    <row r="27" spans="5:20" ht="15" customHeight="1" x14ac:dyDescent="0.25">
      <c r="E27" s="57">
        <v>6</v>
      </c>
      <c r="F27" s="57">
        <v>1</v>
      </c>
      <c r="G27" s="57" t="s">
        <v>727</v>
      </c>
      <c r="H27" s="57">
        <v>0.94299999999999995</v>
      </c>
      <c r="I27" s="57">
        <v>2.27</v>
      </c>
      <c r="J27" s="57">
        <v>5.5789999999999997</v>
      </c>
      <c r="K27" s="59" t="str">
        <f t="shared" si="0"/>
        <v>2.27 (0.94 – 5.58)</v>
      </c>
      <c r="L27" s="16" t="str">
        <f t="shared" si="1"/>
        <v>2.27
(0.94 – 5.58)</v>
      </c>
      <c r="N27" s="59" t="s">
        <v>440</v>
      </c>
      <c r="O27" s="16" t="s">
        <v>745</v>
      </c>
      <c r="P27">
        <v>0.45569999999999999</v>
      </c>
      <c r="Q27">
        <v>0.80179999999999996</v>
      </c>
      <c r="R27">
        <v>1.4730000000000001</v>
      </c>
      <c r="S27">
        <v>9</v>
      </c>
      <c r="T27">
        <v>3</v>
      </c>
    </row>
    <row r="28" spans="5:20" ht="15" customHeight="1" x14ac:dyDescent="0.25">
      <c r="E28" s="57">
        <v>6</v>
      </c>
      <c r="F28" s="57">
        <v>9</v>
      </c>
      <c r="G28" s="57" t="s">
        <v>768</v>
      </c>
      <c r="H28" s="57">
        <v>0.86730268863833471</v>
      </c>
      <c r="I28" s="57">
        <v>2.1973192704900022</v>
      </c>
      <c r="J28" s="57">
        <v>5.4975261132490374</v>
      </c>
      <c r="K28" s="59" t="str">
        <f t="shared" si="0"/>
        <v>2.20 (0.87 – 5.50)</v>
      </c>
      <c r="L28" s="16" t="str">
        <f t="shared" si="1"/>
        <v>2.20
(0.87 – 5.50)</v>
      </c>
      <c r="N28" s="59" t="s">
        <v>441</v>
      </c>
      <c r="O28" s="16" t="s">
        <v>746</v>
      </c>
      <c r="P28">
        <v>6.3490000000000005E-2</v>
      </c>
      <c r="Q28">
        <v>0.1148</v>
      </c>
      <c r="R28">
        <v>0.2026</v>
      </c>
      <c r="S28">
        <v>10</v>
      </c>
      <c r="T28">
        <v>3</v>
      </c>
    </row>
    <row r="29" spans="5:20" ht="15" customHeight="1" x14ac:dyDescent="0.25">
      <c r="E29" s="19">
        <v>5</v>
      </c>
      <c r="F29" s="19">
        <v>1</v>
      </c>
      <c r="G29" s="19" t="s">
        <v>726</v>
      </c>
      <c r="H29" s="19">
        <v>0.5323</v>
      </c>
      <c r="I29" s="19">
        <v>2.0510000000000002</v>
      </c>
      <c r="J29" s="19">
        <v>9.0500000000000007</v>
      </c>
      <c r="K29" s="59" t="str">
        <f t="shared" si="0"/>
        <v>2.05 (0.53 – 9.05)</v>
      </c>
      <c r="L29" s="16" t="str">
        <f t="shared" si="1"/>
        <v>2.05
(0.53 – 9.05)</v>
      </c>
      <c r="N29" s="59" t="s">
        <v>442</v>
      </c>
      <c r="O29" s="16" t="s">
        <v>747</v>
      </c>
      <c r="P29">
        <v>0.22900000000000001</v>
      </c>
      <c r="Q29">
        <v>1.0209999999999999</v>
      </c>
      <c r="R29">
        <v>5.0279999999999996</v>
      </c>
      <c r="S29">
        <v>5</v>
      </c>
      <c r="T29">
        <v>4</v>
      </c>
    </row>
    <row r="30" spans="5:20" ht="15" customHeight="1" x14ac:dyDescent="0.25">
      <c r="E30" s="19">
        <v>4</v>
      </c>
      <c r="F30" s="19">
        <v>1</v>
      </c>
      <c r="G30" s="19" t="s">
        <v>725</v>
      </c>
      <c r="H30" s="19">
        <v>0.93220000000000003</v>
      </c>
      <c r="I30" s="19">
        <v>2.0179999999999998</v>
      </c>
      <c r="J30" s="19">
        <v>4.3869999999999996</v>
      </c>
      <c r="K30" s="59" t="str">
        <f t="shared" si="0"/>
        <v>2.02 (0.93 – 4.39)</v>
      </c>
      <c r="L30" s="16" t="str">
        <f t="shared" si="1"/>
        <v>2.02
(0.93 – 4.39)</v>
      </c>
      <c r="N30" s="59" t="s">
        <v>443</v>
      </c>
      <c r="O30" s="16" t="s">
        <v>748</v>
      </c>
      <c r="P30">
        <v>0.5413</v>
      </c>
      <c r="Q30">
        <v>1.1299999999999999</v>
      </c>
      <c r="R30">
        <v>2.4329999999999998</v>
      </c>
      <c r="S30">
        <v>6</v>
      </c>
      <c r="T30">
        <v>4</v>
      </c>
    </row>
    <row r="31" spans="5:20" ht="15" customHeight="1" x14ac:dyDescent="0.25">
      <c r="E31" s="19">
        <v>5</v>
      </c>
      <c r="F31" s="59">
        <v>9</v>
      </c>
      <c r="G31" s="54" t="s">
        <v>772</v>
      </c>
      <c r="H31" s="16">
        <v>0.47370914258645186</v>
      </c>
      <c r="I31" s="16">
        <v>1.9762845849802371</v>
      </c>
      <c r="J31" s="16">
        <v>9.216589861751153</v>
      </c>
      <c r="K31" s="59" t="str">
        <f t="shared" si="0"/>
        <v>1.98 (0.47 – 9.22)</v>
      </c>
      <c r="L31" s="16" t="str">
        <f t="shared" si="1"/>
        <v>1.98
(0.47 – 9.22)</v>
      </c>
      <c r="N31" s="59" t="s">
        <v>444</v>
      </c>
      <c r="O31" s="16" t="s">
        <v>749</v>
      </c>
      <c r="P31">
        <v>5.6079999999999998E-2</v>
      </c>
      <c r="Q31">
        <v>0.1948</v>
      </c>
      <c r="R31">
        <v>0.66749999999999998</v>
      </c>
      <c r="S31">
        <v>7</v>
      </c>
      <c r="T31">
        <v>4</v>
      </c>
    </row>
    <row r="32" spans="5:20" ht="15" customHeight="1" x14ac:dyDescent="0.25">
      <c r="E32" s="19">
        <v>4</v>
      </c>
      <c r="F32" s="19">
        <v>9</v>
      </c>
      <c r="G32" s="19" t="s">
        <v>776</v>
      </c>
      <c r="H32" s="19">
        <v>0.83125519534497083</v>
      </c>
      <c r="I32" s="19">
        <v>1.9489378288832586</v>
      </c>
      <c r="J32" s="19">
        <v>4.3802014892685062</v>
      </c>
      <c r="K32" s="59" t="str">
        <f t="shared" si="0"/>
        <v>1.95 (0.83 – 4.38)</v>
      </c>
      <c r="L32" s="16" t="str">
        <f t="shared" si="1"/>
        <v>1.95
(0.83 – 4.38)</v>
      </c>
      <c r="N32" s="59" t="s">
        <v>445</v>
      </c>
      <c r="O32" s="16" t="s">
        <v>750</v>
      </c>
      <c r="P32">
        <v>0.10879999999999999</v>
      </c>
      <c r="Q32">
        <v>0.3659</v>
      </c>
      <c r="R32">
        <v>1.1970000000000001</v>
      </c>
      <c r="S32">
        <v>8</v>
      </c>
      <c r="T32">
        <v>4</v>
      </c>
    </row>
    <row r="33" spans="3:20" ht="15" customHeight="1" x14ac:dyDescent="0.25">
      <c r="E33" s="19">
        <v>8</v>
      </c>
      <c r="F33" s="19">
        <v>7</v>
      </c>
      <c r="G33" s="19" t="s">
        <v>762</v>
      </c>
      <c r="H33" s="19">
        <v>0.4924</v>
      </c>
      <c r="I33" s="19">
        <v>1.877</v>
      </c>
      <c r="J33" s="19">
        <v>7.1260000000000003</v>
      </c>
      <c r="K33" s="59" t="str">
        <f t="shared" si="0"/>
        <v>1.88 (0.49 – 7.13)</v>
      </c>
      <c r="L33" s="16" t="str">
        <f t="shared" si="1"/>
        <v>1.88
(0.49 – 7.13)</v>
      </c>
      <c r="N33" s="59" t="s">
        <v>446</v>
      </c>
      <c r="O33" s="16" t="s">
        <v>751</v>
      </c>
      <c r="P33">
        <v>0.2283</v>
      </c>
      <c r="Q33">
        <v>0.5131</v>
      </c>
      <c r="R33">
        <v>1.2030000000000001</v>
      </c>
      <c r="S33">
        <v>9</v>
      </c>
      <c r="T33">
        <v>4</v>
      </c>
    </row>
    <row r="34" spans="3:20" ht="15" customHeight="1" x14ac:dyDescent="0.25">
      <c r="E34" s="19">
        <v>9</v>
      </c>
      <c r="F34" s="19">
        <v>2</v>
      </c>
      <c r="G34" s="19" t="s">
        <v>738</v>
      </c>
      <c r="H34" s="19">
        <v>1.093</v>
      </c>
      <c r="I34" s="19">
        <v>1.861</v>
      </c>
      <c r="J34" s="19">
        <v>3.387</v>
      </c>
      <c r="K34" s="59" t="str">
        <f t="shared" si="0"/>
        <v>1.86 (1.09 – 3.39)</v>
      </c>
      <c r="L34" s="16" t="str">
        <f t="shared" si="1"/>
        <v>1.86
(1.09 – 3.39)</v>
      </c>
      <c r="N34" s="59" t="s">
        <v>447</v>
      </c>
      <c r="O34" s="16" t="s">
        <v>752</v>
      </c>
      <c r="P34">
        <v>3.1859999999999999E-2</v>
      </c>
      <c r="Q34">
        <v>7.3279999999999998E-2</v>
      </c>
      <c r="R34">
        <v>0.1643</v>
      </c>
      <c r="S34">
        <v>10</v>
      </c>
      <c r="T34">
        <v>4</v>
      </c>
    </row>
    <row r="35" spans="3:20" ht="15" customHeight="1" x14ac:dyDescent="0.25">
      <c r="E35" s="19">
        <v>1</v>
      </c>
      <c r="F35" s="19">
        <v>2</v>
      </c>
      <c r="G35" s="19" t="s">
        <v>785</v>
      </c>
      <c r="H35" s="19">
        <v>1.2482836100362003</v>
      </c>
      <c r="I35" s="19">
        <v>1.8060321473722234</v>
      </c>
      <c r="J35" s="19">
        <v>2.648305084745763</v>
      </c>
      <c r="K35" s="59" t="str">
        <f t="shared" si="0"/>
        <v>1.81 (1.25 – 2.65)</v>
      </c>
      <c r="L35" s="16" t="str">
        <f t="shared" si="1"/>
        <v>1.81
(1.25 – 2.65)</v>
      </c>
      <c r="N35" s="59" t="s">
        <v>448</v>
      </c>
      <c r="O35" s="16" t="s">
        <v>753</v>
      </c>
      <c r="P35">
        <v>0.21079999999999999</v>
      </c>
      <c r="Q35">
        <v>1.1140000000000001</v>
      </c>
      <c r="R35">
        <v>5.3369999999999997</v>
      </c>
      <c r="S35">
        <v>6</v>
      </c>
      <c r="T35">
        <v>5</v>
      </c>
    </row>
    <row r="36" spans="3:20" ht="15" customHeight="1" x14ac:dyDescent="0.25">
      <c r="C36" s="56"/>
      <c r="D36" s="57"/>
      <c r="E36" s="57">
        <v>6</v>
      </c>
      <c r="F36" s="57">
        <v>3</v>
      </c>
      <c r="G36" s="57" t="s">
        <v>742</v>
      </c>
      <c r="H36" s="57">
        <v>0.87390000000000001</v>
      </c>
      <c r="I36" s="57">
        <v>1.77</v>
      </c>
      <c r="J36" s="57">
        <v>3.71</v>
      </c>
      <c r="K36" s="59" t="str">
        <f t="shared" si="0"/>
        <v>1.77 (0.87 – 3.71)</v>
      </c>
      <c r="L36" s="16" t="str">
        <f t="shared" si="1"/>
        <v>1.77
(0.87 – 3.71)</v>
      </c>
      <c r="M36" s="57"/>
      <c r="N36" s="59" t="s">
        <v>449</v>
      </c>
      <c r="O36" s="16" t="s">
        <v>754</v>
      </c>
      <c r="P36">
        <v>3.2809999999999999E-2</v>
      </c>
      <c r="Q36">
        <v>0.19189999999999999</v>
      </c>
      <c r="R36">
        <v>0.97950000000000004</v>
      </c>
      <c r="S36">
        <v>7</v>
      </c>
      <c r="T36">
        <v>5</v>
      </c>
    </row>
    <row r="37" spans="3:20" ht="15" customHeight="1" x14ac:dyDescent="0.25">
      <c r="C37" s="56"/>
      <c r="D37" s="57"/>
      <c r="E37" s="19">
        <v>3</v>
      </c>
      <c r="F37" s="19">
        <v>8</v>
      </c>
      <c r="G37" s="19" t="s">
        <v>781</v>
      </c>
      <c r="H37" s="19">
        <v>0.61881188118811881</v>
      </c>
      <c r="I37" s="19">
        <v>1.7406440382941688</v>
      </c>
      <c r="J37" s="19">
        <v>4.909180166912126</v>
      </c>
      <c r="K37" s="59" t="str">
        <f t="shared" si="0"/>
        <v>1.74 (0.62 – 4.91)</v>
      </c>
      <c r="L37" s="16" t="str">
        <f t="shared" si="1"/>
        <v>1.74
(0.62 – 4.91)</v>
      </c>
      <c r="M37" s="57"/>
      <c r="N37" s="59" t="s">
        <v>450</v>
      </c>
      <c r="O37" s="16" t="s">
        <v>755</v>
      </c>
      <c r="P37">
        <v>6.343E-2</v>
      </c>
      <c r="Q37">
        <v>0.3609</v>
      </c>
      <c r="R37">
        <v>1.768</v>
      </c>
      <c r="S37">
        <v>8</v>
      </c>
      <c r="T37">
        <v>5</v>
      </c>
    </row>
    <row r="38" spans="3:20" ht="15" customHeight="1" x14ac:dyDescent="0.25">
      <c r="C38" s="56"/>
      <c r="D38" s="57"/>
      <c r="E38" s="19">
        <v>5</v>
      </c>
      <c r="F38" s="59">
        <v>3</v>
      </c>
      <c r="G38" s="54" t="s">
        <v>741</v>
      </c>
      <c r="H38" s="16">
        <v>0.39679999999999999</v>
      </c>
      <c r="I38" s="16">
        <v>1.597</v>
      </c>
      <c r="J38" s="16">
        <v>7.3259999999999996</v>
      </c>
      <c r="K38" s="59" t="str">
        <f t="shared" si="0"/>
        <v>1.60 (0.40 – 7.33)</v>
      </c>
      <c r="L38" s="16" t="str">
        <f t="shared" si="1"/>
        <v>1.60
(0.40 – 7.33)</v>
      </c>
      <c r="M38" s="57"/>
      <c r="N38" s="59" t="s">
        <v>451</v>
      </c>
      <c r="O38" s="16" t="s">
        <v>756</v>
      </c>
      <c r="P38">
        <v>0.1085</v>
      </c>
      <c r="Q38">
        <v>0.50600000000000001</v>
      </c>
      <c r="R38">
        <v>2.1110000000000002</v>
      </c>
      <c r="S38">
        <v>9</v>
      </c>
      <c r="T38">
        <v>5</v>
      </c>
    </row>
    <row r="39" spans="3:20" ht="15" customHeight="1" x14ac:dyDescent="0.25">
      <c r="C39" s="56"/>
      <c r="D39" s="57"/>
      <c r="E39" s="19">
        <v>4</v>
      </c>
      <c r="F39" s="19">
        <v>3</v>
      </c>
      <c r="G39" s="19" t="s">
        <v>740</v>
      </c>
      <c r="H39" s="19">
        <v>0.86819999999999997</v>
      </c>
      <c r="I39" s="19">
        <v>1.5660000000000001</v>
      </c>
      <c r="J39" s="19">
        <v>2.8519999999999999</v>
      </c>
      <c r="K39" s="59" t="str">
        <f t="shared" si="0"/>
        <v>1.57 (0.87 – 2.85)</v>
      </c>
      <c r="L39" s="16" t="str">
        <f t="shared" si="1"/>
        <v>1.57
(0.87 – 2.85)</v>
      </c>
      <c r="M39" s="57"/>
      <c r="N39" s="59" t="s">
        <v>452</v>
      </c>
      <c r="O39" s="16" t="s">
        <v>757</v>
      </c>
      <c r="P39">
        <v>1.5389999999999999E-2</v>
      </c>
      <c r="Q39">
        <v>7.1819999999999995E-2</v>
      </c>
      <c r="R39">
        <v>0.2802</v>
      </c>
      <c r="S39">
        <v>10</v>
      </c>
      <c r="T39">
        <v>5</v>
      </c>
    </row>
    <row r="40" spans="3:20" ht="15" customHeight="1" x14ac:dyDescent="0.25">
      <c r="C40" s="56"/>
      <c r="D40" s="57"/>
      <c r="E40" s="19">
        <v>2</v>
      </c>
      <c r="F40" s="19">
        <v>7</v>
      </c>
      <c r="G40" s="19" t="s">
        <v>790</v>
      </c>
      <c r="H40" s="19">
        <v>0.53908355795148244</v>
      </c>
      <c r="I40" s="19">
        <v>1.4128284826222097</v>
      </c>
      <c r="J40" s="19">
        <v>3.6751194413818449</v>
      </c>
      <c r="K40" s="59" t="str">
        <f t="shared" si="0"/>
        <v>1.41 (0.54 – 3.68)</v>
      </c>
      <c r="L40" s="16" t="str">
        <f t="shared" si="1"/>
        <v>1.41
(0.54 – 3.68)</v>
      </c>
      <c r="M40" s="57"/>
      <c r="N40" s="59" t="s">
        <v>453</v>
      </c>
      <c r="O40" s="16" t="s">
        <v>758</v>
      </c>
      <c r="P40">
        <v>4.5650000000000003E-2</v>
      </c>
      <c r="Q40">
        <v>0.17269999999999999</v>
      </c>
      <c r="R40">
        <v>0.62439999999999996</v>
      </c>
      <c r="S40">
        <v>7</v>
      </c>
      <c r="T40">
        <v>6</v>
      </c>
    </row>
    <row r="41" spans="3:20" ht="15" customHeight="1" x14ac:dyDescent="0.25">
      <c r="C41" s="56"/>
      <c r="D41" s="57"/>
      <c r="E41" s="57">
        <v>9</v>
      </c>
      <c r="F41" s="57">
        <v>8</v>
      </c>
      <c r="G41" s="57" t="s">
        <v>765</v>
      </c>
      <c r="H41" s="57">
        <v>0.49399999999999999</v>
      </c>
      <c r="I41" s="57">
        <v>1.3959999999999999</v>
      </c>
      <c r="J41" s="57">
        <v>4.1260000000000003</v>
      </c>
      <c r="K41" s="59" t="str">
        <f t="shared" si="0"/>
        <v>1.40 (0.49 – 4.13)</v>
      </c>
      <c r="L41" s="16" t="str">
        <f t="shared" si="1"/>
        <v>1.40
(0.49 – 4.13)</v>
      </c>
      <c r="M41" s="57"/>
      <c r="N41" s="59" t="s">
        <v>454</v>
      </c>
      <c r="O41" s="16" t="s">
        <v>759</v>
      </c>
      <c r="P41">
        <v>9.0749999999999997E-2</v>
      </c>
      <c r="Q41">
        <v>0.3236</v>
      </c>
      <c r="R41">
        <v>1.169</v>
      </c>
      <c r="S41">
        <v>8</v>
      </c>
      <c r="T41">
        <v>6</v>
      </c>
    </row>
    <row r="42" spans="3:20" ht="15" customHeight="1" x14ac:dyDescent="0.25">
      <c r="C42" s="56"/>
      <c r="D42" s="57"/>
      <c r="E42" s="57">
        <v>1</v>
      </c>
      <c r="F42" s="57">
        <v>8</v>
      </c>
      <c r="G42" s="57" t="s">
        <v>784</v>
      </c>
      <c r="H42" s="57">
        <v>0.51921079958463134</v>
      </c>
      <c r="I42" s="57">
        <v>1.3579576317218902</v>
      </c>
      <c r="J42" s="57">
        <v>3.5373187124159884</v>
      </c>
      <c r="K42" s="59" t="str">
        <f t="shared" si="0"/>
        <v>1.36 (0.52 – 3.54)</v>
      </c>
      <c r="L42" s="16" t="str">
        <f t="shared" si="1"/>
        <v>1.36
(0.52 – 3.54)</v>
      </c>
      <c r="M42" s="57"/>
      <c r="N42" s="59" t="s">
        <v>455</v>
      </c>
      <c r="O42" s="16" t="s">
        <v>760</v>
      </c>
      <c r="P42">
        <v>0.18190000000000001</v>
      </c>
      <c r="Q42">
        <v>0.4551</v>
      </c>
      <c r="R42">
        <v>1.153</v>
      </c>
      <c r="S42">
        <v>9</v>
      </c>
      <c r="T42">
        <v>6</v>
      </c>
    </row>
    <row r="43" spans="3:20" ht="15" customHeight="1" x14ac:dyDescent="0.25">
      <c r="C43" s="56"/>
      <c r="D43" s="57"/>
      <c r="E43" s="19">
        <v>8</v>
      </c>
      <c r="F43" s="59">
        <v>2</v>
      </c>
      <c r="G43" s="54" t="s">
        <v>737</v>
      </c>
      <c r="H43" s="16">
        <v>0.52529999999999999</v>
      </c>
      <c r="I43" s="16">
        <v>1.329</v>
      </c>
      <c r="J43" s="16">
        <v>3.4289999999999998</v>
      </c>
      <c r="K43" s="59" t="str">
        <f t="shared" si="0"/>
        <v>1.33 (0.53 – 3.43)</v>
      </c>
      <c r="L43" s="16" t="str">
        <f t="shared" si="1"/>
        <v>1.33
(0.53 – 3.43)</v>
      </c>
      <c r="M43" s="57"/>
      <c r="N43" s="59" t="s">
        <v>456</v>
      </c>
      <c r="O43" s="16" t="s">
        <v>761</v>
      </c>
      <c r="P43">
        <v>2.547E-2</v>
      </c>
      <c r="Q43">
        <v>6.4600000000000005E-2</v>
      </c>
      <c r="R43">
        <v>0.1575</v>
      </c>
      <c r="S43">
        <v>10</v>
      </c>
      <c r="T43">
        <v>6</v>
      </c>
    </row>
    <row r="44" spans="3:20" ht="15" customHeight="1" x14ac:dyDescent="0.25">
      <c r="C44" s="56"/>
      <c r="D44" s="57"/>
      <c r="E44" s="19">
        <v>3</v>
      </c>
      <c r="F44" s="19">
        <v>1</v>
      </c>
      <c r="G44" s="19" t="s">
        <v>724</v>
      </c>
      <c r="H44" s="19">
        <v>0.75990000000000002</v>
      </c>
      <c r="I44" s="19">
        <v>1.2809999999999999</v>
      </c>
      <c r="J44" s="19">
        <v>2.194</v>
      </c>
      <c r="K44" s="59" t="str">
        <f t="shared" si="0"/>
        <v>1.28 (0.76 – 2.19)</v>
      </c>
      <c r="L44" s="16" t="str">
        <f t="shared" si="1"/>
        <v>1.28
(0.76 – 2.19)</v>
      </c>
      <c r="M44" s="57"/>
      <c r="N44" s="59" t="s">
        <v>457</v>
      </c>
      <c r="O44" s="16" t="s">
        <v>762</v>
      </c>
      <c r="P44">
        <v>0.4924</v>
      </c>
      <c r="Q44">
        <v>1.877</v>
      </c>
      <c r="R44">
        <v>7.1260000000000003</v>
      </c>
      <c r="S44">
        <v>8</v>
      </c>
      <c r="T44">
        <v>7</v>
      </c>
    </row>
    <row r="45" spans="3:20" ht="15" customHeight="1" x14ac:dyDescent="0.25">
      <c r="C45" s="56"/>
      <c r="D45" s="57"/>
      <c r="E45" s="57">
        <v>3</v>
      </c>
      <c r="F45" s="57">
        <v>9</v>
      </c>
      <c r="G45" s="57" t="s">
        <v>780</v>
      </c>
      <c r="H45" s="57">
        <v>0.67888662593346905</v>
      </c>
      <c r="I45" s="57">
        <v>1.2471938139186831</v>
      </c>
      <c r="J45" s="57">
        <v>2.1944261575597981</v>
      </c>
      <c r="K45" s="59" t="str">
        <f t="shared" si="0"/>
        <v>1.25 (0.68 – 2.19)</v>
      </c>
      <c r="L45" s="16" t="str">
        <f t="shared" si="1"/>
        <v>1.25
(0.68 – 2.19)</v>
      </c>
      <c r="M45" s="57"/>
      <c r="N45" s="59" t="s">
        <v>458</v>
      </c>
      <c r="O45" s="16" t="s">
        <v>763</v>
      </c>
      <c r="P45">
        <v>0.88849999999999996</v>
      </c>
      <c r="Q45">
        <v>2.64</v>
      </c>
      <c r="R45">
        <v>8.2379999999999995</v>
      </c>
      <c r="S45">
        <v>9</v>
      </c>
      <c r="T45">
        <v>7</v>
      </c>
    </row>
    <row r="46" spans="3:20" ht="15" customHeight="1" x14ac:dyDescent="0.25">
      <c r="C46" s="56"/>
      <c r="D46" s="57"/>
      <c r="E46" s="19">
        <v>6</v>
      </c>
      <c r="F46" s="59">
        <v>4</v>
      </c>
      <c r="G46" s="54" t="s">
        <v>748</v>
      </c>
      <c r="H46" s="16">
        <v>0.5413</v>
      </c>
      <c r="I46" s="16">
        <v>1.1299999999999999</v>
      </c>
      <c r="J46" s="16">
        <v>2.4329999999999998</v>
      </c>
      <c r="K46" s="59" t="str">
        <f t="shared" si="0"/>
        <v>1.13 (0.54 – 2.43)</v>
      </c>
      <c r="L46" s="16" t="str">
        <f t="shared" si="1"/>
        <v>1.13
(0.54 – 2.43)</v>
      </c>
      <c r="M46" s="57"/>
      <c r="N46" s="59" t="s">
        <v>459</v>
      </c>
      <c r="O46" s="16" t="s">
        <v>764</v>
      </c>
      <c r="P46">
        <v>0.12520000000000001</v>
      </c>
      <c r="Q46">
        <v>0.37440000000000001</v>
      </c>
      <c r="R46">
        <v>1.111</v>
      </c>
      <c r="S46">
        <v>10</v>
      </c>
      <c r="T46">
        <v>7</v>
      </c>
    </row>
    <row r="47" spans="3:20" ht="15" customHeight="1" x14ac:dyDescent="0.25">
      <c r="C47" s="56"/>
      <c r="D47" s="57"/>
      <c r="E47" s="19">
        <v>6</v>
      </c>
      <c r="F47" s="19">
        <v>5</v>
      </c>
      <c r="G47" s="19" t="s">
        <v>753</v>
      </c>
      <c r="H47" s="19">
        <v>0.21079999999999999</v>
      </c>
      <c r="I47" s="19">
        <v>1.1140000000000001</v>
      </c>
      <c r="J47" s="19">
        <v>5.3369999999999997</v>
      </c>
      <c r="K47" s="59" t="str">
        <f t="shared" si="0"/>
        <v>1.11 (0.21 – 5.34)</v>
      </c>
      <c r="L47" s="16" t="str">
        <f t="shared" si="1"/>
        <v>1.11
(0.21 – 5.34)</v>
      </c>
      <c r="M47" s="57"/>
      <c r="N47" s="59" t="s">
        <v>460</v>
      </c>
      <c r="O47" s="16" t="s">
        <v>765</v>
      </c>
      <c r="P47">
        <v>0.49399999999999999</v>
      </c>
      <c r="Q47">
        <v>1.3959999999999999</v>
      </c>
      <c r="R47">
        <v>4.1260000000000003</v>
      </c>
      <c r="S47">
        <v>9</v>
      </c>
      <c r="T47">
        <v>8</v>
      </c>
    </row>
    <row r="48" spans="3:20" ht="15" customHeight="1" x14ac:dyDescent="0.25">
      <c r="C48" s="56"/>
      <c r="D48" s="57"/>
      <c r="E48" s="57">
        <v>9</v>
      </c>
      <c r="F48" s="57">
        <v>1</v>
      </c>
      <c r="G48" s="57" t="s">
        <v>730</v>
      </c>
      <c r="H48" s="57">
        <v>0.64710000000000001</v>
      </c>
      <c r="I48" s="57">
        <v>1.0289999999999999</v>
      </c>
      <c r="J48" s="57">
        <v>1.7070000000000001</v>
      </c>
      <c r="K48" s="59" t="str">
        <f t="shared" si="0"/>
        <v>1.03 (0.65 – 1.71)</v>
      </c>
      <c r="L48" s="16" t="str">
        <f t="shared" si="1"/>
        <v>1.03
(0.65 – 1.71)</v>
      </c>
      <c r="M48" s="57"/>
      <c r="N48" s="59" t="s">
        <v>461</v>
      </c>
      <c r="O48" s="16" t="s">
        <v>766</v>
      </c>
      <c r="P48">
        <v>7.1739999999999998E-2</v>
      </c>
      <c r="Q48">
        <v>0.1981</v>
      </c>
      <c r="R48">
        <v>0.56120000000000003</v>
      </c>
      <c r="S48">
        <v>10</v>
      </c>
      <c r="T48">
        <v>8</v>
      </c>
    </row>
    <row r="49" spans="3:20" ht="15" customHeight="1" x14ac:dyDescent="0.25">
      <c r="C49" s="56"/>
      <c r="D49" s="57"/>
      <c r="E49" s="19">
        <v>4</v>
      </c>
      <c r="F49" s="59">
        <v>5</v>
      </c>
      <c r="G49" s="54" t="s">
        <v>874</v>
      </c>
      <c r="H49" s="16">
        <v>0.19888623707239461</v>
      </c>
      <c r="I49" s="16">
        <v>0.97943192948090119</v>
      </c>
      <c r="J49" s="16">
        <v>4.3668122270742353</v>
      </c>
      <c r="K49" s="59" t="str">
        <f t="shared" si="0"/>
        <v>0.98 (0.20 – 4.37)</v>
      </c>
      <c r="L49" s="16" t="str">
        <f t="shared" si="1"/>
        <v>0.98
(0.20 – 4.37)</v>
      </c>
      <c r="M49" s="57"/>
      <c r="N49" s="59" t="s">
        <v>462</v>
      </c>
      <c r="O49" s="16" t="s">
        <v>767</v>
      </c>
      <c r="P49">
        <v>8.158E-2</v>
      </c>
      <c r="Q49">
        <v>0.14280000000000001</v>
      </c>
      <c r="R49">
        <v>0.23480000000000001</v>
      </c>
      <c r="S49">
        <v>10</v>
      </c>
      <c r="T49">
        <v>9</v>
      </c>
    </row>
    <row r="50" spans="3:20" ht="15" hidden="1" customHeight="1" x14ac:dyDescent="0.25">
      <c r="C50" s="56"/>
      <c r="D50" s="57"/>
      <c r="E50" s="57"/>
      <c r="F50" s="57"/>
      <c r="G50" s="57"/>
      <c r="H50" s="57"/>
      <c r="I50" s="57"/>
      <c r="J50" s="57"/>
      <c r="K50" s="59" t="str">
        <f t="shared" ref="K50:K68" si="2">CONCATENATE(TEXT(I50,"0.00")," (",TEXT(H50,"0.00")," – ",TEXT(J50,"0.00"),")")</f>
        <v>0.00 (0.00 – 0.00)</v>
      </c>
      <c r="L50" s="16" t="str">
        <f t="shared" ref="L50:L69" si="3">CONCATENATE(TEXT(I50,"0.00"),"
(",TEXT(H50,"0.00")," – ",TEXT(J50,"0.00"),")")</f>
        <v>0.00
(0.00 – 0.00)</v>
      </c>
      <c r="M50" s="57"/>
      <c r="N50" s="59"/>
      <c r="O50" s="16"/>
    </row>
    <row r="51" spans="3:20" ht="15" hidden="1" customHeight="1" x14ac:dyDescent="0.25">
      <c r="C51" s="56"/>
      <c r="D51" s="57"/>
      <c r="E51" s="57"/>
      <c r="F51" s="57"/>
      <c r="G51" s="57"/>
      <c r="H51" s="57"/>
      <c r="I51" s="57"/>
      <c r="J51" s="57"/>
      <c r="K51" s="59" t="str">
        <f t="shared" si="2"/>
        <v>0.00 (0.00 – 0.00)</v>
      </c>
      <c r="L51" s="16" t="str">
        <f t="shared" si="3"/>
        <v>0.00
(0.00 – 0.00)</v>
      </c>
      <c r="M51" s="57"/>
      <c r="N51" s="59"/>
      <c r="O51" s="16"/>
    </row>
    <row r="52" spans="3:20" ht="15" hidden="1" customHeight="1" x14ac:dyDescent="0.25">
      <c r="C52" s="56"/>
      <c r="D52" s="57"/>
      <c r="E52" s="57"/>
      <c r="F52" s="57"/>
      <c r="G52" s="57"/>
      <c r="H52" s="57"/>
      <c r="I52" s="57"/>
      <c r="J52" s="57"/>
      <c r="K52" s="59" t="str">
        <f t="shared" si="2"/>
        <v>0.00 (0.00 – 0.00)</v>
      </c>
      <c r="L52" s="16" t="str">
        <f t="shared" si="3"/>
        <v>0.00
(0.00 – 0.00)</v>
      </c>
      <c r="M52" s="57"/>
      <c r="N52" s="59"/>
      <c r="O52" s="16"/>
    </row>
    <row r="53" spans="3:20" ht="15" hidden="1" customHeight="1" x14ac:dyDescent="0.25">
      <c r="C53" s="56"/>
      <c r="D53" s="57"/>
      <c r="E53" s="57"/>
      <c r="F53" s="57"/>
      <c r="G53" s="57"/>
      <c r="H53" s="57"/>
      <c r="I53" s="57"/>
      <c r="J53" s="57"/>
      <c r="K53" s="59" t="str">
        <f t="shared" si="2"/>
        <v>0.00 (0.00 – 0.00)</v>
      </c>
      <c r="L53" s="16" t="str">
        <f t="shared" si="3"/>
        <v>0.00
(0.00 – 0.00)</v>
      </c>
      <c r="M53" s="57"/>
      <c r="N53" s="59"/>
      <c r="O53" s="16"/>
    </row>
    <row r="54" spans="3:20" ht="15" hidden="1" customHeight="1" x14ac:dyDescent="0.25">
      <c r="C54" s="56"/>
      <c r="D54" s="57"/>
      <c r="E54" s="57"/>
      <c r="F54" s="57"/>
      <c r="G54" s="57"/>
      <c r="H54" s="57"/>
      <c r="I54" s="57"/>
      <c r="J54" s="57"/>
      <c r="K54" s="59" t="str">
        <f t="shared" si="2"/>
        <v>0.00 (0.00 – 0.00)</v>
      </c>
      <c r="L54" s="16" t="str">
        <f t="shared" si="3"/>
        <v>0.00
(0.00 – 0.00)</v>
      </c>
      <c r="M54" s="57"/>
      <c r="N54" s="59"/>
      <c r="O54" s="16"/>
    </row>
    <row r="55" spans="3:20" ht="15" hidden="1" customHeight="1" x14ac:dyDescent="0.25">
      <c r="C55" s="56"/>
      <c r="D55" s="57"/>
      <c r="E55" s="57"/>
      <c r="F55" s="57"/>
      <c r="G55" s="57"/>
      <c r="H55" s="57"/>
      <c r="I55" s="57"/>
      <c r="J55" s="57"/>
      <c r="K55" s="59" t="str">
        <f t="shared" si="2"/>
        <v>0.00 (0.00 – 0.00)</v>
      </c>
      <c r="L55" s="16" t="str">
        <f t="shared" si="3"/>
        <v>0.00
(0.00 – 0.00)</v>
      </c>
      <c r="M55" s="57"/>
      <c r="N55" s="59"/>
      <c r="O55" s="16"/>
    </row>
    <row r="56" spans="3:20" ht="15" hidden="1" customHeight="1" x14ac:dyDescent="0.25">
      <c r="C56" s="56"/>
      <c r="D56" s="57"/>
      <c r="E56" s="57"/>
      <c r="F56" s="57"/>
      <c r="G56" s="57"/>
      <c r="H56" s="57"/>
      <c r="I56" s="57"/>
      <c r="J56" s="57"/>
      <c r="K56" s="59" t="str">
        <f t="shared" si="2"/>
        <v>0.00 (0.00 – 0.00)</v>
      </c>
      <c r="L56" s="16" t="str">
        <f t="shared" si="3"/>
        <v>0.00
(0.00 – 0.00)</v>
      </c>
      <c r="M56" s="57"/>
      <c r="N56" s="59"/>
      <c r="O56" s="16"/>
    </row>
    <row r="57" spans="3:20" ht="15" hidden="1" customHeight="1" x14ac:dyDescent="0.25">
      <c r="C57" s="56"/>
      <c r="D57" s="57"/>
      <c r="E57" s="57"/>
      <c r="F57" s="57"/>
      <c r="G57" s="57"/>
      <c r="H57" s="57"/>
      <c r="I57" s="57"/>
      <c r="J57" s="57"/>
      <c r="K57" s="59" t="str">
        <f t="shared" si="2"/>
        <v>0.00 (0.00 – 0.00)</v>
      </c>
      <c r="L57" s="16" t="str">
        <f t="shared" si="3"/>
        <v>0.00
(0.00 – 0.00)</v>
      </c>
      <c r="M57" s="57"/>
      <c r="N57" s="59"/>
      <c r="O57" s="16"/>
    </row>
    <row r="58" spans="3:20" ht="15" hidden="1" customHeight="1" x14ac:dyDescent="0.25">
      <c r="C58" s="56"/>
      <c r="D58" s="57"/>
      <c r="E58" s="57"/>
      <c r="F58" s="57"/>
      <c r="G58" s="57"/>
      <c r="H58" s="57"/>
      <c r="I58" s="57"/>
      <c r="J58" s="57"/>
      <c r="K58" s="59" t="str">
        <f t="shared" si="2"/>
        <v>0.00 (0.00 – 0.00)</v>
      </c>
      <c r="L58" s="16" t="str">
        <f t="shared" si="3"/>
        <v>0.00
(0.00 – 0.00)</v>
      </c>
      <c r="M58" s="57"/>
      <c r="N58" s="59"/>
      <c r="O58" s="16"/>
    </row>
    <row r="59" spans="3:20" ht="15" hidden="1" customHeight="1" x14ac:dyDescent="0.25">
      <c r="C59" s="56"/>
      <c r="D59" s="57"/>
      <c r="E59" s="57"/>
      <c r="F59" s="57"/>
      <c r="G59" s="57"/>
      <c r="H59" s="57"/>
      <c r="I59" s="57"/>
      <c r="J59" s="57"/>
      <c r="K59" s="59" t="str">
        <f t="shared" si="2"/>
        <v>0.00 (0.00 – 0.00)</v>
      </c>
      <c r="L59" s="16" t="str">
        <f t="shared" si="3"/>
        <v>0.00
(0.00 – 0.00)</v>
      </c>
      <c r="M59" s="57"/>
      <c r="N59" s="59"/>
      <c r="O59" s="16"/>
    </row>
    <row r="60" spans="3:20" ht="15" hidden="1" customHeight="1" x14ac:dyDescent="0.25">
      <c r="C60" s="56"/>
      <c r="D60" s="57"/>
      <c r="E60" s="57"/>
      <c r="F60" s="57"/>
      <c r="G60" s="57"/>
      <c r="H60" s="57"/>
      <c r="I60" s="57"/>
      <c r="J60" s="57"/>
      <c r="K60" s="59" t="str">
        <f t="shared" si="2"/>
        <v>0.00 (0.00 – 0.00)</v>
      </c>
      <c r="L60" s="16" t="str">
        <f t="shared" si="3"/>
        <v>0.00
(0.00 – 0.00)</v>
      </c>
      <c r="M60" s="57"/>
      <c r="N60" s="59"/>
      <c r="O60" s="16"/>
    </row>
    <row r="61" spans="3:20" ht="15" hidden="1" customHeight="1" x14ac:dyDescent="0.25">
      <c r="C61" s="56"/>
      <c r="D61" s="57"/>
      <c r="E61" s="57"/>
      <c r="F61" s="57"/>
      <c r="G61" s="57"/>
      <c r="H61" s="57"/>
      <c r="I61" s="57"/>
      <c r="J61" s="57"/>
      <c r="K61" s="59" t="str">
        <f t="shared" si="2"/>
        <v>0.00 (0.00 – 0.00)</v>
      </c>
      <c r="L61" s="16" t="str">
        <f t="shared" si="3"/>
        <v>0.00
(0.00 – 0.00)</v>
      </c>
      <c r="M61" s="57"/>
      <c r="N61" s="59"/>
      <c r="O61" s="16"/>
    </row>
    <row r="62" spans="3:20" ht="15" hidden="1" customHeight="1" x14ac:dyDescent="0.25">
      <c r="C62" s="56"/>
      <c r="D62" s="57"/>
      <c r="E62" s="57"/>
      <c r="F62" s="57"/>
      <c r="G62" s="57"/>
      <c r="H62" s="57"/>
      <c r="I62" s="57"/>
      <c r="J62" s="57"/>
      <c r="K62" s="59" t="str">
        <f t="shared" si="2"/>
        <v>0.00 (0.00 – 0.00)</v>
      </c>
      <c r="L62" s="16" t="str">
        <f t="shared" si="3"/>
        <v>0.00
(0.00 – 0.00)</v>
      </c>
      <c r="M62" s="57"/>
      <c r="N62" s="59"/>
      <c r="O62" s="16"/>
    </row>
    <row r="63" spans="3:20" ht="15" hidden="1" customHeight="1" x14ac:dyDescent="0.25">
      <c r="C63" s="56"/>
      <c r="D63" s="57"/>
      <c r="E63" s="57"/>
      <c r="F63" s="57"/>
      <c r="G63" s="57"/>
      <c r="H63" s="57"/>
      <c r="I63" s="57"/>
      <c r="J63" s="57"/>
      <c r="K63" s="59" t="str">
        <f t="shared" si="2"/>
        <v>0.00 (0.00 – 0.00)</v>
      </c>
      <c r="L63" s="16" t="str">
        <f t="shared" si="3"/>
        <v>0.00
(0.00 – 0.00)</v>
      </c>
      <c r="M63" s="57"/>
      <c r="N63" s="59"/>
      <c r="O63" s="16"/>
    </row>
    <row r="64" spans="3:20" ht="15" hidden="1" customHeight="1" x14ac:dyDescent="0.25">
      <c r="C64" s="56"/>
      <c r="D64" s="57"/>
      <c r="E64" s="57"/>
      <c r="F64" s="57"/>
      <c r="G64" s="57"/>
      <c r="H64" s="57"/>
      <c r="I64" s="57"/>
      <c r="J64" s="57"/>
      <c r="K64" s="59" t="str">
        <f t="shared" si="2"/>
        <v>0.00 (0.00 – 0.00)</v>
      </c>
      <c r="L64" s="16" t="str">
        <f t="shared" si="3"/>
        <v>0.00
(0.00 – 0.00)</v>
      </c>
      <c r="M64" s="57"/>
      <c r="N64" s="59"/>
      <c r="O64" s="16"/>
    </row>
    <row r="65" spans="3:15" ht="15" hidden="1" customHeight="1" x14ac:dyDescent="0.25">
      <c r="C65" s="56"/>
      <c r="D65" s="57"/>
      <c r="E65" s="57"/>
      <c r="F65" s="57"/>
      <c r="G65" s="57"/>
      <c r="H65" s="57"/>
      <c r="I65" s="57"/>
      <c r="J65" s="57"/>
      <c r="K65" s="59" t="str">
        <f t="shared" si="2"/>
        <v>0.00 (0.00 – 0.00)</v>
      </c>
      <c r="L65" s="16" t="str">
        <f t="shared" si="3"/>
        <v>0.00
(0.00 – 0.00)</v>
      </c>
      <c r="M65" s="57"/>
      <c r="N65" s="59"/>
      <c r="O65" s="16"/>
    </row>
    <row r="66" spans="3:15" ht="15" hidden="1" customHeight="1" x14ac:dyDescent="0.25">
      <c r="C66" s="56"/>
      <c r="D66" s="57"/>
      <c r="E66" s="57"/>
      <c r="F66" s="57"/>
      <c r="G66" s="57"/>
      <c r="H66" s="57"/>
      <c r="I66" s="57"/>
      <c r="J66" s="57"/>
      <c r="K66" s="59" t="str">
        <f t="shared" si="2"/>
        <v>0.00 (0.00 – 0.00)</v>
      </c>
      <c r="L66" s="16" t="str">
        <f t="shared" si="3"/>
        <v>0.00
(0.00 – 0.00)</v>
      </c>
      <c r="M66" s="57"/>
      <c r="N66" s="59"/>
      <c r="O66" s="16"/>
    </row>
    <row r="67" spans="3:15" ht="15" hidden="1" customHeight="1" x14ac:dyDescent="0.25">
      <c r="C67" s="56"/>
      <c r="D67" s="57"/>
      <c r="E67" s="57"/>
      <c r="F67" s="57"/>
      <c r="G67" s="57"/>
      <c r="H67" s="57"/>
      <c r="I67" s="57"/>
      <c r="J67" s="57"/>
      <c r="K67" s="59" t="str">
        <f t="shared" si="2"/>
        <v>0.00 (0.00 – 0.00)</v>
      </c>
      <c r="L67" s="16" t="str">
        <f t="shared" si="3"/>
        <v>0.00
(0.00 – 0.00)</v>
      </c>
      <c r="M67" s="57"/>
      <c r="N67" s="59"/>
      <c r="O67" s="16"/>
    </row>
    <row r="68" spans="3:15" ht="15" hidden="1" customHeight="1" x14ac:dyDescent="0.25">
      <c r="C68" s="56"/>
      <c r="D68" s="57"/>
      <c r="E68" s="57"/>
      <c r="F68" s="57"/>
      <c r="G68" s="57"/>
      <c r="H68" s="57"/>
      <c r="I68" s="57"/>
      <c r="J68" s="57"/>
      <c r="K68" s="59" t="str">
        <f t="shared" si="2"/>
        <v>0.00 (0.00 – 0.00)</v>
      </c>
      <c r="L68" s="16" t="str">
        <f t="shared" si="3"/>
        <v>0.00
(0.00 – 0.00)</v>
      </c>
      <c r="M68" s="57"/>
      <c r="N68" s="59"/>
      <c r="O68" s="16"/>
    </row>
    <row r="69" spans="3:15" ht="15" hidden="1" customHeight="1" x14ac:dyDescent="0.25">
      <c r="C69" s="56"/>
      <c r="D69" s="57"/>
      <c r="E69" s="57"/>
      <c r="F69" s="57"/>
      <c r="G69" s="57"/>
      <c r="H69" s="57"/>
      <c r="I69" s="57"/>
      <c r="J69" s="57"/>
      <c r="K69" s="59" t="str">
        <f t="shared" ref="K69:K132" si="4">CONCATENATE(TEXT(I69,"0.00")," (",TEXT(H69,"0.00")," – ",TEXT(J69,"0.00"),")")</f>
        <v>0.00 (0.00 – 0.00)</v>
      </c>
      <c r="L69" s="16" t="str">
        <f t="shared" si="3"/>
        <v>0.00
(0.00 – 0.00)</v>
      </c>
      <c r="M69" s="57"/>
      <c r="N69" s="59"/>
      <c r="O69" s="16"/>
    </row>
    <row r="70" spans="3:15" ht="15" hidden="1" customHeight="1" x14ac:dyDescent="0.25">
      <c r="C70" s="56"/>
      <c r="D70" s="57"/>
      <c r="E70" s="57"/>
      <c r="F70" s="57"/>
      <c r="G70" s="57"/>
      <c r="H70" s="57"/>
      <c r="I70" s="57"/>
      <c r="J70" s="57"/>
      <c r="K70" s="59" t="str">
        <f t="shared" si="4"/>
        <v>0.00 (0.00 – 0.00)</v>
      </c>
      <c r="L70" s="16" t="str">
        <f t="shared" ref="L70:L133" si="5">CONCATENATE(TEXT(I70,"0.00"),"
(",TEXT(H70,"0.00")," – ",TEXT(J70,"0.00"),")")</f>
        <v>0.00
(0.00 – 0.00)</v>
      </c>
      <c r="M70" s="57"/>
      <c r="N70" s="59"/>
      <c r="O70" s="16"/>
    </row>
    <row r="71" spans="3:15" ht="15" hidden="1" customHeight="1" x14ac:dyDescent="0.25">
      <c r="C71" s="56"/>
      <c r="D71" s="57"/>
      <c r="E71" s="57"/>
      <c r="F71" s="57"/>
      <c r="G71" s="57"/>
      <c r="H71" s="57"/>
      <c r="I71" s="57"/>
      <c r="J71" s="57"/>
      <c r="K71" s="59" t="str">
        <f t="shared" si="4"/>
        <v>0.00 (0.00 – 0.00)</v>
      </c>
      <c r="L71" s="16" t="str">
        <f t="shared" si="5"/>
        <v>0.00
(0.00 – 0.00)</v>
      </c>
      <c r="M71" s="57"/>
      <c r="N71" s="59"/>
      <c r="O71" s="16"/>
    </row>
    <row r="72" spans="3:15" ht="15" hidden="1" customHeight="1" x14ac:dyDescent="0.25">
      <c r="C72" s="56"/>
      <c r="D72" s="57"/>
      <c r="E72" s="57"/>
      <c r="F72" s="57"/>
      <c r="G72" s="57"/>
      <c r="H72" s="57"/>
      <c r="I72" s="57"/>
      <c r="J72" s="57"/>
      <c r="K72" s="59" t="str">
        <f t="shared" si="4"/>
        <v>0.00 (0.00 – 0.00)</v>
      </c>
      <c r="L72" s="16" t="str">
        <f t="shared" si="5"/>
        <v>0.00
(0.00 – 0.00)</v>
      </c>
      <c r="M72" s="57"/>
      <c r="N72" s="59"/>
      <c r="O72" s="16"/>
    </row>
    <row r="73" spans="3:15" ht="15" hidden="1" customHeight="1" x14ac:dyDescent="0.25">
      <c r="C73" s="56"/>
      <c r="D73" s="57"/>
      <c r="E73" s="57"/>
      <c r="F73" s="57"/>
      <c r="G73" s="57"/>
      <c r="H73" s="57"/>
      <c r="I73" s="57"/>
      <c r="J73" s="57"/>
      <c r="K73" s="59" t="str">
        <f t="shared" si="4"/>
        <v>0.00 (0.00 – 0.00)</v>
      </c>
      <c r="L73" s="16" t="str">
        <f t="shared" si="5"/>
        <v>0.00
(0.00 – 0.00)</v>
      </c>
      <c r="M73" s="57"/>
      <c r="N73" s="59"/>
      <c r="O73" s="16"/>
    </row>
    <row r="74" spans="3:15" ht="15" hidden="1" customHeight="1" x14ac:dyDescent="0.25">
      <c r="C74" s="56"/>
      <c r="D74" s="57"/>
      <c r="E74" s="57"/>
      <c r="F74" s="57"/>
      <c r="G74" s="57"/>
      <c r="H74" s="57"/>
      <c r="I74" s="57"/>
      <c r="J74" s="57"/>
      <c r="K74" s="59" t="str">
        <f t="shared" si="4"/>
        <v>0.00 (0.00 – 0.00)</v>
      </c>
      <c r="L74" s="16" t="str">
        <f t="shared" si="5"/>
        <v>0.00
(0.00 – 0.00)</v>
      </c>
      <c r="M74" s="57"/>
      <c r="N74" s="59"/>
      <c r="O74" s="16"/>
    </row>
    <row r="75" spans="3:15" ht="15" hidden="1" customHeight="1" x14ac:dyDescent="0.25">
      <c r="C75" s="56"/>
      <c r="D75" s="57"/>
      <c r="E75" s="57"/>
      <c r="F75" s="57"/>
      <c r="G75" s="57"/>
      <c r="H75" s="57"/>
      <c r="I75" s="57"/>
      <c r="J75" s="57"/>
      <c r="K75" s="59" t="str">
        <f t="shared" si="4"/>
        <v>0.00 (0.00 – 0.00)</v>
      </c>
      <c r="L75" s="16" t="str">
        <f t="shared" si="5"/>
        <v>0.00
(0.00 – 0.00)</v>
      </c>
      <c r="M75" s="57"/>
      <c r="N75" s="59"/>
      <c r="O75" s="16"/>
    </row>
    <row r="76" spans="3:15" ht="15" hidden="1" customHeight="1" x14ac:dyDescent="0.25">
      <c r="C76" s="56"/>
      <c r="D76" s="57"/>
      <c r="E76" s="57"/>
      <c r="F76" s="57"/>
      <c r="G76" s="57"/>
      <c r="H76" s="57"/>
      <c r="I76" s="57"/>
      <c r="J76" s="57"/>
      <c r="K76" s="59" t="str">
        <f t="shared" si="4"/>
        <v>0.00 (0.00 – 0.00)</v>
      </c>
      <c r="L76" s="16" t="str">
        <f t="shared" si="5"/>
        <v>0.00
(0.00 – 0.00)</v>
      </c>
      <c r="M76" s="57"/>
      <c r="N76" s="59"/>
      <c r="O76" s="16"/>
    </row>
    <row r="77" spans="3:15" ht="15" hidden="1" customHeight="1" x14ac:dyDescent="0.25">
      <c r="C77" s="56"/>
      <c r="D77" s="57"/>
      <c r="E77" s="57"/>
      <c r="F77" s="57"/>
      <c r="G77" s="57"/>
      <c r="H77" s="57"/>
      <c r="I77" s="57"/>
      <c r="J77" s="57"/>
      <c r="K77" s="59" t="str">
        <f t="shared" si="4"/>
        <v>0.00 (0.00 – 0.00)</v>
      </c>
      <c r="L77" s="16" t="str">
        <f t="shared" si="5"/>
        <v>0.00
(0.00 – 0.00)</v>
      </c>
      <c r="M77" s="57"/>
      <c r="N77" s="59"/>
      <c r="O77" s="16"/>
    </row>
    <row r="78" spans="3:15" ht="15" hidden="1" customHeight="1" x14ac:dyDescent="0.25">
      <c r="C78" s="56"/>
      <c r="D78" s="57"/>
      <c r="E78" s="57"/>
      <c r="F78" s="57"/>
      <c r="G78" s="57"/>
      <c r="H78" s="57"/>
      <c r="I78" s="57"/>
      <c r="J78" s="57"/>
      <c r="K78" s="59" t="str">
        <f t="shared" si="4"/>
        <v>0.00 (0.00 – 0.00)</v>
      </c>
      <c r="L78" s="16" t="str">
        <f t="shared" si="5"/>
        <v>0.00
(0.00 – 0.00)</v>
      </c>
      <c r="M78" s="57"/>
      <c r="N78" s="59"/>
      <c r="O78" s="16"/>
    </row>
    <row r="79" spans="3:15" ht="15" hidden="1" customHeight="1" x14ac:dyDescent="0.25">
      <c r="C79" s="56"/>
      <c r="D79" s="57"/>
      <c r="E79" s="57"/>
      <c r="F79" s="57"/>
      <c r="G79" s="57"/>
      <c r="H79" s="57"/>
      <c r="I79" s="57"/>
      <c r="J79" s="57"/>
      <c r="K79" s="59" t="str">
        <f t="shared" si="4"/>
        <v>0.00 (0.00 – 0.00)</v>
      </c>
      <c r="L79" s="16" t="str">
        <f t="shared" si="5"/>
        <v>0.00
(0.00 – 0.00)</v>
      </c>
      <c r="M79" s="57"/>
      <c r="N79" s="59"/>
      <c r="O79" s="16"/>
    </row>
    <row r="80" spans="3:15" ht="15" hidden="1" customHeight="1" x14ac:dyDescent="0.25">
      <c r="C80" s="56"/>
      <c r="D80" s="57"/>
      <c r="E80" s="57"/>
      <c r="F80" s="57"/>
      <c r="G80" s="57"/>
      <c r="H80" s="57"/>
      <c r="I80" s="57"/>
      <c r="J80" s="57"/>
      <c r="K80" s="59" t="str">
        <f t="shared" si="4"/>
        <v>0.00 (0.00 – 0.00)</v>
      </c>
      <c r="L80" s="16" t="str">
        <f t="shared" si="5"/>
        <v>0.00
(0.00 – 0.00)</v>
      </c>
      <c r="M80" s="57"/>
      <c r="N80" s="59"/>
      <c r="O80" s="16"/>
    </row>
    <row r="81" spans="3:15" ht="15" hidden="1" customHeight="1" x14ac:dyDescent="0.25">
      <c r="C81" s="56"/>
      <c r="D81" s="57"/>
      <c r="E81" s="57"/>
      <c r="F81" s="57"/>
      <c r="G81" s="57"/>
      <c r="H81" s="57"/>
      <c r="I81" s="57"/>
      <c r="J81" s="57"/>
      <c r="K81" s="59" t="str">
        <f t="shared" si="4"/>
        <v>0.00 (0.00 – 0.00)</v>
      </c>
      <c r="L81" s="16" t="str">
        <f t="shared" si="5"/>
        <v>0.00
(0.00 – 0.00)</v>
      </c>
      <c r="M81" s="57"/>
      <c r="N81" s="59"/>
      <c r="O81" s="16"/>
    </row>
    <row r="82" spans="3:15" ht="15" hidden="1" customHeight="1" x14ac:dyDescent="0.25">
      <c r="C82" s="56"/>
      <c r="D82" s="57"/>
      <c r="E82" s="57"/>
      <c r="F82" s="57"/>
      <c r="G82" s="57"/>
      <c r="H82" s="57"/>
      <c r="I82" s="57"/>
      <c r="J82" s="57"/>
      <c r="K82" s="59" t="str">
        <f t="shared" si="4"/>
        <v>0.00 (0.00 – 0.00)</v>
      </c>
      <c r="L82" s="16" t="str">
        <f t="shared" si="5"/>
        <v>0.00
(0.00 – 0.00)</v>
      </c>
      <c r="M82" s="57"/>
      <c r="N82" s="59"/>
      <c r="O82" s="16"/>
    </row>
    <row r="83" spans="3:15" ht="15" hidden="1" customHeight="1" x14ac:dyDescent="0.25">
      <c r="C83" s="56"/>
      <c r="D83" s="57"/>
      <c r="E83" s="57"/>
      <c r="F83" s="57"/>
      <c r="G83" s="57"/>
      <c r="H83" s="57"/>
      <c r="I83" s="57"/>
      <c r="J83" s="57"/>
      <c r="K83" s="59" t="str">
        <f t="shared" si="4"/>
        <v>0.00 (0.00 – 0.00)</v>
      </c>
      <c r="L83" s="16" t="str">
        <f t="shared" si="5"/>
        <v>0.00
(0.00 – 0.00)</v>
      </c>
      <c r="M83" s="57"/>
      <c r="N83" s="59"/>
      <c r="O83" s="16"/>
    </row>
    <row r="84" spans="3:15" ht="15" hidden="1" customHeight="1" x14ac:dyDescent="0.25">
      <c r="C84" s="56"/>
      <c r="D84" s="57"/>
      <c r="E84" s="57"/>
      <c r="F84" s="57"/>
      <c r="G84" s="57"/>
      <c r="H84" s="57"/>
      <c r="I84" s="57"/>
      <c r="J84" s="57"/>
      <c r="K84" s="59" t="str">
        <f t="shared" si="4"/>
        <v>0.00 (0.00 – 0.00)</v>
      </c>
      <c r="L84" s="16" t="str">
        <f t="shared" si="5"/>
        <v>0.00
(0.00 – 0.00)</v>
      </c>
      <c r="M84" s="57"/>
      <c r="N84" s="59"/>
      <c r="O84" s="16"/>
    </row>
    <row r="85" spans="3:15" ht="15" hidden="1" customHeight="1" x14ac:dyDescent="0.25">
      <c r="C85" s="56"/>
      <c r="D85" s="57"/>
      <c r="E85" s="57"/>
      <c r="F85" s="57"/>
      <c r="G85" s="57"/>
      <c r="H85" s="57"/>
      <c r="I85" s="57"/>
      <c r="J85" s="57"/>
      <c r="K85" s="59" t="str">
        <f t="shared" si="4"/>
        <v>0.00 (0.00 – 0.00)</v>
      </c>
      <c r="L85" s="16" t="str">
        <f t="shared" si="5"/>
        <v>0.00
(0.00 – 0.00)</v>
      </c>
      <c r="M85" s="57"/>
      <c r="N85" s="59"/>
      <c r="O85" s="16"/>
    </row>
    <row r="86" spans="3:15" ht="15" hidden="1" customHeight="1" x14ac:dyDescent="0.25">
      <c r="C86" s="56"/>
      <c r="D86" s="57"/>
      <c r="E86" s="57"/>
      <c r="F86" s="57"/>
      <c r="G86" s="57"/>
      <c r="H86" s="57"/>
      <c r="I86" s="57"/>
      <c r="J86" s="57"/>
      <c r="K86" s="59" t="str">
        <f t="shared" si="4"/>
        <v>0.00 (0.00 – 0.00)</v>
      </c>
      <c r="L86" s="16" t="str">
        <f t="shared" si="5"/>
        <v>0.00
(0.00 – 0.00)</v>
      </c>
      <c r="M86" s="57"/>
      <c r="N86" s="59"/>
      <c r="O86" s="16"/>
    </row>
    <row r="87" spans="3:15" ht="15" hidden="1" customHeight="1" x14ac:dyDescent="0.25">
      <c r="C87" s="56"/>
      <c r="D87" s="57"/>
      <c r="E87" s="57"/>
      <c r="F87" s="57"/>
      <c r="G87" s="57"/>
      <c r="H87" s="57"/>
      <c r="I87" s="57"/>
      <c r="J87" s="57"/>
      <c r="K87" s="59" t="str">
        <f t="shared" si="4"/>
        <v>0.00 (0.00 – 0.00)</v>
      </c>
      <c r="L87" s="16" t="str">
        <f t="shared" si="5"/>
        <v>0.00
(0.00 – 0.00)</v>
      </c>
      <c r="M87" s="57"/>
      <c r="N87" s="59"/>
      <c r="O87" s="16"/>
    </row>
    <row r="88" spans="3:15" ht="15" hidden="1" customHeight="1" x14ac:dyDescent="0.25">
      <c r="C88" s="56"/>
      <c r="D88" s="57"/>
      <c r="E88" s="57"/>
      <c r="F88" s="57"/>
      <c r="G88" s="57"/>
      <c r="H88" s="57"/>
      <c r="I88" s="57"/>
      <c r="J88" s="57"/>
      <c r="K88" s="59" t="str">
        <f t="shared" si="4"/>
        <v>0.00 (0.00 – 0.00)</v>
      </c>
      <c r="L88" s="16" t="str">
        <f t="shared" si="5"/>
        <v>0.00
(0.00 – 0.00)</v>
      </c>
      <c r="M88" s="57"/>
      <c r="N88" s="59"/>
      <c r="O88" s="16"/>
    </row>
    <row r="89" spans="3:15" ht="15" hidden="1" customHeight="1" x14ac:dyDescent="0.25">
      <c r="C89" s="56"/>
      <c r="D89" s="57"/>
      <c r="E89" s="57"/>
      <c r="F89" s="57"/>
      <c r="G89" s="57"/>
      <c r="H89" s="57"/>
      <c r="I89" s="57"/>
      <c r="J89" s="57"/>
      <c r="K89" s="59" t="str">
        <f t="shared" si="4"/>
        <v>0.00 (0.00 – 0.00)</v>
      </c>
      <c r="L89" s="16" t="str">
        <f t="shared" si="5"/>
        <v>0.00
(0.00 – 0.00)</v>
      </c>
      <c r="M89" s="57"/>
      <c r="N89" s="59"/>
      <c r="O89" s="16"/>
    </row>
    <row r="90" spans="3:15" ht="15" hidden="1" customHeight="1" x14ac:dyDescent="0.25">
      <c r="C90" s="56"/>
      <c r="D90" s="57"/>
      <c r="E90" s="57"/>
      <c r="F90" s="57"/>
      <c r="G90" s="57"/>
      <c r="H90" s="57"/>
      <c r="I90" s="57"/>
      <c r="J90" s="57"/>
      <c r="K90" s="59" t="str">
        <f t="shared" si="4"/>
        <v>0.00 (0.00 – 0.00)</v>
      </c>
      <c r="L90" s="16" t="str">
        <f t="shared" si="5"/>
        <v>0.00
(0.00 – 0.00)</v>
      </c>
      <c r="M90" s="57"/>
      <c r="N90" s="59"/>
      <c r="O90" s="16"/>
    </row>
    <row r="91" spans="3:15" ht="15" hidden="1" customHeight="1" x14ac:dyDescent="0.25">
      <c r="C91" s="56"/>
      <c r="D91" s="57"/>
      <c r="E91" s="57"/>
      <c r="F91" s="57"/>
      <c r="G91" s="57"/>
      <c r="H91" s="57"/>
      <c r="I91" s="57"/>
      <c r="J91" s="57"/>
      <c r="K91" s="59" t="str">
        <f t="shared" si="4"/>
        <v>0.00 (0.00 – 0.00)</v>
      </c>
      <c r="L91" s="16" t="str">
        <f t="shared" si="5"/>
        <v>0.00
(0.00 – 0.00)</v>
      </c>
      <c r="M91" s="57"/>
      <c r="N91" s="59"/>
      <c r="O91" s="16"/>
    </row>
    <row r="92" spans="3:15" ht="15" hidden="1" customHeight="1" x14ac:dyDescent="0.25">
      <c r="C92" s="56"/>
      <c r="D92" s="57"/>
      <c r="E92" s="57"/>
      <c r="F92" s="57"/>
      <c r="G92" s="57"/>
      <c r="H92" s="57"/>
      <c r="I92" s="57"/>
      <c r="J92" s="57"/>
      <c r="K92" s="59" t="str">
        <f t="shared" si="4"/>
        <v>0.00 (0.00 – 0.00)</v>
      </c>
      <c r="L92" s="16" t="str">
        <f t="shared" si="5"/>
        <v>0.00
(0.00 – 0.00)</v>
      </c>
      <c r="M92" s="57"/>
      <c r="N92" s="59"/>
      <c r="O92" s="16"/>
    </row>
    <row r="93" spans="3:15" ht="15" hidden="1" customHeight="1" x14ac:dyDescent="0.25">
      <c r="C93" s="56"/>
      <c r="D93" s="57"/>
      <c r="E93" s="57"/>
      <c r="F93" s="57"/>
      <c r="G93" s="57"/>
      <c r="H93" s="57"/>
      <c r="I93" s="57"/>
      <c r="J93" s="57"/>
      <c r="K93" s="59" t="str">
        <f t="shared" si="4"/>
        <v>0.00 (0.00 – 0.00)</v>
      </c>
      <c r="L93" s="16" t="str">
        <f t="shared" si="5"/>
        <v>0.00
(0.00 – 0.00)</v>
      </c>
      <c r="M93" s="57"/>
      <c r="N93" s="59"/>
      <c r="O93" s="16"/>
    </row>
    <row r="94" spans="3:15" ht="15" hidden="1" customHeight="1" x14ac:dyDescent="0.25">
      <c r="C94" s="56"/>
      <c r="D94" s="57"/>
      <c r="E94" s="57"/>
      <c r="F94" s="57"/>
      <c r="G94" s="57"/>
      <c r="H94" s="57"/>
      <c r="I94" s="57"/>
      <c r="J94" s="57"/>
      <c r="K94" s="59" t="str">
        <f t="shared" si="4"/>
        <v>0.00 (0.00 – 0.00)</v>
      </c>
      <c r="L94" s="16" t="str">
        <f t="shared" si="5"/>
        <v>0.00
(0.00 – 0.00)</v>
      </c>
      <c r="M94" s="57"/>
      <c r="N94" s="59"/>
      <c r="O94" s="16"/>
    </row>
    <row r="95" spans="3:15" ht="15" hidden="1" customHeight="1" x14ac:dyDescent="0.25">
      <c r="C95" s="56"/>
      <c r="D95" s="57"/>
      <c r="E95" s="57"/>
      <c r="F95" s="57"/>
      <c r="G95" s="57"/>
      <c r="H95" s="57"/>
      <c r="I95" s="57"/>
      <c r="J95" s="57"/>
      <c r="K95" s="59" t="str">
        <f t="shared" si="4"/>
        <v>0.00 (0.00 – 0.00)</v>
      </c>
      <c r="L95" s="16" t="str">
        <f t="shared" si="5"/>
        <v>0.00
(0.00 – 0.00)</v>
      </c>
      <c r="M95" s="57"/>
      <c r="N95" s="59"/>
      <c r="O95" s="16"/>
    </row>
    <row r="96" spans="3:15" ht="15" hidden="1" customHeight="1" x14ac:dyDescent="0.25">
      <c r="C96" s="56"/>
      <c r="D96" s="57"/>
      <c r="E96" s="57"/>
      <c r="F96" s="57"/>
      <c r="G96" s="57"/>
      <c r="H96" s="57"/>
      <c r="I96" s="57"/>
      <c r="J96" s="57"/>
      <c r="K96" s="59" t="str">
        <f t="shared" si="4"/>
        <v>0.00 (0.00 – 0.00)</v>
      </c>
      <c r="L96" s="16" t="str">
        <f t="shared" si="5"/>
        <v>0.00
(0.00 – 0.00)</v>
      </c>
      <c r="M96" s="57"/>
      <c r="N96" s="59"/>
      <c r="O96" s="16"/>
    </row>
    <row r="97" spans="3:15" ht="15" hidden="1" customHeight="1" x14ac:dyDescent="0.25">
      <c r="C97" s="56"/>
      <c r="D97" s="57"/>
      <c r="E97" s="57"/>
      <c r="F97" s="57"/>
      <c r="G97" s="57"/>
      <c r="H97" s="57"/>
      <c r="I97" s="57"/>
      <c r="J97" s="57"/>
      <c r="K97" s="59" t="str">
        <f t="shared" si="4"/>
        <v>0.00 (0.00 – 0.00)</v>
      </c>
      <c r="L97" s="16" t="str">
        <f t="shared" si="5"/>
        <v>0.00
(0.00 – 0.00)</v>
      </c>
      <c r="M97" s="57"/>
      <c r="N97" s="59"/>
      <c r="O97" s="16"/>
    </row>
    <row r="98" spans="3:15" ht="15" hidden="1" customHeight="1" x14ac:dyDescent="0.25">
      <c r="C98" s="56"/>
      <c r="D98" s="57"/>
      <c r="E98" s="57"/>
      <c r="F98" s="57"/>
      <c r="G98" s="57"/>
      <c r="H98" s="57"/>
      <c r="I98" s="57"/>
      <c r="J98" s="57"/>
      <c r="K98" s="59" t="str">
        <f t="shared" si="4"/>
        <v>0.00 (0.00 – 0.00)</v>
      </c>
      <c r="L98" s="16" t="str">
        <f t="shared" si="5"/>
        <v>0.00
(0.00 – 0.00)</v>
      </c>
      <c r="M98" s="57"/>
      <c r="N98" s="59"/>
      <c r="O98" s="16"/>
    </row>
    <row r="99" spans="3:15" ht="15" hidden="1" customHeight="1" x14ac:dyDescent="0.25">
      <c r="C99" s="56"/>
      <c r="D99" s="57"/>
      <c r="E99" s="57"/>
      <c r="F99" s="57"/>
      <c r="G99" s="57"/>
      <c r="H99" s="57"/>
      <c r="I99" s="57"/>
      <c r="J99" s="57"/>
      <c r="K99" s="59" t="str">
        <f t="shared" si="4"/>
        <v>0.00 (0.00 – 0.00)</v>
      </c>
      <c r="L99" s="16" t="str">
        <f t="shared" si="5"/>
        <v>0.00
(0.00 – 0.00)</v>
      </c>
      <c r="M99" s="57"/>
      <c r="N99" s="59"/>
      <c r="O99" s="16"/>
    </row>
    <row r="100" spans="3:15" ht="15" hidden="1" customHeight="1" x14ac:dyDescent="0.25">
      <c r="C100" s="56"/>
      <c r="D100" s="57"/>
      <c r="E100" s="57"/>
      <c r="F100" s="57"/>
      <c r="G100" s="57"/>
      <c r="H100" s="57"/>
      <c r="I100" s="57"/>
      <c r="J100" s="57"/>
      <c r="K100" s="59" t="str">
        <f t="shared" si="4"/>
        <v>0.00 (0.00 – 0.00)</v>
      </c>
      <c r="L100" s="16" t="str">
        <f t="shared" si="5"/>
        <v>0.00
(0.00 – 0.00)</v>
      </c>
      <c r="M100" s="57"/>
      <c r="N100" s="59"/>
      <c r="O100" s="16"/>
    </row>
    <row r="101" spans="3:15" ht="15" hidden="1" customHeight="1" x14ac:dyDescent="0.25">
      <c r="C101" s="56"/>
      <c r="D101" s="57"/>
      <c r="E101" s="57"/>
      <c r="F101" s="57"/>
      <c r="G101" s="57"/>
      <c r="H101" s="57"/>
      <c r="I101" s="57"/>
      <c r="J101" s="57"/>
      <c r="K101" s="59" t="str">
        <f t="shared" si="4"/>
        <v>0.00 (0.00 – 0.00)</v>
      </c>
      <c r="L101" s="16" t="str">
        <f t="shared" si="5"/>
        <v>0.00
(0.00 – 0.00)</v>
      </c>
      <c r="M101" s="57"/>
      <c r="N101" s="59"/>
      <c r="O101" s="16"/>
    </row>
    <row r="102" spans="3:15" ht="15" hidden="1" customHeight="1" x14ac:dyDescent="0.25">
      <c r="C102" s="56"/>
      <c r="D102" s="57"/>
      <c r="E102" s="57"/>
      <c r="F102" s="57"/>
      <c r="G102" s="57"/>
      <c r="H102" s="57"/>
      <c r="I102" s="57"/>
      <c r="J102" s="57"/>
      <c r="K102" s="59" t="str">
        <f t="shared" si="4"/>
        <v>0.00 (0.00 – 0.00)</v>
      </c>
      <c r="L102" s="16" t="str">
        <f t="shared" si="5"/>
        <v>0.00
(0.00 – 0.00)</v>
      </c>
      <c r="M102" s="57"/>
      <c r="N102" s="59"/>
      <c r="O102" s="16"/>
    </row>
    <row r="103" spans="3:15" ht="15" hidden="1" customHeight="1" x14ac:dyDescent="0.25">
      <c r="C103" s="56"/>
      <c r="D103" s="57"/>
      <c r="E103" s="57"/>
      <c r="F103" s="57"/>
      <c r="G103" s="57"/>
      <c r="H103" s="57"/>
      <c r="I103" s="57"/>
      <c r="J103" s="57"/>
      <c r="K103" s="59" t="str">
        <f t="shared" si="4"/>
        <v>0.00 (0.00 – 0.00)</v>
      </c>
      <c r="L103" s="16" t="str">
        <f t="shared" si="5"/>
        <v>0.00
(0.00 – 0.00)</v>
      </c>
      <c r="M103" s="57"/>
      <c r="N103" s="59"/>
      <c r="O103" s="16"/>
    </row>
    <row r="104" spans="3:15" ht="15" hidden="1" customHeight="1" x14ac:dyDescent="0.25">
      <c r="C104" s="56"/>
      <c r="D104" s="57"/>
      <c r="E104" s="57"/>
      <c r="F104" s="57"/>
      <c r="G104" s="57"/>
      <c r="H104" s="57"/>
      <c r="I104" s="57"/>
      <c r="J104" s="57"/>
      <c r="K104" s="59" t="str">
        <f t="shared" si="4"/>
        <v>0.00 (0.00 – 0.00)</v>
      </c>
      <c r="L104" s="16" t="str">
        <f t="shared" si="5"/>
        <v>0.00
(0.00 – 0.00)</v>
      </c>
      <c r="M104" s="57"/>
      <c r="N104" s="59"/>
      <c r="O104" s="16"/>
    </row>
    <row r="105" spans="3:15" ht="15" hidden="1" customHeight="1" x14ac:dyDescent="0.25">
      <c r="C105" s="56"/>
      <c r="D105" s="57"/>
      <c r="E105" s="57"/>
      <c r="F105" s="57"/>
      <c r="G105" s="57"/>
      <c r="H105" s="57"/>
      <c r="I105" s="57"/>
      <c r="J105" s="57"/>
      <c r="K105" s="59" t="str">
        <f t="shared" si="4"/>
        <v>0.00 (0.00 – 0.00)</v>
      </c>
      <c r="L105" s="16" t="str">
        <f t="shared" si="5"/>
        <v>0.00
(0.00 – 0.00)</v>
      </c>
      <c r="M105" s="57"/>
      <c r="N105" s="59"/>
      <c r="O105" s="16"/>
    </row>
    <row r="106" spans="3:15" ht="15" hidden="1" customHeight="1" x14ac:dyDescent="0.25">
      <c r="C106" s="56"/>
      <c r="D106" s="57"/>
      <c r="E106" s="57"/>
      <c r="F106" s="57"/>
      <c r="G106" s="57"/>
      <c r="H106" s="57"/>
      <c r="I106" s="57"/>
      <c r="J106" s="57"/>
      <c r="K106" s="59" t="str">
        <f t="shared" si="4"/>
        <v>0.00 (0.00 – 0.00)</v>
      </c>
      <c r="L106" s="16" t="str">
        <f t="shared" si="5"/>
        <v>0.00
(0.00 – 0.00)</v>
      </c>
      <c r="M106" s="57"/>
      <c r="N106" s="59"/>
      <c r="O106" s="16"/>
    </row>
    <row r="107" spans="3:15" ht="15" hidden="1" customHeight="1" x14ac:dyDescent="0.25">
      <c r="C107" s="56"/>
      <c r="D107" s="57"/>
      <c r="E107" s="57"/>
      <c r="F107" s="57"/>
      <c r="G107" s="57"/>
      <c r="H107" s="57"/>
      <c r="I107" s="57"/>
      <c r="J107" s="57"/>
      <c r="K107" s="59" t="str">
        <f t="shared" si="4"/>
        <v>0.00 (0.00 – 0.00)</v>
      </c>
      <c r="L107" s="16" t="str">
        <f t="shared" si="5"/>
        <v>0.00
(0.00 – 0.00)</v>
      </c>
      <c r="M107" s="57"/>
      <c r="N107" s="59"/>
      <c r="O107" s="16"/>
    </row>
    <row r="108" spans="3:15" ht="15" hidden="1" customHeight="1" x14ac:dyDescent="0.25">
      <c r="C108" s="56"/>
      <c r="D108" s="57"/>
      <c r="E108" s="57"/>
      <c r="F108" s="57"/>
      <c r="G108" s="57"/>
      <c r="H108" s="57"/>
      <c r="I108" s="57"/>
      <c r="J108" s="57"/>
      <c r="K108" s="59" t="str">
        <f t="shared" si="4"/>
        <v>0.00 (0.00 – 0.00)</v>
      </c>
      <c r="L108" s="16" t="str">
        <f t="shared" si="5"/>
        <v>0.00
(0.00 – 0.00)</v>
      </c>
      <c r="M108" s="57"/>
      <c r="N108" s="59"/>
      <c r="O108" s="16"/>
    </row>
    <row r="109" spans="3:15" ht="15" hidden="1" customHeight="1" x14ac:dyDescent="0.25">
      <c r="C109" s="56"/>
      <c r="D109" s="57"/>
      <c r="E109" s="57"/>
      <c r="F109" s="57"/>
      <c r="G109" s="57"/>
      <c r="H109" s="57"/>
      <c r="I109" s="57"/>
      <c r="J109" s="57"/>
      <c r="K109" s="59" t="str">
        <f t="shared" si="4"/>
        <v>0.00 (0.00 – 0.00)</v>
      </c>
      <c r="L109" s="16" t="str">
        <f t="shared" si="5"/>
        <v>0.00
(0.00 – 0.00)</v>
      </c>
      <c r="M109" s="57"/>
      <c r="N109" s="59"/>
      <c r="O109" s="16"/>
    </row>
    <row r="110" spans="3:15" ht="15" hidden="1" customHeight="1" x14ac:dyDescent="0.25">
      <c r="C110" s="56"/>
      <c r="D110" s="57"/>
      <c r="E110" s="57"/>
      <c r="F110" s="57"/>
      <c r="G110" s="57"/>
      <c r="H110" s="57"/>
      <c r="I110" s="57"/>
      <c r="J110" s="57"/>
      <c r="K110" s="59" t="str">
        <f t="shared" si="4"/>
        <v>0.00 (0.00 – 0.00)</v>
      </c>
      <c r="L110" s="16" t="str">
        <f t="shared" si="5"/>
        <v>0.00
(0.00 – 0.00)</v>
      </c>
      <c r="M110" s="57"/>
      <c r="N110" s="59"/>
      <c r="O110" s="16"/>
    </row>
    <row r="111" spans="3:15" ht="15" hidden="1" customHeight="1" x14ac:dyDescent="0.25">
      <c r="C111" s="56"/>
      <c r="D111" s="57"/>
      <c r="E111" s="57"/>
      <c r="F111" s="57"/>
      <c r="G111" s="57"/>
      <c r="H111" s="57"/>
      <c r="I111" s="57"/>
      <c r="J111" s="57"/>
      <c r="K111" s="59" t="str">
        <f t="shared" si="4"/>
        <v>0.00 (0.00 – 0.00)</v>
      </c>
      <c r="L111" s="16" t="str">
        <f t="shared" si="5"/>
        <v>0.00
(0.00 – 0.00)</v>
      </c>
      <c r="M111" s="57"/>
      <c r="N111" s="59"/>
      <c r="O111" s="16"/>
    </row>
    <row r="112" spans="3:15" ht="15" hidden="1" customHeight="1" x14ac:dyDescent="0.25">
      <c r="C112" s="56"/>
      <c r="D112" s="57"/>
      <c r="E112" s="57"/>
      <c r="F112" s="57"/>
      <c r="G112" s="57"/>
      <c r="H112" s="57"/>
      <c r="I112" s="57"/>
      <c r="J112" s="57"/>
      <c r="K112" s="59" t="str">
        <f t="shared" si="4"/>
        <v>0.00 (0.00 – 0.00)</v>
      </c>
      <c r="L112" s="16" t="str">
        <f t="shared" si="5"/>
        <v>0.00
(0.00 – 0.00)</v>
      </c>
      <c r="M112" s="57"/>
      <c r="N112" s="59"/>
      <c r="O112" s="16"/>
    </row>
    <row r="113" spans="3:15" ht="15" hidden="1" customHeight="1" x14ac:dyDescent="0.25">
      <c r="C113" s="56"/>
      <c r="D113" s="57"/>
      <c r="E113" s="57"/>
      <c r="F113" s="57"/>
      <c r="G113" s="57"/>
      <c r="H113" s="57"/>
      <c r="I113" s="57"/>
      <c r="J113" s="57"/>
      <c r="K113" s="59" t="str">
        <f t="shared" si="4"/>
        <v>0.00 (0.00 – 0.00)</v>
      </c>
      <c r="L113" s="16" t="str">
        <f t="shared" si="5"/>
        <v>0.00
(0.00 – 0.00)</v>
      </c>
      <c r="M113" s="57"/>
      <c r="N113" s="59"/>
      <c r="O113" s="16"/>
    </row>
    <row r="114" spans="3:15" ht="15" hidden="1" customHeight="1" x14ac:dyDescent="0.25">
      <c r="C114" s="56"/>
      <c r="D114" s="57"/>
      <c r="E114" s="57"/>
      <c r="F114" s="57"/>
      <c r="G114" s="57"/>
      <c r="H114" s="57"/>
      <c r="I114" s="57"/>
      <c r="J114" s="57"/>
      <c r="K114" s="59" t="str">
        <f t="shared" si="4"/>
        <v>0.00 (0.00 – 0.00)</v>
      </c>
      <c r="L114" s="16" t="str">
        <f t="shared" si="5"/>
        <v>0.00
(0.00 – 0.00)</v>
      </c>
      <c r="M114" s="57"/>
      <c r="N114" s="59"/>
      <c r="O114" s="16"/>
    </row>
    <row r="115" spans="3:15" ht="15" hidden="1" customHeight="1" x14ac:dyDescent="0.25">
      <c r="C115" s="56"/>
      <c r="D115" s="57"/>
      <c r="E115" s="57"/>
      <c r="F115" s="57"/>
      <c r="G115" s="57"/>
      <c r="H115" s="57"/>
      <c r="I115" s="57"/>
      <c r="J115" s="57"/>
      <c r="K115" s="59" t="str">
        <f t="shared" si="4"/>
        <v>0.00 (0.00 – 0.00)</v>
      </c>
      <c r="L115" s="16" t="str">
        <f t="shared" si="5"/>
        <v>0.00
(0.00 – 0.00)</v>
      </c>
      <c r="M115" s="57"/>
      <c r="N115" s="59"/>
      <c r="O115" s="16"/>
    </row>
    <row r="116" spans="3:15" ht="15" hidden="1" customHeight="1" x14ac:dyDescent="0.25">
      <c r="C116" s="56"/>
      <c r="D116" s="57"/>
      <c r="E116" s="57"/>
      <c r="F116" s="57"/>
      <c r="G116" s="57"/>
      <c r="H116" s="57"/>
      <c r="I116" s="57"/>
      <c r="J116" s="57"/>
      <c r="K116" s="59" t="str">
        <f t="shared" si="4"/>
        <v>0.00 (0.00 – 0.00)</v>
      </c>
      <c r="L116" s="16" t="str">
        <f t="shared" si="5"/>
        <v>0.00
(0.00 – 0.00)</v>
      </c>
      <c r="M116" s="57"/>
      <c r="N116" s="59"/>
      <c r="O116" s="16"/>
    </row>
    <row r="117" spans="3:15" ht="15" hidden="1" customHeight="1" x14ac:dyDescent="0.25">
      <c r="C117" s="56"/>
      <c r="D117" s="57"/>
      <c r="E117" s="57"/>
      <c r="F117" s="57"/>
      <c r="G117" s="57"/>
      <c r="H117" s="57"/>
      <c r="I117" s="57"/>
      <c r="J117" s="57"/>
      <c r="K117" s="59" t="str">
        <f t="shared" si="4"/>
        <v>0.00 (0.00 – 0.00)</v>
      </c>
      <c r="L117" s="16" t="str">
        <f t="shared" si="5"/>
        <v>0.00
(0.00 – 0.00)</v>
      </c>
      <c r="M117" s="57"/>
      <c r="N117" s="59"/>
      <c r="O117" s="16"/>
    </row>
    <row r="118" spans="3:15" ht="15" hidden="1" customHeight="1" x14ac:dyDescent="0.25">
      <c r="C118" s="56"/>
      <c r="D118" s="57"/>
      <c r="E118" s="57"/>
      <c r="F118" s="57"/>
      <c r="G118" s="57"/>
      <c r="H118" s="57"/>
      <c r="I118" s="57"/>
      <c r="J118" s="57"/>
      <c r="K118" s="59" t="str">
        <f t="shared" si="4"/>
        <v>0.00 (0.00 – 0.00)</v>
      </c>
      <c r="L118" s="16" t="str">
        <f t="shared" si="5"/>
        <v>0.00
(0.00 – 0.00)</v>
      </c>
      <c r="M118" s="57"/>
      <c r="N118" s="59"/>
      <c r="O118" s="16"/>
    </row>
    <row r="119" spans="3:15" ht="15" hidden="1" customHeight="1" x14ac:dyDescent="0.25">
      <c r="C119" s="56"/>
      <c r="D119" s="57"/>
      <c r="E119" s="57"/>
      <c r="F119" s="57"/>
      <c r="G119" s="57"/>
      <c r="H119" s="57"/>
      <c r="I119" s="57"/>
      <c r="J119" s="57"/>
      <c r="K119" s="59" t="str">
        <f t="shared" si="4"/>
        <v>0.00 (0.00 – 0.00)</v>
      </c>
      <c r="L119" s="16" t="str">
        <f t="shared" si="5"/>
        <v>0.00
(0.00 – 0.00)</v>
      </c>
      <c r="M119" s="57"/>
      <c r="N119" s="59"/>
      <c r="O119" s="16"/>
    </row>
    <row r="120" spans="3:15" ht="15" hidden="1" customHeight="1" x14ac:dyDescent="0.25">
      <c r="C120" s="56"/>
      <c r="D120" s="57"/>
      <c r="E120" s="57"/>
      <c r="F120" s="57"/>
      <c r="G120" s="57"/>
      <c r="H120" s="57"/>
      <c r="I120" s="57"/>
      <c r="J120" s="57"/>
      <c r="K120" s="59" t="str">
        <f t="shared" si="4"/>
        <v>0.00 (0.00 – 0.00)</v>
      </c>
      <c r="L120" s="16" t="str">
        <f t="shared" si="5"/>
        <v>0.00
(0.00 – 0.00)</v>
      </c>
      <c r="M120" s="57"/>
      <c r="N120" s="59"/>
      <c r="O120" s="16"/>
    </row>
    <row r="121" spans="3:15" ht="15" hidden="1" customHeight="1" x14ac:dyDescent="0.25">
      <c r="C121" s="56"/>
      <c r="D121" s="57"/>
      <c r="E121" s="57"/>
      <c r="F121" s="57"/>
      <c r="G121" s="57"/>
      <c r="H121" s="57"/>
      <c r="I121" s="57"/>
      <c r="J121" s="57"/>
      <c r="K121" s="59" t="str">
        <f t="shared" si="4"/>
        <v>0.00 (0.00 – 0.00)</v>
      </c>
      <c r="L121" s="16" t="str">
        <f t="shared" si="5"/>
        <v>0.00
(0.00 – 0.00)</v>
      </c>
      <c r="M121" s="57"/>
      <c r="N121" s="59"/>
      <c r="O121" s="16"/>
    </row>
    <row r="122" spans="3:15" ht="15" hidden="1" customHeight="1" x14ac:dyDescent="0.25">
      <c r="C122" s="56"/>
      <c r="D122" s="57"/>
      <c r="E122" s="57"/>
      <c r="F122" s="57"/>
      <c r="G122" s="57"/>
      <c r="H122" s="57"/>
      <c r="I122" s="57"/>
      <c r="J122" s="57"/>
      <c r="K122" s="59" t="str">
        <f t="shared" si="4"/>
        <v>0.00 (0.00 – 0.00)</v>
      </c>
      <c r="L122" s="16" t="str">
        <f t="shared" si="5"/>
        <v>0.00
(0.00 – 0.00)</v>
      </c>
      <c r="M122" s="57"/>
      <c r="N122" s="59"/>
      <c r="O122" s="16"/>
    </row>
    <row r="123" spans="3:15" ht="15" hidden="1" customHeight="1" x14ac:dyDescent="0.25">
      <c r="C123" s="56"/>
      <c r="D123" s="57"/>
      <c r="E123" s="57"/>
      <c r="F123" s="57"/>
      <c r="G123" s="57"/>
      <c r="H123" s="57"/>
      <c r="I123" s="57"/>
      <c r="J123" s="57"/>
      <c r="K123" s="59" t="str">
        <f t="shared" si="4"/>
        <v>0.00 (0.00 – 0.00)</v>
      </c>
      <c r="L123" s="16" t="str">
        <f t="shared" si="5"/>
        <v>0.00
(0.00 – 0.00)</v>
      </c>
      <c r="M123" s="57"/>
      <c r="N123" s="59"/>
      <c r="O123" s="16"/>
    </row>
    <row r="124" spans="3:15" ht="15" hidden="1" customHeight="1" x14ac:dyDescent="0.25">
      <c r="C124" s="56"/>
      <c r="D124" s="57"/>
      <c r="E124" s="57"/>
      <c r="F124" s="57"/>
      <c r="G124" s="57"/>
      <c r="H124" s="57"/>
      <c r="I124" s="57"/>
      <c r="J124" s="57"/>
      <c r="K124" s="59" t="str">
        <f t="shared" si="4"/>
        <v>0.00 (0.00 – 0.00)</v>
      </c>
      <c r="L124" s="16" t="str">
        <f t="shared" si="5"/>
        <v>0.00
(0.00 – 0.00)</v>
      </c>
      <c r="M124" s="57"/>
      <c r="N124" s="59"/>
      <c r="O124" s="16"/>
    </row>
    <row r="125" spans="3:15" ht="15" hidden="1" customHeight="1" x14ac:dyDescent="0.25">
      <c r="C125" s="56"/>
      <c r="D125" s="57"/>
      <c r="E125" s="57"/>
      <c r="F125" s="57"/>
      <c r="G125" s="57"/>
      <c r="H125" s="57"/>
      <c r="I125" s="57"/>
      <c r="J125" s="57"/>
      <c r="K125" s="59" t="str">
        <f t="shared" si="4"/>
        <v>0.00 (0.00 – 0.00)</v>
      </c>
      <c r="L125" s="16" t="str">
        <f t="shared" si="5"/>
        <v>0.00
(0.00 – 0.00)</v>
      </c>
      <c r="M125" s="57"/>
      <c r="N125" s="59"/>
      <c r="O125" s="16"/>
    </row>
    <row r="126" spans="3:15" ht="15" hidden="1" customHeight="1" x14ac:dyDescent="0.25">
      <c r="C126" s="56"/>
      <c r="D126" s="57"/>
      <c r="E126" s="57"/>
      <c r="F126" s="57"/>
      <c r="G126" s="57"/>
      <c r="H126" s="57"/>
      <c r="I126" s="57"/>
      <c r="J126" s="57"/>
      <c r="K126" s="59" t="str">
        <f t="shared" si="4"/>
        <v>0.00 (0.00 – 0.00)</v>
      </c>
      <c r="L126" s="16" t="str">
        <f t="shared" si="5"/>
        <v>0.00
(0.00 – 0.00)</v>
      </c>
      <c r="M126" s="57"/>
      <c r="N126" s="59"/>
      <c r="O126" s="16"/>
    </row>
    <row r="127" spans="3:15" ht="15" hidden="1" customHeight="1" x14ac:dyDescent="0.25">
      <c r="C127" s="56"/>
      <c r="D127" s="57"/>
      <c r="E127" s="57"/>
      <c r="F127" s="57"/>
      <c r="G127" s="57"/>
      <c r="H127" s="57"/>
      <c r="I127" s="57"/>
      <c r="J127" s="57"/>
      <c r="K127" s="59" t="str">
        <f t="shared" si="4"/>
        <v>0.00 (0.00 – 0.00)</v>
      </c>
      <c r="L127" s="16" t="str">
        <f t="shared" si="5"/>
        <v>0.00
(0.00 – 0.00)</v>
      </c>
      <c r="M127" s="57"/>
      <c r="N127" s="59"/>
      <c r="O127" s="16"/>
    </row>
    <row r="128" spans="3:15" ht="15" hidden="1" customHeight="1" x14ac:dyDescent="0.25">
      <c r="C128" s="56"/>
      <c r="D128" s="57"/>
      <c r="E128" s="57"/>
      <c r="F128" s="57"/>
      <c r="G128" s="57"/>
      <c r="H128" s="57"/>
      <c r="I128" s="57"/>
      <c r="J128" s="57"/>
      <c r="K128" s="59" t="str">
        <f t="shared" si="4"/>
        <v>0.00 (0.00 – 0.00)</v>
      </c>
      <c r="L128" s="16" t="str">
        <f t="shared" si="5"/>
        <v>0.00
(0.00 – 0.00)</v>
      </c>
      <c r="M128" s="57"/>
      <c r="N128" s="59"/>
      <c r="O128" s="16"/>
    </row>
    <row r="129" spans="3:15" ht="15" hidden="1" customHeight="1" x14ac:dyDescent="0.25">
      <c r="C129" s="56"/>
      <c r="D129" s="57"/>
      <c r="E129" s="57"/>
      <c r="F129" s="57"/>
      <c r="G129" s="57"/>
      <c r="H129" s="57"/>
      <c r="I129" s="57"/>
      <c r="J129" s="57"/>
      <c r="K129" s="59" t="str">
        <f t="shared" si="4"/>
        <v>0.00 (0.00 – 0.00)</v>
      </c>
      <c r="L129" s="16" t="str">
        <f t="shared" si="5"/>
        <v>0.00
(0.00 – 0.00)</v>
      </c>
      <c r="M129" s="57"/>
      <c r="N129" s="59"/>
      <c r="O129" s="16"/>
    </row>
    <row r="130" spans="3:15" ht="15" hidden="1" customHeight="1" x14ac:dyDescent="0.25">
      <c r="C130" s="56"/>
      <c r="D130" s="57"/>
      <c r="E130" s="57"/>
      <c r="F130" s="57"/>
      <c r="G130" s="57"/>
      <c r="H130" s="57"/>
      <c r="I130" s="57"/>
      <c r="J130" s="57"/>
      <c r="K130" s="59" t="str">
        <f t="shared" si="4"/>
        <v>0.00 (0.00 – 0.00)</v>
      </c>
      <c r="L130" s="16" t="str">
        <f t="shared" si="5"/>
        <v>0.00
(0.00 – 0.00)</v>
      </c>
      <c r="M130" s="57"/>
      <c r="N130" s="59"/>
      <c r="O130" s="16"/>
    </row>
    <row r="131" spans="3:15" ht="15" hidden="1" customHeight="1" x14ac:dyDescent="0.25">
      <c r="C131" s="56"/>
      <c r="D131" s="57"/>
      <c r="E131" s="57"/>
      <c r="F131" s="57"/>
      <c r="G131" s="57"/>
      <c r="H131" s="57"/>
      <c r="I131" s="57"/>
      <c r="J131" s="57"/>
      <c r="K131" s="59" t="str">
        <f t="shared" si="4"/>
        <v>0.00 (0.00 – 0.00)</v>
      </c>
      <c r="L131" s="16" t="str">
        <f t="shared" si="5"/>
        <v>0.00
(0.00 – 0.00)</v>
      </c>
      <c r="M131" s="57"/>
      <c r="N131" s="59"/>
      <c r="O131" s="16"/>
    </row>
    <row r="132" spans="3:15" ht="15" hidden="1" customHeight="1" x14ac:dyDescent="0.25">
      <c r="C132" s="56"/>
      <c r="D132" s="57"/>
      <c r="E132" s="57"/>
      <c r="F132" s="57"/>
      <c r="G132" s="57"/>
      <c r="H132" s="57"/>
      <c r="I132" s="57"/>
      <c r="J132" s="57"/>
      <c r="K132" s="59" t="str">
        <f t="shared" si="4"/>
        <v>0.00 (0.00 – 0.00)</v>
      </c>
      <c r="L132" s="16" t="str">
        <f t="shared" si="5"/>
        <v>0.00
(0.00 – 0.00)</v>
      </c>
      <c r="M132" s="57"/>
      <c r="N132" s="59"/>
      <c r="O132" s="16"/>
    </row>
    <row r="133" spans="3:15" ht="15" hidden="1" customHeight="1" x14ac:dyDescent="0.25">
      <c r="C133" s="56"/>
      <c r="D133" s="57"/>
      <c r="E133" s="57"/>
      <c r="F133" s="57"/>
      <c r="G133" s="57"/>
      <c r="H133" s="57"/>
      <c r="I133" s="57"/>
      <c r="J133" s="57"/>
      <c r="K133" s="59" t="str">
        <f t="shared" ref="K133:K196" si="6">CONCATENATE(TEXT(I133,"0.00")," (",TEXT(H133,"0.00")," – ",TEXT(J133,"0.00"),")")</f>
        <v>0.00 (0.00 – 0.00)</v>
      </c>
      <c r="L133" s="16" t="str">
        <f t="shared" si="5"/>
        <v>0.00
(0.00 – 0.00)</v>
      </c>
      <c r="M133" s="57"/>
      <c r="N133" s="59"/>
      <c r="O133" s="16"/>
    </row>
    <row r="134" spans="3:15" ht="15" hidden="1" customHeight="1" x14ac:dyDescent="0.25">
      <c r="C134" s="56"/>
      <c r="D134" s="57"/>
      <c r="E134" s="57"/>
      <c r="F134" s="57"/>
      <c r="G134" s="57"/>
      <c r="H134" s="57"/>
      <c r="I134" s="57"/>
      <c r="J134" s="57"/>
      <c r="K134" s="59" t="str">
        <f t="shared" si="6"/>
        <v>0.00 (0.00 – 0.00)</v>
      </c>
      <c r="L134" s="16" t="str">
        <f t="shared" ref="L134:L197" si="7">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6"/>
        <v>0.00 (0.00 – 0.00)</v>
      </c>
      <c r="L135" s="16" t="str">
        <f t="shared" si="7"/>
        <v>0.00
(0.00 – 0.00)</v>
      </c>
      <c r="M135" s="57"/>
      <c r="N135" s="59"/>
      <c r="O135" s="16"/>
    </row>
    <row r="136" spans="3:15" ht="15" hidden="1" customHeight="1" x14ac:dyDescent="0.25">
      <c r="C136" s="56"/>
      <c r="D136" s="57"/>
      <c r="E136" s="57"/>
      <c r="F136" s="57"/>
      <c r="G136" s="57"/>
      <c r="H136" s="57"/>
      <c r="I136" s="57"/>
      <c r="J136" s="57"/>
      <c r="K136" s="59" t="str">
        <f t="shared" si="6"/>
        <v>0.00 (0.00 – 0.00)</v>
      </c>
      <c r="L136" s="16" t="str">
        <f t="shared" si="7"/>
        <v>0.00
(0.00 – 0.00)</v>
      </c>
      <c r="M136" s="57"/>
      <c r="N136" s="59"/>
      <c r="O136" s="16"/>
    </row>
    <row r="137" spans="3:15" ht="15" hidden="1" customHeight="1" x14ac:dyDescent="0.25">
      <c r="C137" s="56"/>
      <c r="D137" s="57"/>
      <c r="E137" s="57"/>
      <c r="F137" s="57"/>
      <c r="G137" s="57"/>
      <c r="H137" s="57"/>
      <c r="I137" s="57"/>
      <c r="J137" s="57"/>
      <c r="K137" s="59" t="str">
        <f t="shared" si="6"/>
        <v>0.00 (0.00 – 0.00)</v>
      </c>
      <c r="L137" s="16" t="str">
        <f t="shared" si="7"/>
        <v>0.00
(0.00 – 0.00)</v>
      </c>
      <c r="M137" s="57"/>
      <c r="N137" s="59"/>
      <c r="O137" s="16"/>
    </row>
    <row r="138" spans="3:15" ht="15" hidden="1" customHeight="1" x14ac:dyDescent="0.25">
      <c r="C138" s="56"/>
      <c r="D138" s="57"/>
      <c r="E138" s="57"/>
      <c r="F138" s="57"/>
      <c r="G138" s="57"/>
      <c r="H138" s="57"/>
      <c r="I138" s="57"/>
      <c r="J138" s="57"/>
      <c r="K138" s="59" t="str">
        <f t="shared" si="6"/>
        <v>0.00 (0.00 – 0.00)</v>
      </c>
      <c r="L138" s="16" t="str">
        <f t="shared" si="7"/>
        <v>0.00
(0.00 – 0.00)</v>
      </c>
      <c r="M138" s="57"/>
      <c r="N138" s="59"/>
      <c r="O138" s="16"/>
    </row>
    <row r="139" spans="3:15" ht="15" hidden="1" customHeight="1" x14ac:dyDescent="0.25">
      <c r="C139" s="56"/>
      <c r="D139" s="57"/>
      <c r="E139" s="57"/>
      <c r="F139" s="57"/>
      <c r="G139" s="57"/>
      <c r="H139" s="57"/>
      <c r="I139" s="57"/>
      <c r="J139" s="57"/>
      <c r="K139" s="59" t="str">
        <f t="shared" si="6"/>
        <v>0.00 (0.00 – 0.00)</v>
      </c>
      <c r="L139" s="16" t="str">
        <f t="shared" si="7"/>
        <v>0.00
(0.00 – 0.00)</v>
      </c>
      <c r="M139" s="57"/>
      <c r="N139" s="59"/>
      <c r="O139" s="16"/>
    </row>
    <row r="140" spans="3:15" ht="15" hidden="1" customHeight="1" x14ac:dyDescent="0.25">
      <c r="C140" s="56"/>
      <c r="D140" s="57"/>
      <c r="E140" s="57"/>
      <c r="F140" s="57"/>
      <c r="G140" s="57"/>
      <c r="H140" s="57"/>
      <c r="I140" s="57"/>
      <c r="J140" s="57"/>
      <c r="K140" s="59" t="str">
        <f t="shared" si="6"/>
        <v>0.00 (0.00 – 0.00)</v>
      </c>
      <c r="L140" s="16" t="str">
        <f t="shared" si="7"/>
        <v>0.00
(0.00 – 0.00)</v>
      </c>
      <c r="M140" s="57"/>
      <c r="N140" s="59"/>
      <c r="O140" s="16"/>
    </row>
    <row r="141" spans="3:15" ht="15" hidden="1" customHeight="1" x14ac:dyDescent="0.25">
      <c r="C141" s="56"/>
      <c r="D141" s="57"/>
      <c r="E141" s="57"/>
      <c r="F141" s="57"/>
      <c r="G141" s="57"/>
      <c r="H141" s="57"/>
      <c r="I141" s="57"/>
      <c r="J141" s="57"/>
      <c r="K141" s="59" t="str">
        <f t="shared" si="6"/>
        <v>0.00 (0.00 – 0.00)</v>
      </c>
      <c r="L141" s="16" t="str">
        <f t="shared" si="7"/>
        <v>0.00
(0.00 – 0.00)</v>
      </c>
      <c r="M141" s="57"/>
      <c r="N141" s="59"/>
      <c r="O141" s="16"/>
    </row>
    <row r="142" spans="3:15" ht="15" hidden="1" customHeight="1" x14ac:dyDescent="0.25">
      <c r="C142" s="56"/>
      <c r="D142" s="57"/>
      <c r="E142" s="57"/>
      <c r="F142" s="57"/>
      <c r="G142" s="57"/>
      <c r="H142" s="57"/>
      <c r="I142" s="57"/>
      <c r="J142" s="57"/>
      <c r="K142" s="59" t="str">
        <f t="shared" si="6"/>
        <v>0.00 (0.00 – 0.00)</v>
      </c>
      <c r="L142" s="16" t="str">
        <f t="shared" si="7"/>
        <v>0.00
(0.00 – 0.00)</v>
      </c>
      <c r="M142" s="57"/>
      <c r="N142" s="59"/>
      <c r="O142" s="16"/>
    </row>
    <row r="143" spans="3:15" ht="15" hidden="1" customHeight="1" x14ac:dyDescent="0.25">
      <c r="C143" s="56"/>
      <c r="D143" s="57"/>
      <c r="E143" s="57"/>
      <c r="F143" s="57"/>
      <c r="G143" s="57"/>
      <c r="H143" s="57"/>
      <c r="I143" s="57"/>
      <c r="J143" s="57"/>
      <c r="K143" s="59" t="str">
        <f t="shared" si="6"/>
        <v>0.00 (0.00 – 0.00)</v>
      </c>
      <c r="L143" s="16" t="str">
        <f t="shared" si="7"/>
        <v>0.00
(0.00 – 0.00)</v>
      </c>
      <c r="M143" s="57"/>
      <c r="N143" s="59"/>
      <c r="O143" s="16"/>
    </row>
    <row r="144" spans="3:15" ht="15" hidden="1" customHeight="1" x14ac:dyDescent="0.25">
      <c r="C144" s="56"/>
      <c r="D144" s="57"/>
      <c r="E144" s="57"/>
      <c r="F144" s="57"/>
      <c r="G144" s="57"/>
      <c r="H144" s="57"/>
      <c r="I144" s="57"/>
      <c r="J144" s="57"/>
      <c r="K144" s="59" t="str">
        <f t="shared" si="6"/>
        <v>0.00 (0.00 – 0.00)</v>
      </c>
      <c r="L144" s="16" t="str">
        <f t="shared" si="7"/>
        <v>0.00
(0.00 – 0.00)</v>
      </c>
      <c r="M144" s="57"/>
      <c r="N144" s="59"/>
      <c r="O144" s="16"/>
    </row>
    <row r="145" spans="3:15" ht="15" hidden="1" customHeight="1" x14ac:dyDescent="0.25">
      <c r="C145" s="56"/>
      <c r="D145" s="57"/>
      <c r="E145" s="57"/>
      <c r="F145" s="57"/>
      <c r="G145" s="57"/>
      <c r="H145" s="57"/>
      <c r="I145" s="57"/>
      <c r="J145" s="57"/>
      <c r="K145" s="59" t="str">
        <f t="shared" si="6"/>
        <v>0.00 (0.00 – 0.00)</v>
      </c>
      <c r="L145" s="16" t="str">
        <f t="shared" si="7"/>
        <v>0.00
(0.00 – 0.00)</v>
      </c>
      <c r="M145" s="57"/>
      <c r="N145" s="59"/>
      <c r="O145" s="16"/>
    </row>
    <row r="146" spans="3:15" ht="15" hidden="1" customHeight="1" x14ac:dyDescent="0.25">
      <c r="C146" s="56"/>
      <c r="D146" s="57"/>
      <c r="E146" s="57"/>
      <c r="F146" s="57"/>
      <c r="G146" s="57"/>
      <c r="H146" s="57"/>
      <c r="I146" s="57"/>
      <c r="J146" s="57"/>
      <c r="K146" s="59" t="str">
        <f t="shared" si="6"/>
        <v>0.00 (0.00 – 0.00)</v>
      </c>
      <c r="L146" s="16" t="str">
        <f t="shared" si="7"/>
        <v>0.00
(0.00 – 0.00)</v>
      </c>
      <c r="M146" s="57"/>
      <c r="N146" s="59"/>
      <c r="O146" s="16"/>
    </row>
    <row r="147" spans="3:15" ht="15" hidden="1" customHeight="1" x14ac:dyDescent="0.25">
      <c r="C147" s="56"/>
      <c r="D147" s="57"/>
      <c r="E147" s="57"/>
      <c r="F147" s="57"/>
      <c r="G147" s="57"/>
      <c r="H147" s="57"/>
      <c r="I147" s="57"/>
      <c r="J147" s="57"/>
      <c r="K147" s="59" t="str">
        <f t="shared" si="6"/>
        <v>0.00 (0.00 – 0.00)</v>
      </c>
      <c r="L147" s="16" t="str">
        <f t="shared" si="7"/>
        <v>0.00
(0.00 – 0.00)</v>
      </c>
      <c r="M147" s="57"/>
      <c r="N147" s="59"/>
      <c r="O147" s="16"/>
    </row>
    <row r="148" spans="3:15" ht="15" hidden="1" customHeight="1" x14ac:dyDescent="0.25">
      <c r="C148" s="56"/>
      <c r="D148" s="57"/>
      <c r="E148" s="57"/>
      <c r="F148" s="57"/>
      <c r="G148" s="57"/>
      <c r="H148" s="57"/>
      <c r="I148" s="57"/>
      <c r="J148" s="57"/>
      <c r="K148" s="59" t="str">
        <f t="shared" si="6"/>
        <v>0.00 (0.00 – 0.00)</v>
      </c>
      <c r="L148" s="16" t="str">
        <f t="shared" si="7"/>
        <v>0.00
(0.00 – 0.00)</v>
      </c>
      <c r="M148" s="57"/>
      <c r="N148" s="59"/>
      <c r="O148" s="16"/>
    </row>
    <row r="149" spans="3:15" ht="15" hidden="1" customHeight="1" x14ac:dyDescent="0.25">
      <c r="C149" s="56"/>
      <c r="D149" s="57"/>
      <c r="E149" s="57"/>
      <c r="F149" s="57"/>
      <c r="G149" s="57"/>
      <c r="H149" s="57"/>
      <c r="I149" s="57"/>
      <c r="J149" s="57"/>
      <c r="K149" s="59" t="str">
        <f t="shared" si="6"/>
        <v>0.00 (0.00 – 0.00)</v>
      </c>
      <c r="L149" s="16" t="str">
        <f t="shared" si="7"/>
        <v>0.00
(0.00 – 0.00)</v>
      </c>
      <c r="M149" s="57"/>
      <c r="N149" s="59"/>
      <c r="O149" s="16"/>
    </row>
    <row r="150" spans="3:15" ht="15" hidden="1" customHeight="1" x14ac:dyDescent="0.25">
      <c r="C150" s="56"/>
      <c r="D150" s="57"/>
      <c r="E150" s="57"/>
      <c r="F150" s="57"/>
      <c r="G150" s="57"/>
      <c r="H150" s="57"/>
      <c r="I150" s="57"/>
      <c r="J150" s="57"/>
      <c r="K150" s="59" t="str">
        <f t="shared" si="6"/>
        <v>0.00 (0.00 – 0.00)</v>
      </c>
      <c r="L150" s="16" t="str">
        <f t="shared" si="7"/>
        <v>0.00
(0.00 – 0.00)</v>
      </c>
      <c r="M150" s="57"/>
      <c r="N150" s="59"/>
      <c r="O150" s="16"/>
    </row>
    <row r="151" spans="3:15" ht="15" hidden="1" customHeight="1" x14ac:dyDescent="0.25">
      <c r="C151" s="56"/>
      <c r="D151" s="57"/>
      <c r="E151" s="57"/>
      <c r="F151" s="57"/>
      <c r="G151" s="57"/>
      <c r="H151" s="57"/>
      <c r="I151" s="57"/>
      <c r="J151" s="57"/>
      <c r="K151" s="59" t="str">
        <f t="shared" si="6"/>
        <v>0.00 (0.00 – 0.00)</v>
      </c>
      <c r="L151" s="16" t="str">
        <f t="shared" si="7"/>
        <v>0.00
(0.00 – 0.00)</v>
      </c>
      <c r="M151" s="57"/>
      <c r="N151" s="59"/>
      <c r="O151" s="16"/>
    </row>
    <row r="152" spans="3:15" ht="15" hidden="1" customHeight="1" x14ac:dyDescent="0.25">
      <c r="C152" s="56"/>
      <c r="D152" s="57"/>
      <c r="E152" s="57"/>
      <c r="F152" s="57"/>
      <c r="G152" s="57"/>
      <c r="H152" s="57"/>
      <c r="I152" s="57"/>
      <c r="J152" s="57"/>
      <c r="K152" s="59" t="str">
        <f t="shared" si="6"/>
        <v>0.00 (0.00 – 0.00)</v>
      </c>
      <c r="L152" s="16" t="str">
        <f t="shared" si="7"/>
        <v>0.00
(0.00 – 0.00)</v>
      </c>
      <c r="M152" s="57"/>
      <c r="N152" s="59"/>
      <c r="O152" s="16"/>
    </row>
    <row r="153" spans="3:15" ht="15" hidden="1" customHeight="1" x14ac:dyDescent="0.25">
      <c r="C153" s="56"/>
      <c r="D153" s="57"/>
      <c r="E153" s="57"/>
      <c r="F153" s="57"/>
      <c r="G153" s="57"/>
      <c r="H153" s="57"/>
      <c r="I153" s="57"/>
      <c r="J153" s="57"/>
      <c r="K153" s="59" t="str">
        <f t="shared" si="6"/>
        <v>0.00 (0.00 – 0.00)</v>
      </c>
      <c r="L153" s="16" t="str">
        <f t="shared" si="7"/>
        <v>0.00
(0.00 – 0.00)</v>
      </c>
      <c r="M153" s="57"/>
      <c r="N153" s="59"/>
      <c r="O153" s="16"/>
    </row>
    <row r="154" spans="3:15" ht="15" hidden="1" customHeight="1" x14ac:dyDescent="0.25">
      <c r="C154" s="56"/>
      <c r="D154" s="57"/>
      <c r="E154" s="57"/>
      <c r="F154" s="57"/>
      <c r="G154" s="57"/>
      <c r="H154" s="57"/>
      <c r="I154" s="57"/>
      <c r="J154" s="57"/>
      <c r="K154" s="59" t="str">
        <f t="shared" si="6"/>
        <v>0.00 (0.00 – 0.00)</v>
      </c>
      <c r="L154" s="16" t="str">
        <f t="shared" si="7"/>
        <v>0.00
(0.00 – 0.00)</v>
      </c>
      <c r="M154" s="57"/>
      <c r="N154" s="59"/>
      <c r="O154" s="16"/>
    </row>
    <row r="155" spans="3:15" ht="15" hidden="1" customHeight="1" x14ac:dyDescent="0.25">
      <c r="C155" s="56"/>
      <c r="D155" s="57"/>
      <c r="E155" s="57"/>
      <c r="F155" s="57"/>
      <c r="G155" s="57"/>
      <c r="H155" s="57"/>
      <c r="I155" s="57"/>
      <c r="J155" s="57"/>
      <c r="K155" s="59" t="str">
        <f t="shared" si="6"/>
        <v>0.00 (0.00 – 0.00)</v>
      </c>
      <c r="L155" s="16" t="str">
        <f t="shared" si="7"/>
        <v>0.00
(0.00 – 0.00)</v>
      </c>
      <c r="M155" s="57"/>
      <c r="N155" s="59"/>
      <c r="O155" s="16"/>
    </row>
    <row r="156" spans="3:15" ht="15" hidden="1" customHeight="1" x14ac:dyDescent="0.25">
      <c r="C156" s="56"/>
      <c r="D156" s="57"/>
      <c r="E156" s="57"/>
      <c r="F156" s="57"/>
      <c r="G156" s="57"/>
      <c r="H156" s="57"/>
      <c r="I156" s="57"/>
      <c r="J156" s="57"/>
      <c r="K156" s="59" t="str">
        <f t="shared" si="6"/>
        <v>0.00 (0.00 – 0.00)</v>
      </c>
      <c r="L156" s="16" t="str">
        <f t="shared" si="7"/>
        <v>0.00
(0.00 – 0.00)</v>
      </c>
      <c r="M156" s="57"/>
      <c r="N156" s="59"/>
      <c r="O156" s="16"/>
    </row>
    <row r="157" spans="3:15" ht="15" hidden="1" customHeight="1" x14ac:dyDescent="0.25">
      <c r="C157" s="56"/>
      <c r="D157" s="57"/>
      <c r="E157" s="57"/>
      <c r="F157" s="57"/>
      <c r="G157" s="57"/>
      <c r="H157" s="57"/>
      <c r="I157" s="57"/>
      <c r="J157" s="57"/>
      <c r="K157" s="59" t="str">
        <f t="shared" si="6"/>
        <v>0.00 (0.00 – 0.00)</v>
      </c>
      <c r="L157" s="16" t="str">
        <f t="shared" si="7"/>
        <v>0.00
(0.00 – 0.00)</v>
      </c>
      <c r="M157" s="57"/>
      <c r="N157" s="59"/>
      <c r="O157" s="16"/>
    </row>
    <row r="158" spans="3:15" ht="15" hidden="1" customHeight="1" x14ac:dyDescent="0.25">
      <c r="C158" s="56"/>
      <c r="D158" s="57"/>
      <c r="E158" s="57"/>
      <c r="F158" s="57"/>
      <c r="G158" s="57"/>
      <c r="H158" s="57"/>
      <c r="I158" s="57"/>
      <c r="J158" s="57"/>
      <c r="K158" s="59" t="str">
        <f t="shared" si="6"/>
        <v>0.00 (0.00 – 0.00)</v>
      </c>
      <c r="L158" s="16" t="str">
        <f t="shared" si="7"/>
        <v>0.00
(0.00 – 0.00)</v>
      </c>
      <c r="M158" s="57"/>
      <c r="N158" s="59"/>
      <c r="O158" s="16"/>
    </row>
    <row r="159" spans="3:15" ht="15" hidden="1" customHeight="1" x14ac:dyDescent="0.25">
      <c r="C159" s="56"/>
      <c r="D159" s="57"/>
      <c r="E159" s="57"/>
      <c r="F159" s="57"/>
      <c r="G159" s="57"/>
      <c r="H159" s="57"/>
      <c r="I159" s="57"/>
      <c r="J159" s="57"/>
      <c r="K159" s="59" t="str">
        <f t="shared" si="6"/>
        <v>0.00 (0.00 – 0.00)</v>
      </c>
      <c r="L159" s="16" t="str">
        <f t="shared" si="7"/>
        <v>0.00
(0.00 – 0.00)</v>
      </c>
      <c r="M159" s="57"/>
      <c r="N159" s="59"/>
      <c r="O159" s="16"/>
    </row>
    <row r="160" spans="3:15" ht="15" hidden="1" customHeight="1" x14ac:dyDescent="0.25">
      <c r="C160" s="56"/>
      <c r="D160" s="57"/>
      <c r="E160" s="57"/>
      <c r="F160" s="57"/>
      <c r="G160" s="57"/>
      <c r="H160" s="57"/>
      <c r="I160" s="57"/>
      <c r="J160" s="57"/>
      <c r="K160" s="59" t="str">
        <f t="shared" si="6"/>
        <v>0.00 (0.00 – 0.00)</v>
      </c>
      <c r="L160" s="16" t="str">
        <f t="shared" si="7"/>
        <v>0.00
(0.00 – 0.00)</v>
      </c>
      <c r="M160" s="57"/>
      <c r="N160" s="59"/>
      <c r="O160" s="16"/>
    </row>
    <row r="161" spans="3:15" ht="15" hidden="1" customHeight="1" x14ac:dyDescent="0.25">
      <c r="C161" s="56"/>
      <c r="D161" s="57"/>
      <c r="E161" s="57"/>
      <c r="F161" s="57"/>
      <c r="G161" s="57"/>
      <c r="H161" s="57"/>
      <c r="I161" s="57"/>
      <c r="J161" s="57"/>
      <c r="K161" s="59" t="str">
        <f t="shared" si="6"/>
        <v>0.00 (0.00 – 0.00)</v>
      </c>
      <c r="L161" s="16" t="str">
        <f t="shared" si="7"/>
        <v>0.00
(0.00 – 0.00)</v>
      </c>
      <c r="M161" s="57"/>
      <c r="N161" s="59"/>
      <c r="O161" s="16"/>
    </row>
    <row r="162" spans="3:15" ht="15" hidden="1" customHeight="1" x14ac:dyDescent="0.25">
      <c r="C162" s="56"/>
      <c r="D162" s="57"/>
      <c r="E162" s="57"/>
      <c r="F162" s="57"/>
      <c r="G162" s="57"/>
      <c r="H162" s="57"/>
      <c r="I162" s="57"/>
      <c r="J162" s="57"/>
      <c r="K162" s="59" t="str">
        <f t="shared" si="6"/>
        <v>0.00 (0.00 – 0.00)</v>
      </c>
      <c r="L162" s="16" t="str">
        <f t="shared" si="7"/>
        <v>0.00
(0.00 – 0.00)</v>
      </c>
      <c r="M162" s="57"/>
      <c r="N162" s="59"/>
      <c r="O162" s="16"/>
    </row>
    <row r="163" spans="3:15" ht="15" hidden="1" customHeight="1" x14ac:dyDescent="0.25">
      <c r="C163" s="56"/>
      <c r="D163" s="57"/>
      <c r="E163" s="57"/>
      <c r="F163" s="57"/>
      <c r="G163" s="57"/>
      <c r="H163" s="57"/>
      <c r="I163" s="57"/>
      <c r="J163" s="57"/>
      <c r="K163" s="59" t="str">
        <f t="shared" si="6"/>
        <v>0.00 (0.00 – 0.00)</v>
      </c>
      <c r="L163" s="16" t="str">
        <f t="shared" si="7"/>
        <v>0.00
(0.00 – 0.00)</v>
      </c>
      <c r="M163" s="57"/>
      <c r="N163" s="59"/>
      <c r="O163" s="16"/>
    </row>
    <row r="164" spans="3:15" ht="15" hidden="1" customHeight="1" x14ac:dyDescent="0.25">
      <c r="C164" s="56"/>
      <c r="D164" s="57"/>
      <c r="E164" s="57"/>
      <c r="F164" s="57"/>
      <c r="G164" s="57"/>
      <c r="H164" s="57"/>
      <c r="I164" s="57"/>
      <c r="J164" s="57"/>
      <c r="K164" s="59" t="str">
        <f t="shared" si="6"/>
        <v>0.00 (0.00 – 0.00)</v>
      </c>
      <c r="L164" s="16" t="str">
        <f t="shared" si="7"/>
        <v>0.00
(0.00 – 0.00)</v>
      </c>
      <c r="M164" s="57"/>
      <c r="N164" s="59"/>
      <c r="O164" s="16"/>
    </row>
    <row r="165" spans="3:15" ht="15" hidden="1" customHeight="1" x14ac:dyDescent="0.25">
      <c r="C165" s="56"/>
      <c r="D165" s="57"/>
      <c r="E165" s="57"/>
      <c r="F165" s="57"/>
      <c r="G165" s="57"/>
      <c r="H165" s="57"/>
      <c r="I165" s="57"/>
      <c r="J165" s="57"/>
      <c r="K165" s="59" t="str">
        <f t="shared" si="6"/>
        <v>0.00 (0.00 – 0.00)</v>
      </c>
      <c r="L165" s="16" t="str">
        <f t="shared" si="7"/>
        <v>0.00
(0.00 – 0.00)</v>
      </c>
      <c r="M165" s="57"/>
      <c r="N165" s="59"/>
      <c r="O165" s="16"/>
    </row>
    <row r="166" spans="3:15" ht="15" hidden="1" customHeight="1" x14ac:dyDescent="0.25">
      <c r="C166" s="56"/>
      <c r="D166" s="57"/>
      <c r="E166" s="57"/>
      <c r="F166" s="57"/>
      <c r="G166" s="57"/>
      <c r="H166" s="57"/>
      <c r="I166" s="57"/>
      <c r="J166" s="57"/>
      <c r="K166" s="59" t="str">
        <f t="shared" si="6"/>
        <v>0.00 (0.00 – 0.00)</v>
      </c>
      <c r="L166" s="16" t="str">
        <f t="shared" si="7"/>
        <v>0.00
(0.00 – 0.00)</v>
      </c>
      <c r="M166" s="57"/>
      <c r="N166" s="59"/>
      <c r="O166" s="16"/>
    </row>
    <row r="167" spans="3:15" ht="15" hidden="1" customHeight="1" x14ac:dyDescent="0.25">
      <c r="C167" s="56"/>
      <c r="D167" s="57"/>
      <c r="E167" s="57"/>
      <c r="F167" s="57"/>
      <c r="G167" s="57"/>
      <c r="H167" s="57"/>
      <c r="I167" s="57"/>
      <c r="J167" s="57"/>
      <c r="K167" s="59" t="str">
        <f t="shared" si="6"/>
        <v>0.00 (0.00 – 0.00)</v>
      </c>
      <c r="L167" s="16" t="str">
        <f t="shared" si="7"/>
        <v>0.00
(0.00 – 0.00)</v>
      </c>
      <c r="M167" s="57"/>
      <c r="N167" s="59"/>
      <c r="O167" s="16"/>
    </row>
    <row r="168" spans="3:15" ht="15" hidden="1" customHeight="1" x14ac:dyDescent="0.25">
      <c r="C168" s="56"/>
      <c r="D168" s="57"/>
      <c r="E168" s="57"/>
      <c r="F168" s="57"/>
      <c r="G168" s="57"/>
      <c r="H168" s="57"/>
      <c r="I168" s="57"/>
      <c r="J168" s="57"/>
      <c r="K168" s="59" t="str">
        <f t="shared" si="6"/>
        <v>0.00 (0.00 – 0.00)</v>
      </c>
      <c r="L168" s="16" t="str">
        <f t="shared" si="7"/>
        <v>0.00
(0.00 – 0.00)</v>
      </c>
      <c r="M168" s="57"/>
      <c r="N168" s="59"/>
      <c r="O168" s="16"/>
    </row>
    <row r="169" spans="3:15" ht="15" hidden="1" customHeight="1" x14ac:dyDescent="0.25">
      <c r="C169" s="56"/>
      <c r="D169" s="57"/>
      <c r="E169" s="57"/>
      <c r="F169" s="57"/>
      <c r="G169" s="57"/>
      <c r="H169" s="57"/>
      <c r="I169" s="57"/>
      <c r="J169" s="57"/>
      <c r="K169" s="59" t="str">
        <f t="shared" si="6"/>
        <v>0.00 (0.00 – 0.00)</v>
      </c>
      <c r="L169" s="16" t="str">
        <f t="shared" si="7"/>
        <v>0.00
(0.00 – 0.00)</v>
      </c>
      <c r="M169" s="57"/>
      <c r="N169" s="59"/>
      <c r="O169" s="16"/>
    </row>
    <row r="170" spans="3:15" ht="15" hidden="1" customHeight="1" x14ac:dyDescent="0.25">
      <c r="C170" s="56"/>
      <c r="D170" s="57"/>
      <c r="E170" s="57"/>
      <c r="F170" s="57"/>
      <c r="G170" s="57"/>
      <c r="H170" s="57"/>
      <c r="I170" s="57"/>
      <c r="J170" s="57"/>
      <c r="K170" s="59" t="str">
        <f t="shared" si="6"/>
        <v>0.00 (0.00 – 0.00)</v>
      </c>
      <c r="L170" s="16" t="str">
        <f t="shared" si="7"/>
        <v>0.00
(0.00 – 0.00)</v>
      </c>
      <c r="M170" s="57"/>
      <c r="N170" s="59"/>
      <c r="O170" s="16"/>
    </row>
    <row r="171" spans="3:15" ht="15" hidden="1" customHeight="1" x14ac:dyDescent="0.25">
      <c r="C171" s="56"/>
      <c r="D171" s="57"/>
      <c r="E171" s="57"/>
      <c r="F171" s="57"/>
      <c r="G171" s="57"/>
      <c r="H171" s="57"/>
      <c r="I171" s="57"/>
      <c r="J171" s="57"/>
      <c r="K171" s="59" t="str">
        <f t="shared" si="6"/>
        <v>0.00 (0.00 – 0.00)</v>
      </c>
      <c r="L171" s="16" t="str">
        <f t="shared" si="7"/>
        <v>0.00
(0.00 – 0.00)</v>
      </c>
      <c r="M171" s="57"/>
      <c r="N171" s="59"/>
      <c r="O171" s="16"/>
    </row>
    <row r="172" spans="3:15" ht="15" hidden="1" customHeight="1" x14ac:dyDescent="0.25">
      <c r="C172" s="56"/>
      <c r="D172" s="57"/>
      <c r="E172" s="57"/>
      <c r="F172" s="57"/>
      <c r="G172" s="57"/>
      <c r="H172" s="57"/>
      <c r="I172" s="57"/>
      <c r="J172" s="57"/>
      <c r="K172" s="59" t="str">
        <f t="shared" si="6"/>
        <v>0.00 (0.00 – 0.00)</v>
      </c>
      <c r="L172" s="16" t="str">
        <f t="shared" si="7"/>
        <v>0.00
(0.00 – 0.00)</v>
      </c>
      <c r="M172" s="57"/>
      <c r="N172" s="59"/>
      <c r="O172" s="16"/>
    </row>
    <row r="173" spans="3:15" ht="15" hidden="1" customHeight="1" x14ac:dyDescent="0.25">
      <c r="C173" s="56"/>
      <c r="D173" s="57"/>
      <c r="E173" s="57"/>
      <c r="F173" s="57"/>
      <c r="G173" s="57"/>
      <c r="H173" s="57"/>
      <c r="I173" s="57"/>
      <c r="J173" s="57"/>
      <c r="K173" s="59" t="str">
        <f t="shared" si="6"/>
        <v>0.00 (0.00 – 0.00)</v>
      </c>
      <c r="L173" s="16" t="str">
        <f t="shared" si="7"/>
        <v>0.00
(0.00 – 0.00)</v>
      </c>
      <c r="M173" s="57"/>
      <c r="N173" s="59"/>
      <c r="O173" s="16"/>
    </row>
    <row r="174" spans="3:15" ht="15" hidden="1" customHeight="1" x14ac:dyDescent="0.25">
      <c r="C174" s="56"/>
      <c r="D174" s="57"/>
      <c r="E174" s="57"/>
      <c r="F174" s="57"/>
      <c r="G174" s="57"/>
      <c r="H174" s="57"/>
      <c r="I174" s="57"/>
      <c r="J174" s="57"/>
      <c r="K174" s="59" t="str">
        <f t="shared" si="6"/>
        <v>0.00 (0.00 – 0.00)</v>
      </c>
      <c r="L174" s="16" t="str">
        <f t="shared" si="7"/>
        <v>0.00
(0.00 – 0.00)</v>
      </c>
      <c r="M174" s="57"/>
      <c r="N174" s="59"/>
      <c r="O174" s="16"/>
    </row>
    <row r="175" spans="3:15" ht="15" hidden="1" customHeight="1" x14ac:dyDescent="0.25">
      <c r="C175" s="56"/>
      <c r="D175" s="57"/>
      <c r="E175" s="57"/>
      <c r="F175" s="57"/>
      <c r="G175" s="57"/>
      <c r="H175" s="57"/>
      <c r="I175" s="57"/>
      <c r="J175" s="57"/>
      <c r="K175" s="59" t="str">
        <f t="shared" si="6"/>
        <v>0.00 (0.00 – 0.00)</v>
      </c>
      <c r="L175" s="16" t="str">
        <f t="shared" si="7"/>
        <v>0.00
(0.00 – 0.00)</v>
      </c>
      <c r="M175" s="57"/>
      <c r="N175" s="59"/>
      <c r="O175" s="16"/>
    </row>
    <row r="176" spans="3:15" ht="15" hidden="1" customHeight="1" x14ac:dyDescent="0.25">
      <c r="C176" s="56"/>
      <c r="D176" s="57"/>
      <c r="E176" s="57"/>
      <c r="F176" s="57"/>
      <c r="G176" s="57"/>
      <c r="H176" s="57"/>
      <c r="I176" s="57"/>
      <c r="J176" s="57"/>
      <c r="K176" s="59" t="str">
        <f t="shared" si="6"/>
        <v>0.00 (0.00 – 0.00)</v>
      </c>
      <c r="L176" s="16" t="str">
        <f t="shared" si="7"/>
        <v>0.00
(0.00 – 0.00)</v>
      </c>
      <c r="M176" s="57"/>
      <c r="N176" s="59"/>
      <c r="O176" s="16"/>
    </row>
    <row r="177" spans="3:15" ht="15" hidden="1" customHeight="1" x14ac:dyDescent="0.25">
      <c r="C177" s="56"/>
      <c r="D177" s="57"/>
      <c r="E177" s="57"/>
      <c r="F177" s="57"/>
      <c r="G177" s="57"/>
      <c r="H177" s="57"/>
      <c r="I177" s="57"/>
      <c r="J177" s="57"/>
      <c r="K177" s="59" t="str">
        <f t="shared" si="6"/>
        <v>0.00 (0.00 – 0.00)</v>
      </c>
      <c r="L177" s="16" t="str">
        <f t="shared" si="7"/>
        <v>0.00
(0.00 – 0.00)</v>
      </c>
      <c r="M177" s="57"/>
      <c r="N177" s="59"/>
      <c r="O177" s="16"/>
    </row>
    <row r="178" spans="3:15" ht="15" hidden="1" customHeight="1" x14ac:dyDescent="0.25">
      <c r="C178" s="56"/>
      <c r="D178" s="57"/>
      <c r="E178" s="57"/>
      <c r="F178" s="57"/>
      <c r="G178" s="57"/>
      <c r="H178" s="57"/>
      <c r="I178" s="57"/>
      <c r="J178" s="57"/>
      <c r="K178" s="59" t="str">
        <f t="shared" si="6"/>
        <v>0.00 (0.00 – 0.00)</v>
      </c>
      <c r="L178" s="16" t="str">
        <f t="shared" si="7"/>
        <v>0.00
(0.00 – 0.00)</v>
      </c>
      <c r="M178" s="57"/>
      <c r="N178" s="59"/>
      <c r="O178" s="16"/>
    </row>
    <row r="179" spans="3:15" ht="15" hidden="1" customHeight="1" x14ac:dyDescent="0.25">
      <c r="C179" s="56"/>
      <c r="D179" s="57"/>
      <c r="E179" s="57"/>
      <c r="F179" s="57"/>
      <c r="G179" s="57"/>
      <c r="H179" s="57"/>
      <c r="I179" s="57"/>
      <c r="J179" s="57"/>
      <c r="K179" s="59" t="str">
        <f t="shared" si="6"/>
        <v>0.00 (0.00 – 0.00)</v>
      </c>
      <c r="L179" s="16" t="str">
        <f t="shared" si="7"/>
        <v>0.00
(0.00 – 0.00)</v>
      </c>
      <c r="M179" s="57"/>
      <c r="N179" s="59"/>
      <c r="O179" s="16"/>
    </row>
    <row r="180" spans="3:15" ht="15" hidden="1" customHeight="1" x14ac:dyDescent="0.25">
      <c r="C180" s="56"/>
      <c r="D180" s="57"/>
      <c r="E180" s="57"/>
      <c r="F180" s="57"/>
      <c r="G180" s="57"/>
      <c r="H180" s="57"/>
      <c r="I180" s="57"/>
      <c r="J180" s="57"/>
      <c r="K180" s="59" t="str">
        <f t="shared" si="6"/>
        <v>0.00 (0.00 – 0.00)</v>
      </c>
      <c r="L180" s="16" t="str">
        <f t="shared" si="7"/>
        <v>0.00
(0.00 – 0.00)</v>
      </c>
      <c r="M180" s="57"/>
      <c r="N180" s="59"/>
      <c r="O180" s="16"/>
    </row>
    <row r="181" spans="3:15" ht="15" hidden="1" customHeight="1" x14ac:dyDescent="0.25">
      <c r="C181" s="56"/>
      <c r="D181" s="57"/>
      <c r="E181" s="57"/>
      <c r="F181" s="57"/>
      <c r="G181" s="57"/>
      <c r="H181" s="57"/>
      <c r="I181" s="57"/>
      <c r="J181" s="57"/>
      <c r="K181" s="59" t="str">
        <f t="shared" si="6"/>
        <v>0.00 (0.00 – 0.00)</v>
      </c>
      <c r="L181" s="16" t="str">
        <f t="shared" si="7"/>
        <v>0.00
(0.00 – 0.00)</v>
      </c>
      <c r="M181" s="57"/>
      <c r="N181" s="59"/>
      <c r="O181" s="16"/>
    </row>
    <row r="182" spans="3:15" ht="15" hidden="1" customHeight="1" x14ac:dyDescent="0.25">
      <c r="C182" s="56"/>
      <c r="D182" s="57"/>
      <c r="E182" s="57"/>
      <c r="F182" s="57"/>
      <c r="G182" s="57"/>
      <c r="H182" s="57"/>
      <c r="I182" s="57"/>
      <c r="J182" s="57"/>
      <c r="K182" s="59" t="str">
        <f t="shared" si="6"/>
        <v>0.00 (0.00 – 0.00)</v>
      </c>
      <c r="L182" s="16" t="str">
        <f t="shared" si="7"/>
        <v>0.00
(0.00 – 0.00)</v>
      </c>
      <c r="M182" s="57"/>
      <c r="N182" s="59"/>
      <c r="O182" s="16"/>
    </row>
    <row r="183" spans="3:15" ht="15" hidden="1" customHeight="1" x14ac:dyDescent="0.25">
      <c r="C183" s="56"/>
      <c r="D183" s="57"/>
      <c r="E183" s="57"/>
      <c r="F183" s="57"/>
      <c r="G183" s="57"/>
      <c r="H183" s="57"/>
      <c r="I183" s="57"/>
      <c r="J183" s="57"/>
      <c r="K183" s="59" t="str">
        <f t="shared" si="6"/>
        <v>0.00 (0.00 – 0.00)</v>
      </c>
      <c r="L183" s="16" t="str">
        <f t="shared" si="7"/>
        <v>0.00
(0.00 – 0.00)</v>
      </c>
      <c r="M183" s="57"/>
      <c r="N183" s="59"/>
      <c r="O183" s="16"/>
    </row>
    <row r="184" spans="3:15" ht="15" hidden="1" customHeight="1" x14ac:dyDescent="0.25">
      <c r="C184" s="56"/>
      <c r="D184" s="57"/>
      <c r="E184" s="57"/>
      <c r="F184" s="57"/>
      <c r="G184" s="57"/>
      <c r="H184" s="57"/>
      <c r="I184" s="57"/>
      <c r="J184" s="57"/>
      <c r="K184" s="59" t="str">
        <f t="shared" si="6"/>
        <v>0.00 (0.00 – 0.00)</v>
      </c>
      <c r="L184" s="16" t="str">
        <f t="shared" si="7"/>
        <v>0.00
(0.00 – 0.00)</v>
      </c>
      <c r="M184" s="57"/>
      <c r="N184" s="59"/>
      <c r="O184" s="16"/>
    </row>
    <row r="185" spans="3:15" ht="15" hidden="1" customHeight="1" x14ac:dyDescent="0.25">
      <c r="C185" s="56"/>
      <c r="D185" s="57"/>
      <c r="E185" s="57"/>
      <c r="F185" s="57"/>
      <c r="G185" s="57"/>
      <c r="H185" s="57"/>
      <c r="I185" s="57"/>
      <c r="J185" s="57"/>
      <c r="K185" s="59" t="str">
        <f t="shared" si="6"/>
        <v>0.00 (0.00 – 0.00)</v>
      </c>
      <c r="L185" s="16" t="str">
        <f t="shared" si="7"/>
        <v>0.00
(0.00 – 0.00)</v>
      </c>
      <c r="M185" s="57"/>
      <c r="N185" s="59"/>
      <c r="O185" s="16"/>
    </row>
    <row r="186" spans="3:15" ht="15" hidden="1" customHeight="1" x14ac:dyDescent="0.25">
      <c r="C186" s="56"/>
      <c r="D186" s="57"/>
      <c r="E186" s="57"/>
      <c r="F186" s="57"/>
      <c r="G186" s="57"/>
      <c r="H186" s="57"/>
      <c r="I186" s="57"/>
      <c r="J186" s="57"/>
      <c r="K186" s="59" t="str">
        <f t="shared" si="6"/>
        <v>0.00 (0.00 – 0.00)</v>
      </c>
      <c r="L186" s="16" t="str">
        <f t="shared" si="7"/>
        <v>0.00
(0.00 – 0.00)</v>
      </c>
      <c r="M186" s="57"/>
      <c r="N186" s="59"/>
      <c r="O186" s="16"/>
    </row>
    <row r="187" spans="3:15" ht="15" hidden="1" customHeight="1" x14ac:dyDescent="0.25">
      <c r="C187" s="56"/>
      <c r="D187" s="57"/>
      <c r="E187" s="57"/>
      <c r="F187" s="57"/>
      <c r="G187" s="57"/>
      <c r="H187" s="57"/>
      <c r="I187" s="57"/>
      <c r="J187" s="57"/>
      <c r="K187" s="59" t="str">
        <f t="shared" si="6"/>
        <v>0.00 (0.00 – 0.00)</v>
      </c>
      <c r="L187" s="16" t="str">
        <f t="shared" si="7"/>
        <v>0.00
(0.00 – 0.00)</v>
      </c>
      <c r="M187" s="57"/>
      <c r="N187" s="59"/>
      <c r="O187" s="16"/>
    </row>
    <row r="188" spans="3:15" ht="15" hidden="1" customHeight="1" x14ac:dyDescent="0.25">
      <c r="C188" s="56"/>
      <c r="D188" s="57"/>
      <c r="E188" s="57"/>
      <c r="F188" s="57"/>
      <c r="G188" s="57"/>
      <c r="H188" s="57"/>
      <c r="I188" s="57"/>
      <c r="J188" s="57"/>
      <c r="K188" s="59" t="str">
        <f t="shared" si="6"/>
        <v>0.00 (0.00 – 0.00)</v>
      </c>
      <c r="L188" s="16" t="str">
        <f t="shared" si="7"/>
        <v>0.00
(0.00 – 0.00)</v>
      </c>
      <c r="M188" s="57"/>
      <c r="N188" s="59"/>
      <c r="O188" s="16"/>
    </row>
    <row r="189" spans="3:15" ht="15" hidden="1" customHeight="1" x14ac:dyDescent="0.25">
      <c r="C189" s="56"/>
      <c r="D189" s="57"/>
      <c r="E189" s="57"/>
      <c r="F189" s="57"/>
      <c r="G189" s="57"/>
      <c r="H189" s="57"/>
      <c r="I189" s="57"/>
      <c r="J189" s="57"/>
      <c r="K189" s="59" t="str">
        <f t="shared" si="6"/>
        <v>0.00 (0.00 – 0.00)</v>
      </c>
      <c r="L189" s="16" t="str">
        <f t="shared" si="7"/>
        <v>0.00
(0.00 – 0.00)</v>
      </c>
      <c r="M189" s="57"/>
      <c r="N189" s="59"/>
      <c r="O189" s="16"/>
    </row>
    <row r="190" spans="3:15" ht="15" hidden="1" customHeight="1" x14ac:dyDescent="0.25">
      <c r="C190" s="56"/>
      <c r="D190" s="57"/>
      <c r="E190" s="57"/>
      <c r="F190" s="57"/>
      <c r="G190" s="57"/>
      <c r="H190" s="57"/>
      <c r="I190" s="57"/>
      <c r="J190" s="57"/>
      <c r="K190" s="59" t="str">
        <f t="shared" si="6"/>
        <v>0.00 (0.00 – 0.00)</v>
      </c>
      <c r="L190" s="16" t="str">
        <f t="shared" si="7"/>
        <v>0.00
(0.00 – 0.00)</v>
      </c>
      <c r="M190" s="57"/>
      <c r="N190" s="59"/>
      <c r="O190" s="16"/>
    </row>
    <row r="191" spans="3:15" ht="15" hidden="1" customHeight="1" x14ac:dyDescent="0.25">
      <c r="C191" s="56"/>
      <c r="D191" s="57"/>
      <c r="E191" s="57"/>
      <c r="F191" s="57"/>
      <c r="G191" s="57"/>
      <c r="H191" s="57"/>
      <c r="I191" s="57"/>
      <c r="J191" s="57"/>
      <c r="K191" s="59" t="str">
        <f t="shared" si="6"/>
        <v>0.00 (0.00 – 0.00)</v>
      </c>
      <c r="L191" s="16" t="str">
        <f t="shared" si="7"/>
        <v>0.00
(0.00 – 0.00)</v>
      </c>
      <c r="M191" s="57"/>
      <c r="N191" s="59"/>
      <c r="O191" s="16"/>
    </row>
    <row r="192" spans="3:15" ht="15" hidden="1" customHeight="1" x14ac:dyDescent="0.25">
      <c r="C192" s="56"/>
      <c r="D192" s="57"/>
      <c r="E192" s="57"/>
      <c r="F192" s="57"/>
      <c r="G192" s="57"/>
      <c r="H192" s="57"/>
      <c r="I192" s="57"/>
      <c r="J192" s="57"/>
      <c r="K192" s="59" t="str">
        <f t="shared" si="6"/>
        <v>0.00 (0.00 – 0.00)</v>
      </c>
      <c r="L192" s="16" t="str">
        <f t="shared" si="7"/>
        <v>0.00
(0.00 – 0.00)</v>
      </c>
      <c r="M192" s="57"/>
      <c r="N192" s="59"/>
      <c r="O192" s="16"/>
    </row>
    <row r="193" spans="3:15" ht="15" hidden="1" customHeight="1" x14ac:dyDescent="0.25">
      <c r="C193" s="56"/>
      <c r="D193" s="57"/>
      <c r="E193" s="57"/>
      <c r="F193" s="57"/>
      <c r="G193" s="57"/>
      <c r="H193" s="57"/>
      <c r="I193" s="57"/>
      <c r="J193" s="57"/>
      <c r="K193" s="59" t="str">
        <f t="shared" si="6"/>
        <v>0.00 (0.00 – 0.00)</v>
      </c>
      <c r="L193" s="16" t="str">
        <f t="shared" si="7"/>
        <v>0.00
(0.00 – 0.00)</v>
      </c>
      <c r="M193" s="57"/>
      <c r="N193" s="59"/>
      <c r="O193" s="16"/>
    </row>
    <row r="194" spans="3:15" ht="15" hidden="1" customHeight="1" x14ac:dyDescent="0.25">
      <c r="C194" s="56"/>
      <c r="D194" s="57"/>
      <c r="E194" s="57"/>
      <c r="F194" s="57"/>
      <c r="G194" s="57"/>
      <c r="H194" s="57"/>
      <c r="I194" s="57"/>
      <c r="J194" s="57"/>
      <c r="K194" s="59" t="str">
        <f t="shared" si="6"/>
        <v>0.00 (0.00 – 0.00)</v>
      </c>
      <c r="L194" s="16" t="str">
        <f t="shared" si="7"/>
        <v>0.00
(0.00 – 0.00)</v>
      </c>
      <c r="M194" s="57"/>
      <c r="N194" s="59"/>
      <c r="O194" s="16"/>
    </row>
    <row r="195" spans="3:15" ht="15" hidden="1" customHeight="1" x14ac:dyDescent="0.25">
      <c r="C195" s="56"/>
      <c r="D195" s="57"/>
      <c r="E195" s="57"/>
      <c r="F195" s="57"/>
      <c r="G195" s="57"/>
      <c r="H195" s="57"/>
      <c r="I195" s="57"/>
      <c r="J195" s="57"/>
      <c r="K195" s="59" t="str">
        <f t="shared" si="6"/>
        <v>0.00 (0.00 – 0.00)</v>
      </c>
      <c r="L195" s="16" t="str">
        <f t="shared" si="7"/>
        <v>0.00
(0.00 – 0.00)</v>
      </c>
      <c r="M195" s="57"/>
      <c r="N195" s="59"/>
      <c r="O195" s="16"/>
    </row>
    <row r="196" spans="3:15" ht="15" hidden="1" customHeight="1" x14ac:dyDescent="0.25">
      <c r="C196" s="56"/>
      <c r="D196" s="57"/>
      <c r="E196" s="57"/>
      <c r="F196" s="57"/>
      <c r="G196" s="57"/>
      <c r="H196" s="57"/>
      <c r="I196" s="57"/>
      <c r="J196" s="57"/>
      <c r="K196" s="59" t="str">
        <f t="shared" si="6"/>
        <v>0.00 (0.00 – 0.00)</v>
      </c>
      <c r="L196" s="16" t="str">
        <f t="shared" si="7"/>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7"/>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sheetData>
  <sortState ref="E5:L49">
    <sortCondition descending="1" ref="I4"/>
  </sortState>
  <dataConsolidate/>
  <mergeCells count="2">
    <mergeCell ref="F3:L3"/>
    <mergeCell ref="N3:T3"/>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0" tint="-0.499984740745262"/>
  </sheetPr>
  <dimension ref="A1:T204"/>
  <sheetViews>
    <sheetView showGridLines="0" zoomScaleNormal="100" workbookViewId="0">
      <selection activeCell="E5" sqref="E5:L49"/>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Random Effects (Vague)</v>
      </c>
      <c r="F1" s="57"/>
      <c r="G1" s="57"/>
      <c r="H1" s="57"/>
      <c r="I1" s="57"/>
      <c r="J1" s="57"/>
      <c r="K1" s="57"/>
      <c r="L1" s="57"/>
      <c r="M1" s="57"/>
    </row>
    <row r="2" spans="1:20" x14ac:dyDescent="0.25">
      <c r="A2" t="str">
        <f>CONCATENATE("Heterogeneity (Vague) = ",INDEX('RE Results (Vague Prior)'!B:H,MATCH("sd",'RE Results (Vague Prior)'!B:B,0),6), " 
95% CrI (",INDEX('RE Results (Vague Prior)'!B:H,MATCH("sd",'RE Results (Vague Prior)'!B:B,0),5)," – ",INDEX('RE Results (Vague Prior)'!B:H,MATCH("sd",'RE Results (Vague Prior)'!B:B,0),7),")")</f>
        <v>Heterogeneity (Vague) = 0.4558 
95% CrI (0.1187 – 0.7911)</v>
      </c>
      <c r="F2" s="57"/>
      <c r="G2" s="57"/>
      <c r="H2" s="57"/>
      <c r="I2" s="57"/>
      <c r="J2" s="57"/>
      <c r="K2" s="57"/>
      <c r="L2" s="57"/>
      <c r="M2" s="57"/>
    </row>
    <row r="3" spans="1:20" x14ac:dyDescent="0.25">
      <c r="F3" s="277" t="str">
        <f>"Random Effects (Vague Prior)"</f>
        <v>Random Effects (Vague Prior)</v>
      </c>
      <c r="G3" s="277"/>
      <c r="H3" s="277"/>
      <c r="I3" s="277"/>
      <c r="J3" s="277"/>
      <c r="K3" s="277"/>
      <c r="L3" s="277"/>
      <c r="N3" s="277" t="str">
        <f>F3</f>
        <v>Random Effects (Vague Prior)</v>
      </c>
      <c r="O3" s="277"/>
      <c r="P3" s="277"/>
      <c r="Q3" s="277"/>
      <c r="R3" s="277"/>
      <c r="S3" s="277"/>
      <c r="T3" s="277"/>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A5" t="s">
        <v>356</v>
      </c>
      <c r="B5" s="54">
        <v>6</v>
      </c>
      <c r="C5" s="54">
        <v>2.1150000000000002</v>
      </c>
      <c r="E5" s="19">
        <v>6</v>
      </c>
      <c r="F5" s="19">
        <v>10</v>
      </c>
      <c r="G5" s="19" t="s">
        <v>771</v>
      </c>
      <c r="H5" s="19">
        <v>5.344735435595938</v>
      </c>
      <c r="I5" s="19">
        <v>15.845349389954048</v>
      </c>
      <c r="J5" s="19">
        <v>49.75124378109453</v>
      </c>
      <c r="K5" s="59" t="str">
        <f t="shared" ref="K5:K49" si="0">CONCATENATE(TEXT(I5,"0.00")," (",TEXT(H5,"0.00")," – ",TEXT(J5,"0.00"),")")</f>
        <v>15.85 (5.34 – 49.75)</v>
      </c>
      <c r="L5" s="16" t="str">
        <f t="shared" ref="L5:L49" si="1">CONCATENATE(TEXT(I5,"0.00"),"
(",TEXT(H5,"0.00")," – ",TEXT(J5,"0.00"),")")</f>
        <v>15.85
(5.34 – 49.75)</v>
      </c>
      <c r="N5" s="59" t="s">
        <v>418</v>
      </c>
      <c r="O5" s="16" t="s">
        <v>723</v>
      </c>
      <c r="P5">
        <v>0.33189999999999997</v>
      </c>
      <c r="Q5">
        <v>0.53680000000000005</v>
      </c>
      <c r="R5">
        <v>0.84109999999999996</v>
      </c>
      <c r="S5">
        <v>2</v>
      </c>
      <c r="T5">
        <v>1</v>
      </c>
    </row>
    <row r="6" spans="1:20" x14ac:dyDescent="0.25">
      <c r="A6" t="s">
        <v>354</v>
      </c>
      <c r="B6" s="19">
        <v>4</v>
      </c>
      <c r="C6" s="19">
        <v>2.5169999999999999</v>
      </c>
      <c r="E6" s="19">
        <v>4</v>
      </c>
      <c r="F6" s="19">
        <v>10</v>
      </c>
      <c r="G6" s="19" t="s">
        <v>779</v>
      </c>
      <c r="H6" s="19">
        <v>5.0658561296859173</v>
      </c>
      <c r="I6" s="19">
        <v>13.8217000691085</v>
      </c>
      <c r="J6" s="19">
        <v>38.654812524159254</v>
      </c>
      <c r="K6" s="59" t="str">
        <f t="shared" si="0"/>
        <v>13.82 (5.07 – 38.65)</v>
      </c>
      <c r="L6" s="16" t="str">
        <f t="shared" si="1"/>
        <v>13.82
(5.07 – 38.65)</v>
      </c>
      <c r="N6" s="59" t="s">
        <v>419</v>
      </c>
      <c r="O6" s="16" t="s">
        <v>724</v>
      </c>
      <c r="P6">
        <v>0.66180000000000005</v>
      </c>
      <c r="Q6">
        <v>1.282</v>
      </c>
      <c r="R6">
        <v>2.419</v>
      </c>
      <c r="S6">
        <v>3</v>
      </c>
      <c r="T6">
        <v>1</v>
      </c>
    </row>
    <row r="7" spans="1:20" x14ac:dyDescent="0.25">
      <c r="A7" t="s">
        <v>355</v>
      </c>
      <c r="B7" s="54">
        <v>5</v>
      </c>
      <c r="C7" s="54">
        <v>2.9940000000000002</v>
      </c>
      <c r="E7" s="19">
        <v>5</v>
      </c>
      <c r="F7" s="19">
        <v>10</v>
      </c>
      <c r="G7" s="19" t="s">
        <v>775</v>
      </c>
      <c r="H7" s="19">
        <v>2.6553372278279341</v>
      </c>
      <c r="I7" s="19">
        <v>13.781697905181918</v>
      </c>
      <c r="J7" s="19">
        <v>77.160493827160494</v>
      </c>
      <c r="K7" s="59" t="str">
        <f t="shared" si="0"/>
        <v>13.78 (2.66 – 77.16)</v>
      </c>
      <c r="L7" s="16" t="str">
        <f t="shared" si="1"/>
        <v>13.78
(2.66 – 77.16)</v>
      </c>
      <c r="N7" s="59" t="s">
        <v>420</v>
      </c>
      <c r="O7" s="16" t="s">
        <v>725</v>
      </c>
      <c r="P7">
        <v>0.77590000000000003</v>
      </c>
      <c r="Q7">
        <v>2.016</v>
      </c>
      <c r="R7">
        <v>5.32</v>
      </c>
      <c r="S7">
        <v>4</v>
      </c>
      <c r="T7">
        <v>1</v>
      </c>
    </row>
    <row r="8" spans="1:20" x14ac:dyDescent="0.25">
      <c r="A8" t="s">
        <v>353</v>
      </c>
      <c r="B8" s="19">
        <v>3</v>
      </c>
      <c r="C8" s="19">
        <v>4.2619999999999996</v>
      </c>
      <c r="E8" s="19">
        <v>3</v>
      </c>
      <c r="F8" s="19">
        <v>10</v>
      </c>
      <c r="G8" s="19" t="s">
        <v>783</v>
      </c>
      <c r="H8" s="19">
        <v>4.4444444444444446</v>
      </c>
      <c r="I8" s="19">
        <v>8.7183958151700089</v>
      </c>
      <c r="J8" s="19">
        <v>17.473353136466887</v>
      </c>
      <c r="K8" s="59" t="str">
        <f t="shared" si="0"/>
        <v>8.72 (4.44 – 17.47)</v>
      </c>
      <c r="L8" s="16" t="str">
        <f t="shared" si="1"/>
        <v>8.72
(4.44 – 17.47)</v>
      </c>
      <c r="N8" s="59" t="s">
        <v>421</v>
      </c>
      <c r="O8" s="16" t="s">
        <v>726</v>
      </c>
      <c r="P8">
        <v>0.40679999999999999</v>
      </c>
      <c r="Q8">
        <v>2.0129999999999999</v>
      </c>
      <c r="R8">
        <v>10.48</v>
      </c>
      <c r="S8">
        <v>5</v>
      </c>
      <c r="T8">
        <v>1</v>
      </c>
    </row>
    <row r="9" spans="1:20" x14ac:dyDescent="0.25">
      <c r="A9" t="s">
        <v>359</v>
      </c>
      <c r="B9" s="19">
        <v>9</v>
      </c>
      <c r="C9" s="19">
        <v>5.0030000000000001</v>
      </c>
      <c r="E9" s="19">
        <v>9</v>
      </c>
      <c r="F9" s="19">
        <v>10</v>
      </c>
      <c r="G9" s="19" t="s">
        <v>788</v>
      </c>
      <c r="H9" s="19">
        <v>3.9824771007566708</v>
      </c>
      <c r="I9" s="19">
        <v>7.3583517292126563</v>
      </c>
      <c r="J9" s="19">
        <v>14.55604075691412</v>
      </c>
      <c r="K9" s="59" t="str">
        <f t="shared" si="0"/>
        <v>7.36 (3.98 – 14.56)</v>
      </c>
      <c r="L9" s="16" t="str">
        <f t="shared" si="1"/>
        <v>7.36
(3.98 – 14.56)</v>
      </c>
      <c r="N9" s="59" t="s">
        <v>422</v>
      </c>
      <c r="O9" s="16" t="s">
        <v>727</v>
      </c>
      <c r="P9">
        <v>0.79869999999999997</v>
      </c>
      <c r="Q9">
        <v>2.3290000000000002</v>
      </c>
      <c r="R9">
        <v>6.9050000000000002</v>
      </c>
      <c r="S9">
        <v>6</v>
      </c>
      <c r="T9">
        <v>1</v>
      </c>
    </row>
    <row r="10" spans="1:20" x14ac:dyDescent="0.25">
      <c r="A10" t="s">
        <v>351</v>
      </c>
      <c r="B10" s="54">
        <v>1</v>
      </c>
      <c r="C10" s="54">
        <v>5.4109999999999996</v>
      </c>
      <c r="E10" s="57">
        <v>1</v>
      </c>
      <c r="F10" s="57">
        <v>10</v>
      </c>
      <c r="G10" s="57" t="s">
        <v>787</v>
      </c>
      <c r="H10" s="57">
        <v>3.8124285169653072</v>
      </c>
      <c r="I10" s="57">
        <v>6.8166325835037496</v>
      </c>
      <c r="J10" s="57">
        <v>12.74534794799898</v>
      </c>
      <c r="K10" s="59" t="str">
        <f t="shared" si="0"/>
        <v>6.82 (3.81 – 12.75)</v>
      </c>
      <c r="L10" s="16" t="str">
        <f t="shared" si="1"/>
        <v>6.82
(3.81 – 12.75)</v>
      </c>
      <c r="N10" s="59" t="s">
        <v>423</v>
      </c>
      <c r="O10" s="16" t="s">
        <v>728</v>
      </c>
      <c r="P10">
        <v>0.10299999999999999</v>
      </c>
      <c r="Q10">
        <v>0.38619999999999999</v>
      </c>
      <c r="R10">
        <v>1.44</v>
      </c>
      <c r="S10">
        <v>7</v>
      </c>
      <c r="T10">
        <v>1</v>
      </c>
    </row>
    <row r="11" spans="1:20" x14ac:dyDescent="0.25">
      <c r="A11" t="s">
        <v>358</v>
      </c>
      <c r="B11" s="19">
        <v>8</v>
      </c>
      <c r="C11" s="19">
        <v>6.5679999999999996</v>
      </c>
      <c r="E11" s="57">
        <v>6</v>
      </c>
      <c r="F11" s="57">
        <v>7</v>
      </c>
      <c r="G11" s="57" t="s">
        <v>770</v>
      </c>
      <c r="H11" s="57">
        <v>1.20962864400629</v>
      </c>
      <c r="I11" s="57">
        <v>5.9988002399520104</v>
      </c>
      <c r="J11" s="57">
        <v>31.948881789137378</v>
      </c>
      <c r="K11" s="59" t="str">
        <f t="shared" si="0"/>
        <v>6.00 (1.21 – 31.95)</v>
      </c>
      <c r="L11" s="16" t="str">
        <f t="shared" si="1"/>
        <v>6.00
(1.21 – 31.95)</v>
      </c>
      <c r="N11" s="59" t="s">
        <v>424</v>
      </c>
      <c r="O11" s="16" t="s">
        <v>729</v>
      </c>
      <c r="P11">
        <v>0.23069999999999999</v>
      </c>
      <c r="Q11">
        <v>0.71519999999999995</v>
      </c>
      <c r="R11">
        <v>2.129</v>
      </c>
      <c r="S11">
        <v>8</v>
      </c>
      <c r="T11">
        <v>1</v>
      </c>
    </row>
    <row r="12" spans="1:20" x14ac:dyDescent="0.25">
      <c r="A12" t="s">
        <v>352</v>
      </c>
      <c r="B12" s="19">
        <v>2</v>
      </c>
      <c r="C12" s="19">
        <v>7.915</v>
      </c>
      <c r="E12" s="57">
        <v>5</v>
      </c>
      <c r="F12" s="57">
        <v>7</v>
      </c>
      <c r="G12" s="57" t="s">
        <v>774</v>
      </c>
      <c r="H12" s="57">
        <v>0.75528700906344404</v>
      </c>
      <c r="I12" s="57">
        <v>5.2137643378519289</v>
      </c>
      <c r="J12" s="57">
        <v>38.402457757296467</v>
      </c>
      <c r="K12" s="59" t="str">
        <f t="shared" si="0"/>
        <v>5.21 (0.76 – 38.40)</v>
      </c>
      <c r="L12" s="16" t="str">
        <f t="shared" si="1"/>
        <v>5.21
(0.76 – 38.40)</v>
      </c>
      <c r="N12" s="59" t="s">
        <v>425</v>
      </c>
      <c r="O12" s="16" t="s">
        <v>730</v>
      </c>
      <c r="P12">
        <v>0.60140000000000005</v>
      </c>
      <c r="Q12">
        <v>1.077</v>
      </c>
      <c r="R12">
        <v>2.024</v>
      </c>
      <c r="S12">
        <v>9</v>
      </c>
      <c r="T12">
        <v>1</v>
      </c>
    </row>
    <row r="13" spans="1:20" x14ac:dyDescent="0.25">
      <c r="A13" t="s">
        <v>357</v>
      </c>
      <c r="B13" s="54">
        <v>7</v>
      </c>
      <c r="C13" s="54">
        <v>8.3019999999999996</v>
      </c>
      <c r="E13" s="19">
        <v>4</v>
      </c>
      <c r="F13" s="59">
        <v>7</v>
      </c>
      <c r="G13" s="54" t="s">
        <v>778</v>
      </c>
      <c r="H13" s="16">
        <v>1.1227124733355787</v>
      </c>
      <c r="I13" s="16">
        <v>5.1840331778123385</v>
      </c>
      <c r="J13" s="16">
        <v>25.400050800101599</v>
      </c>
      <c r="K13" s="59" t="str">
        <f t="shared" si="0"/>
        <v>5.18 (1.12 – 25.40)</v>
      </c>
      <c r="L13" s="16" t="str">
        <f t="shared" si="1"/>
        <v>5.18
(1.12 – 25.40)</v>
      </c>
      <c r="N13" s="59" t="s">
        <v>426</v>
      </c>
      <c r="O13" s="16" t="s">
        <v>731</v>
      </c>
      <c r="P13">
        <v>7.8460000000000002E-2</v>
      </c>
      <c r="Q13">
        <v>0.1467</v>
      </c>
      <c r="R13">
        <v>0.26229999999999998</v>
      </c>
      <c r="S13">
        <v>10</v>
      </c>
      <c r="T13">
        <v>1</v>
      </c>
    </row>
    <row r="14" spans="1:20" x14ac:dyDescent="0.25">
      <c r="A14" t="s">
        <v>360</v>
      </c>
      <c r="B14" s="54">
        <v>10</v>
      </c>
      <c r="C14" s="54">
        <v>9.9139999999999997</v>
      </c>
      <c r="E14" s="19">
        <v>8</v>
      </c>
      <c r="F14" s="19">
        <v>10</v>
      </c>
      <c r="G14" s="19" t="s">
        <v>789</v>
      </c>
      <c r="H14" s="19">
        <v>1.4436263894904</v>
      </c>
      <c r="I14" s="19">
        <v>4.8756704046806432</v>
      </c>
      <c r="J14" s="19">
        <v>16.32386549134835</v>
      </c>
      <c r="K14" s="59" t="str">
        <f t="shared" si="0"/>
        <v>4.88 (1.44 – 16.32)</v>
      </c>
      <c r="L14" s="16" t="str">
        <f t="shared" si="1"/>
        <v>4.88
(1.44 – 16.32)</v>
      </c>
      <c r="N14" s="59" t="s">
        <v>427</v>
      </c>
      <c r="O14" s="16" t="s">
        <v>732</v>
      </c>
      <c r="P14">
        <v>1.2989999999999999</v>
      </c>
      <c r="Q14">
        <v>2.3889999999999998</v>
      </c>
      <c r="R14">
        <v>4.4880000000000004</v>
      </c>
      <c r="S14">
        <v>3</v>
      </c>
      <c r="T14">
        <v>2</v>
      </c>
    </row>
    <row r="15" spans="1:20" ht="15" customHeight="1" x14ac:dyDescent="0.25">
      <c r="E15" s="19">
        <v>6</v>
      </c>
      <c r="F15" s="19">
        <v>2</v>
      </c>
      <c r="G15" s="19" t="s">
        <v>735</v>
      </c>
      <c r="H15" s="19">
        <v>1.5229999999999999</v>
      </c>
      <c r="I15" s="19">
        <v>4.3410000000000002</v>
      </c>
      <c r="J15" s="19">
        <v>12.78</v>
      </c>
      <c r="K15" s="59" t="str">
        <f t="shared" si="0"/>
        <v>4.34 (1.52 – 12.78)</v>
      </c>
      <c r="L15" s="16" t="str">
        <f t="shared" si="1"/>
        <v>4.34
(1.52 – 12.78)</v>
      </c>
      <c r="N15" s="59" t="s">
        <v>428</v>
      </c>
      <c r="O15" s="16" t="s">
        <v>733</v>
      </c>
      <c r="P15">
        <v>1.4730000000000001</v>
      </c>
      <c r="Q15">
        <v>3.7730000000000001</v>
      </c>
      <c r="R15">
        <v>10.039999999999999</v>
      </c>
      <c r="S15">
        <v>4</v>
      </c>
      <c r="T15">
        <v>2</v>
      </c>
    </row>
    <row r="16" spans="1:20" ht="15" customHeight="1" x14ac:dyDescent="0.25">
      <c r="E16" s="57">
        <v>4</v>
      </c>
      <c r="F16" s="57">
        <v>2</v>
      </c>
      <c r="G16" s="57" t="s">
        <v>733</v>
      </c>
      <c r="H16" s="57">
        <v>1.4730000000000001</v>
      </c>
      <c r="I16" s="57">
        <v>3.7730000000000001</v>
      </c>
      <c r="J16" s="57">
        <v>10.039999999999999</v>
      </c>
      <c r="K16" s="59" t="str">
        <f t="shared" si="0"/>
        <v>3.77 (1.47 – 10.04)</v>
      </c>
      <c r="L16" s="16" t="str">
        <f t="shared" si="1"/>
        <v>3.77
(1.47 – 10.04)</v>
      </c>
      <c r="N16" s="59" t="s">
        <v>429</v>
      </c>
      <c r="O16" s="16" t="s">
        <v>734</v>
      </c>
      <c r="P16">
        <v>0.82969999999999999</v>
      </c>
      <c r="Q16">
        <v>3.762</v>
      </c>
      <c r="R16">
        <v>18.23</v>
      </c>
      <c r="S16">
        <v>5</v>
      </c>
      <c r="T16">
        <v>2</v>
      </c>
    </row>
    <row r="17" spans="5:20" ht="15" customHeight="1" x14ac:dyDescent="0.25">
      <c r="E17" s="57">
        <v>5</v>
      </c>
      <c r="F17" s="57">
        <v>2</v>
      </c>
      <c r="G17" s="57" t="s">
        <v>734</v>
      </c>
      <c r="H17" s="57">
        <v>0.82969999999999999</v>
      </c>
      <c r="I17" s="57">
        <v>3.762</v>
      </c>
      <c r="J17" s="57">
        <v>18.23</v>
      </c>
      <c r="K17" s="59" t="str">
        <f t="shared" si="0"/>
        <v>3.76 (0.83 – 18.23)</v>
      </c>
      <c r="L17" s="16" t="str">
        <f t="shared" si="1"/>
        <v>3.76
(0.83 – 18.23)</v>
      </c>
      <c r="N17" s="59" t="s">
        <v>430</v>
      </c>
      <c r="O17" s="16" t="s">
        <v>735</v>
      </c>
      <c r="P17">
        <v>1.5229999999999999</v>
      </c>
      <c r="Q17">
        <v>4.3410000000000002</v>
      </c>
      <c r="R17">
        <v>12.78</v>
      </c>
      <c r="S17">
        <v>6</v>
      </c>
      <c r="T17">
        <v>2</v>
      </c>
    </row>
    <row r="18" spans="5:20" ht="15" customHeight="1" x14ac:dyDescent="0.25">
      <c r="E18" s="19">
        <v>2</v>
      </c>
      <c r="F18" s="59">
        <v>10</v>
      </c>
      <c r="G18" s="54" t="s">
        <v>791</v>
      </c>
      <c r="H18" s="16">
        <v>1.9256691700365878</v>
      </c>
      <c r="I18" s="16">
        <v>3.6670333700036672</v>
      </c>
      <c r="J18" s="16">
        <v>6.9492703266157054</v>
      </c>
      <c r="K18" s="59" t="str">
        <f t="shared" si="0"/>
        <v>3.67 (1.93 – 6.95)</v>
      </c>
      <c r="L18" s="16" t="str">
        <f t="shared" si="1"/>
        <v>3.67
(1.93 – 6.95)</v>
      </c>
      <c r="N18" s="59" t="s">
        <v>431</v>
      </c>
      <c r="O18" s="16" t="s">
        <v>736</v>
      </c>
      <c r="P18">
        <v>0.21049999999999999</v>
      </c>
      <c r="Q18">
        <v>0.71870000000000001</v>
      </c>
      <c r="R18">
        <v>2.4870000000000001</v>
      </c>
      <c r="S18">
        <v>7</v>
      </c>
      <c r="T18">
        <v>2</v>
      </c>
    </row>
    <row r="19" spans="5:20" ht="15" customHeight="1" x14ac:dyDescent="0.25">
      <c r="E19" s="19">
        <v>3</v>
      </c>
      <c r="F19" s="19">
        <v>7</v>
      </c>
      <c r="G19" s="19" t="s">
        <v>782</v>
      </c>
      <c r="H19" s="19">
        <v>0.83333333333333337</v>
      </c>
      <c r="I19" s="19">
        <v>3.318951211417192</v>
      </c>
      <c r="J19" s="19">
        <v>13.229263130043655</v>
      </c>
      <c r="K19" s="59" t="str">
        <f t="shared" si="0"/>
        <v>3.32 (0.83 – 13.23)</v>
      </c>
      <c r="L19" s="16" t="str">
        <f t="shared" si="1"/>
        <v>3.32
(0.83 – 13.23)</v>
      </c>
      <c r="N19" s="59" t="s">
        <v>432</v>
      </c>
      <c r="O19" s="16" t="s">
        <v>737</v>
      </c>
      <c r="P19">
        <v>0.43769999999999998</v>
      </c>
      <c r="Q19">
        <v>1.333</v>
      </c>
      <c r="R19">
        <v>3.915</v>
      </c>
      <c r="S19">
        <v>8</v>
      </c>
      <c r="T19">
        <v>2</v>
      </c>
    </row>
    <row r="20" spans="5:20" ht="15" customHeight="1" x14ac:dyDescent="0.25">
      <c r="E20" s="57">
        <v>6</v>
      </c>
      <c r="F20" s="57">
        <v>8</v>
      </c>
      <c r="G20" s="57" t="s">
        <v>769</v>
      </c>
      <c r="H20" s="57">
        <v>0.75301204819277101</v>
      </c>
      <c r="I20" s="57">
        <v>3.2278889606197545</v>
      </c>
      <c r="J20" s="57">
        <v>14.954389113204726</v>
      </c>
      <c r="K20" s="59" t="str">
        <f t="shared" si="0"/>
        <v>3.23 (0.75 – 14.95)</v>
      </c>
      <c r="L20" s="16" t="str">
        <f t="shared" si="1"/>
        <v>3.23
(0.75 – 14.95)</v>
      </c>
      <c r="N20" s="59" t="s">
        <v>433</v>
      </c>
      <c r="O20" s="16" t="s">
        <v>738</v>
      </c>
      <c r="P20">
        <v>1.038</v>
      </c>
      <c r="Q20">
        <v>2.008</v>
      </c>
      <c r="R20">
        <v>4.117</v>
      </c>
      <c r="S20">
        <v>9</v>
      </c>
      <c r="T20">
        <v>2</v>
      </c>
    </row>
    <row r="21" spans="5:20" ht="15" customHeight="1" x14ac:dyDescent="0.25">
      <c r="E21" s="57">
        <v>5</v>
      </c>
      <c r="F21" s="57">
        <v>8</v>
      </c>
      <c r="G21" s="57" t="s">
        <v>773</v>
      </c>
      <c r="H21" s="57">
        <v>0.42735042735042739</v>
      </c>
      <c r="I21" s="57">
        <v>2.8620492272467088</v>
      </c>
      <c r="J21" s="57">
        <v>19.71608832807571</v>
      </c>
      <c r="K21" s="59" t="str">
        <f t="shared" si="0"/>
        <v>2.86 (0.43 – 19.72)</v>
      </c>
      <c r="L21" s="16" t="str">
        <f t="shared" si="1"/>
        <v>2.86
(0.43 – 19.72)</v>
      </c>
      <c r="N21" s="59" t="s">
        <v>434</v>
      </c>
      <c r="O21" s="16" t="s">
        <v>739</v>
      </c>
      <c r="P21">
        <v>0.1439</v>
      </c>
      <c r="Q21">
        <v>0.2727</v>
      </c>
      <c r="R21">
        <v>0.51929999999999998</v>
      </c>
      <c r="S21">
        <v>10</v>
      </c>
      <c r="T21">
        <v>2</v>
      </c>
    </row>
    <row r="22" spans="5:20" ht="15" customHeight="1" x14ac:dyDescent="0.25">
      <c r="E22" s="19">
        <v>4</v>
      </c>
      <c r="F22" s="59">
        <v>8</v>
      </c>
      <c r="G22" s="54" t="s">
        <v>777</v>
      </c>
      <c r="H22" s="16">
        <v>0.69541029207232274</v>
      </c>
      <c r="I22" s="16">
        <v>2.8240609997175938</v>
      </c>
      <c r="J22" s="16">
        <v>12.025012025012025</v>
      </c>
      <c r="K22" s="59" t="str">
        <f t="shared" si="0"/>
        <v>2.82 (0.70 – 12.03)</v>
      </c>
      <c r="L22" s="16" t="str">
        <f t="shared" si="1"/>
        <v>2.82
(0.70 – 12.03)</v>
      </c>
      <c r="N22" s="59" t="s">
        <v>435</v>
      </c>
      <c r="O22" s="16" t="s">
        <v>740</v>
      </c>
      <c r="P22">
        <v>0.74160000000000004</v>
      </c>
      <c r="Q22">
        <v>1.58</v>
      </c>
      <c r="R22">
        <v>3.4569999999999999</v>
      </c>
      <c r="S22">
        <v>4</v>
      </c>
      <c r="T22">
        <v>3</v>
      </c>
    </row>
    <row r="23" spans="5:20" ht="15" customHeight="1" x14ac:dyDescent="0.25">
      <c r="E23" s="19">
        <v>9</v>
      </c>
      <c r="F23" s="19">
        <v>7</v>
      </c>
      <c r="G23" s="19" t="s">
        <v>763</v>
      </c>
      <c r="H23" s="19">
        <v>0.70320000000000005</v>
      </c>
      <c r="I23" s="19">
        <v>2.7669999999999999</v>
      </c>
      <c r="J23" s="19">
        <v>11.91</v>
      </c>
      <c r="K23" s="59" t="str">
        <f t="shared" si="0"/>
        <v>2.77 (0.70 – 11.91)</v>
      </c>
      <c r="L23" s="16" t="str">
        <f t="shared" si="1"/>
        <v>2.77
(0.70 – 11.91)</v>
      </c>
      <c r="N23" s="59" t="s">
        <v>436</v>
      </c>
      <c r="O23" s="16" t="s">
        <v>741</v>
      </c>
      <c r="P23">
        <v>0.30370000000000003</v>
      </c>
      <c r="Q23">
        <v>1.5820000000000001</v>
      </c>
      <c r="R23">
        <v>8.5289999999999999</v>
      </c>
      <c r="S23">
        <v>5</v>
      </c>
      <c r="T23">
        <v>3</v>
      </c>
    </row>
    <row r="24" spans="5:20" ht="15" customHeight="1" x14ac:dyDescent="0.25">
      <c r="E24" s="19">
        <v>7</v>
      </c>
      <c r="F24" s="19">
        <v>10</v>
      </c>
      <c r="G24" s="19" t="s">
        <v>792</v>
      </c>
      <c r="H24" s="19">
        <v>0.66050198150594452</v>
      </c>
      <c r="I24" s="19">
        <v>2.6253609871357311</v>
      </c>
      <c r="J24" s="19">
        <v>10.751532093323299</v>
      </c>
      <c r="K24" s="59" t="str">
        <f t="shared" si="0"/>
        <v>2.63 (0.66 – 10.75)</v>
      </c>
      <c r="L24" s="16" t="str">
        <f t="shared" si="1"/>
        <v>2.63
(0.66 – 10.75)</v>
      </c>
      <c r="N24" s="59" t="s">
        <v>437</v>
      </c>
      <c r="O24" s="16" t="s">
        <v>742</v>
      </c>
      <c r="P24">
        <v>0.76549999999999996</v>
      </c>
      <c r="Q24">
        <v>1.8109999999999999</v>
      </c>
      <c r="R24">
        <v>4.4569999999999999</v>
      </c>
      <c r="S24">
        <v>6</v>
      </c>
      <c r="T24">
        <v>3</v>
      </c>
    </row>
    <row r="25" spans="5:20" ht="15" customHeight="1" x14ac:dyDescent="0.25">
      <c r="E25" s="57">
        <v>1</v>
      </c>
      <c r="F25" s="57">
        <v>7</v>
      </c>
      <c r="G25" s="57" t="s">
        <v>786</v>
      </c>
      <c r="H25" s="57">
        <v>0.69444444444444442</v>
      </c>
      <c r="I25" s="57">
        <v>2.5893319523562921</v>
      </c>
      <c r="J25" s="57">
        <v>9.7087378640776709</v>
      </c>
      <c r="K25" s="59" t="str">
        <f t="shared" si="0"/>
        <v>2.59 (0.69 – 9.71)</v>
      </c>
      <c r="L25" s="16" t="str">
        <f t="shared" si="1"/>
        <v>2.59
(0.69 – 9.71)</v>
      </c>
      <c r="N25" s="59" t="s">
        <v>438</v>
      </c>
      <c r="O25" s="16" t="s">
        <v>743</v>
      </c>
      <c r="P25">
        <v>7.5590000000000004E-2</v>
      </c>
      <c r="Q25">
        <v>0.30130000000000001</v>
      </c>
      <c r="R25">
        <v>1.2</v>
      </c>
      <c r="S25">
        <v>7</v>
      </c>
      <c r="T25">
        <v>3</v>
      </c>
    </row>
    <row r="26" spans="5:20" ht="15" customHeight="1" x14ac:dyDescent="0.25">
      <c r="E26" s="57">
        <v>3</v>
      </c>
      <c r="F26" s="57">
        <v>2</v>
      </c>
      <c r="G26" s="57" t="s">
        <v>732</v>
      </c>
      <c r="H26" s="57">
        <v>1.2989999999999999</v>
      </c>
      <c r="I26" s="57">
        <v>2.3889999999999998</v>
      </c>
      <c r="J26" s="57">
        <v>4.4880000000000004</v>
      </c>
      <c r="K26" s="59" t="str">
        <f t="shared" si="0"/>
        <v>2.39 (1.30 – 4.49)</v>
      </c>
      <c r="L26" s="16" t="str">
        <f t="shared" si="1"/>
        <v>2.39
(1.30 – 4.49)</v>
      </c>
      <c r="N26" s="59" t="s">
        <v>439</v>
      </c>
      <c r="O26" s="16" t="s">
        <v>744</v>
      </c>
      <c r="P26">
        <v>0.16039999999999999</v>
      </c>
      <c r="Q26">
        <v>0.56059999999999999</v>
      </c>
      <c r="R26">
        <v>1.843</v>
      </c>
      <c r="S26">
        <v>8</v>
      </c>
      <c r="T26">
        <v>3</v>
      </c>
    </row>
    <row r="27" spans="5:20" ht="15" customHeight="1" x14ac:dyDescent="0.25">
      <c r="E27" s="19">
        <v>6</v>
      </c>
      <c r="F27" s="19">
        <v>1</v>
      </c>
      <c r="G27" s="19" t="s">
        <v>727</v>
      </c>
      <c r="H27" s="19">
        <v>0.79869999999999997</v>
      </c>
      <c r="I27" s="19">
        <v>2.3290000000000002</v>
      </c>
      <c r="J27" s="19">
        <v>6.9050000000000002</v>
      </c>
      <c r="K27" s="59" t="str">
        <f t="shared" si="0"/>
        <v>2.33 (0.80 – 6.91)</v>
      </c>
      <c r="L27" s="16" t="str">
        <f t="shared" si="1"/>
        <v>2.33
(0.80 – 6.91)</v>
      </c>
      <c r="N27" s="59" t="s">
        <v>440</v>
      </c>
      <c r="O27" s="16" t="s">
        <v>745</v>
      </c>
      <c r="P27">
        <v>0.42359999999999998</v>
      </c>
      <c r="Q27">
        <v>0.8458</v>
      </c>
      <c r="R27">
        <v>1.7509999999999999</v>
      </c>
      <c r="S27">
        <v>9</v>
      </c>
      <c r="T27">
        <v>3</v>
      </c>
    </row>
    <row r="28" spans="5:20" ht="15" customHeight="1" x14ac:dyDescent="0.25">
      <c r="E28" s="19">
        <v>6</v>
      </c>
      <c r="F28" s="59">
        <v>9</v>
      </c>
      <c r="G28" s="54" t="s">
        <v>768</v>
      </c>
      <c r="H28" s="16">
        <v>0.69930069930069938</v>
      </c>
      <c r="I28" s="16">
        <v>2.1791239921551537</v>
      </c>
      <c r="J28" s="16">
        <v>6.4935064935064934</v>
      </c>
      <c r="K28" s="59" t="str">
        <f t="shared" si="0"/>
        <v>2.18 (0.70 – 6.49)</v>
      </c>
      <c r="L28" s="16" t="str">
        <f t="shared" si="1"/>
        <v>2.18
(0.70 – 6.49)</v>
      </c>
      <c r="N28" s="59" t="s">
        <v>441</v>
      </c>
      <c r="O28" s="16" t="s">
        <v>746</v>
      </c>
      <c r="P28">
        <v>5.7230000000000003E-2</v>
      </c>
      <c r="Q28">
        <v>0.1147</v>
      </c>
      <c r="R28">
        <v>0.22500000000000001</v>
      </c>
      <c r="S28">
        <v>10</v>
      </c>
      <c r="T28">
        <v>3</v>
      </c>
    </row>
    <row r="29" spans="5:20" ht="15" customHeight="1" x14ac:dyDescent="0.25">
      <c r="E29" s="19">
        <v>4</v>
      </c>
      <c r="F29" s="19">
        <v>1</v>
      </c>
      <c r="G29" s="19" t="s">
        <v>725</v>
      </c>
      <c r="H29" s="19">
        <v>0.77590000000000003</v>
      </c>
      <c r="I29" s="19">
        <v>2.016</v>
      </c>
      <c r="J29" s="19">
        <v>5.32</v>
      </c>
      <c r="K29" s="59" t="str">
        <f t="shared" si="0"/>
        <v>2.02 (0.78 – 5.32)</v>
      </c>
      <c r="L29" s="16" t="str">
        <f t="shared" si="1"/>
        <v>2.02
(0.78 – 5.32)</v>
      </c>
      <c r="N29" s="59" t="s">
        <v>442</v>
      </c>
      <c r="O29" s="16" t="s">
        <v>747</v>
      </c>
      <c r="P29">
        <v>0.16020000000000001</v>
      </c>
      <c r="Q29">
        <v>1.0029999999999999</v>
      </c>
      <c r="R29">
        <v>6.1929999999999996</v>
      </c>
      <c r="S29">
        <v>5</v>
      </c>
      <c r="T29">
        <v>4</v>
      </c>
    </row>
    <row r="30" spans="5:20" ht="15" customHeight="1" x14ac:dyDescent="0.25">
      <c r="E30" s="19">
        <v>5</v>
      </c>
      <c r="F30" s="19">
        <v>1</v>
      </c>
      <c r="G30" s="19" t="s">
        <v>726</v>
      </c>
      <c r="H30" s="19">
        <v>0.40679999999999999</v>
      </c>
      <c r="I30" s="19">
        <v>2.0129999999999999</v>
      </c>
      <c r="J30" s="19">
        <v>10.48</v>
      </c>
      <c r="K30" s="59" t="str">
        <f t="shared" si="0"/>
        <v>2.01 (0.41 – 10.48)</v>
      </c>
      <c r="L30" s="16" t="str">
        <f t="shared" si="1"/>
        <v>2.01
(0.41 – 10.48)</v>
      </c>
      <c r="N30" s="59" t="s">
        <v>443</v>
      </c>
      <c r="O30" s="16" t="s">
        <v>748</v>
      </c>
      <c r="P30">
        <v>0.45629999999999998</v>
      </c>
      <c r="Q30">
        <v>1.151</v>
      </c>
      <c r="R30">
        <v>2.9729999999999999</v>
      </c>
      <c r="S30">
        <v>6</v>
      </c>
      <c r="T30">
        <v>4</v>
      </c>
    </row>
    <row r="31" spans="5:20" ht="15" customHeight="1" x14ac:dyDescent="0.25">
      <c r="E31" s="19">
        <v>9</v>
      </c>
      <c r="F31" s="19">
        <v>2</v>
      </c>
      <c r="G31" s="19" t="s">
        <v>738</v>
      </c>
      <c r="H31" s="19">
        <v>1.038</v>
      </c>
      <c r="I31" s="19">
        <v>2.008</v>
      </c>
      <c r="J31" s="19">
        <v>4.117</v>
      </c>
      <c r="K31" s="59" t="str">
        <f t="shared" si="0"/>
        <v>2.01 (1.04 – 4.12)</v>
      </c>
      <c r="L31" s="16" t="str">
        <f t="shared" si="1"/>
        <v>2.01
(1.04 – 4.12)</v>
      </c>
      <c r="N31" s="59" t="s">
        <v>444</v>
      </c>
      <c r="O31" s="16" t="s">
        <v>749</v>
      </c>
      <c r="P31">
        <v>3.9370000000000002E-2</v>
      </c>
      <c r="Q31">
        <v>0.19289999999999999</v>
      </c>
      <c r="R31">
        <v>0.89070000000000005</v>
      </c>
      <c r="S31">
        <v>7</v>
      </c>
      <c r="T31">
        <v>4</v>
      </c>
    </row>
    <row r="32" spans="5:20" ht="15" customHeight="1" x14ac:dyDescent="0.25">
      <c r="E32" s="19">
        <v>4</v>
      </c>
      <c r="F32" s="19">
        <v>9</v>
      </c>
      <c r="G32" s="19" t="s">
        <v>776</v>
      </c>
      <c r="H32" s="19">
        <v>0.66666666666666663</v>
      </c>
      <c r="I32" s="19">
        <v>1.8758206715438004</v>
      </c>
      <c r="J32" s="19">
        <v>5.0327126321087068</v>
      </c>
      <c r="K32" s="59" t="str">
        <f t="shared" si="0"/>
        <v>1.88 (0.67 – 5.03)</v>
      </c>
      <c r="L32" s="16" t="str">
        <f t="shared" si="1"/>
        <v>1.88
(0.67 – 5.03)</v>
      </c>
      <c r="N32" s="59" t="s">
        <v>445</v>
      </c>
      <c r="O32" s="16" t="s">
        <v>750</v>
      </c>
      <c r="P32">
        <v>8.3159999999999998E-2</v>
      </c>
      <c r="Q32">
        <v>0.35410000000000003</v>
      </c>
      <c r="R32">
        <v>1.4379999999999999</v>
      </c>
      <c r="S32">
        <v>8</v>
      </c>
      <c r="T32">
        <v>4</v>
      </c>
    </row>
    <row r="33" spans="3:20" ht="15" customHeight="1" x14ac:dyDescent="0.25">
      <c r="E33" s="57">
        <v>1</v>
      </c>
      <c r="F33" s="57">
        <v>2</v>
      </c>
      <c r="G33" s="57" t="s">
        <v>785</v>
      </c>
      <c r="H33" s="57">
        <v>1.1889192723814053</v>
      </c>
      <c r="I33" s="57">
        <v>1.862891207153502</v>
      </c>
      <c r="J33" s="57">
        <v>3.0129557095510697</v>
      </c>
      <c r="K33" s="59" t="str">
        <f t="shared" si="0"/>
        <v>1.86 (1.19 – 3.01)</v>
      </c>
      <c r="L33" s="16" t="str">
        <f t="shared" si="1"/>
        <v>1.86
(1.19 – 3.01)</v>
      </c>
      <c r="N33" s="59" t="s">
        <v>446</v>
      </c>
      <c r="O33" s="16" t="s">
        <v>751</v>
      </c>
      <c r="P33">
        <v>0.19869999999999999</v>
      </c>
      <c r="Q33">
        <v>0.53310000000000002</v>
      </c>
      <c r="R33">
        <v>1.5</v>
      </c>
      <c r="S33">
        <v>9</v>
      </c>
      <c r="T33">
        <v>4</v>
      </c>
    </row>
    <row r="34" spans="3:20" ht="15" customHeight="1" x14ac:dyDescent="0.25">
      <c r="E34" s="19">
        <v>5</v>
      </c>
      <c r="F34" s="59">
        <v>9</v>
      </c>
      <c r="G34" s="54" t="s">
        <v>772</v>
      </c>
      <c r="H34" s="16">
        <v>0.34293552812071332</v>
      </c>
      <c r="I34" s="16">
        <v>1.8608113137327875</v>
      </c>
      <c r="J34" s="16">
        <v>10.232272587741738</v>
      </c>
      <c r="K34" s="59" t="str">
        <f t="shared" si="0"/>
        <v>1.86 (0.34 – 10.23)</v>
      </c>
      <c r="L34" s="16" t="str">
        <f t="shared" si="1"/>
        <v>1.86
(0.34 – 10.23)</v>
      </c>
      <c r="N34" s="59" t="s">
        <v>447</v>
      </c>
      <c r="O34" s="16" t="s">
        <v>752</v>
      </c>
      <c r="P34">
        <v>2.5870000000000001E-2</v>
      </c>
      <c r="Q34">
        <v>7.2349999999999998E-2</v>
      </c>
      <c r="R34">
        <v>0.19739999999999999</v>
      </c>
      <c r="S34">
        <v>10</v>
      </c>
      <c r="T34">
        <v>4</v>
      </c>
    </row>
    <row r="35" spans="3:20" ht="15" customHeight="1" x14ac:dyDescent="0.25">
      <c r="E35" s="19">
        <v>8</v>
      </c>
      <c r="F35" s="59">
        <v>7</v>
      </c>
      <c r="G35" s="54" t="s">
        <v>762</v>
      </c>
      <c r="H35" s="16">
        <v>0.3569</v>
      </c>
      <c r="I35" s="16">
        <v>1.859</v>
      </c>
      <c r="J35" s="16">
        <v>9.5299999999999994</v>
      </c>
      <c r="K35" s="59" t="str">
        <f t="shared" si="0"/>
        <v>1.86 (0.36 – 9.53)</v>
      </c>
      <c r="L35" s="16" t="str">
        <f t="shared" si="1"/>
        <v>1.86
(0.36 – 9.53)</v>
      </c>
      <c r="N35" s="59" t="s">
        <v>448</v>
      </c>
      <c r="O35" s="16" t="s">
        <v>753</v>
      </c>
      <c r="P35">
        <v>0.17449999999999999</v>
      </c>
      <c r="Q35">
        <v>1.1499999999999999</v>
      </c>
      <c r="R35">
        <v>7.5540000000000003</v>
      </c>
      <c r="S35">
        <v>6</v>
      </c>
      <c r="T35">
        <v>5</v>
      </c>
    </row>
    <row r="36" spans="3:20" ht="15" customHeight="1" x14ac:dyDescent="0.25">
      <c r="C36" s="56"/>
      <c r="D36" s="57"/>
      <c r="E36" s="19">
        <v>6</v>
      </c>
      <c r="F36" s="19">
        <v>3</v>
      </c>
      <c r="G36" s="19" t="s">
        <v>742</v>
      </c>
      <c r="H36" s="19">
        <v>0.76549999999999996</v>
      </c>
      <c r="I36" s="19">
        <v>1.8109999999999999</v>
      </c>
      <c r="J36" s="19">
        <v>4.4569999999999999</v>
      </c>
      <c r="K36" s="59" t="str">
        <f t="shared" si="0"/>
        <v>1.81 (0.77 – 4.46)</v>
      </c>
      <c r="L36" s="16" t="str">
        <f t="shared" si="1"/>
        <v>1.81
(0.77 – 4.46)</v>
      </c>
      <c r="M36" s="57"/>
      <c r="N36" s="59" t="s">
        <v>449</v>
      </c>
      <c r="O36" s="16" t="s">
        <v>754</v>
      </c>
      <c r="P36">
        <v>2.6040000000000001E-2</v>
      </c>
      <c r="Q36">
        <v>0.1918</v>
      </c>
      <c r="R36">
        <v>1.3240000000000001</v>
      </c>
      <c r="S36">
        <v>7</v>
      </c>
      <c r="T36">
        <v>5</v>
      </c>
    </row>
    <row r="37" spans="3:20" ht="15" customHeight="1" x14ac:dyDescent="0.25">
      <c r="C37" s="56"/>
      <c r="D37" s="57"/>
      <c r="E37" s="19">
        <v>3</v>
      </c>
      <c r="F37" s="19">
        <v>8</v>
      </c>
      <c r="G37" s="19" t="s">
        <v>781</v>
      </c>
      <c r="H37" s="19">
        <v>0.54259359739555069</v>
      </c>
      <c r="I37" s="19">
        <v>1.7838030681412773</v>
      </c>
      <c r="J37" s="19">
        <v>6.2344139650872821</v>
      </c>
      <c r="K37" s="59" t="str">
        <f t="shared" si="0"/>
        <v>1.78 (0.54 – 6.23)</v>
      </c>
      <c r="L37" s="16" t="str">
        <f t="shared" si="1"/>
        <v>1.78
(0.54 – 6.23)</v>
      </c>
      <c r="M37" s="57"/>
      <c r="N37" s="59" t="s">
        <v>450</v>
      </c>
      <c r="O37" s="16" t="s">
        <v>755</v>
      </c>
      <c r="P37">
        <v>5.0720000000000001E-2</v>
      </c>
      <c r="Q37">
        <v>0.34939999999999999</v>
      </c>
      <c r="R37">
        <v>2.34</v>
      </c>
      <c r="S37">
        <v>8</v>
      </c>
      <c r="T37">
        <v>5</v>
      </c>
    </row>
    <row r="38" spans="3:20" ht="15" customHeight="1" x14ac:dyDescent="0.25">
      <c r="C38" s="56"/>
      <c r="D38" s="57"/>
      <c r="E38" s="19">
        <v>5</v>
      </c>
      <c r="F38" s="19">
        <v>3</v>
      </c>
      <c r="G38" s="19" t="s">
        <v>741</v>
      </c>
      <c r="H38" s="19">
        <v>0.30370000000000003</v>
      </c>
      <c r="I38" s="19">
        <v>1.5820000000000001</v>
      </c>
      <c r="J38" s="19">
        <v>8.5289999999999999</v>
      </c>
      <c r="K38" s="59" t="str">
        <f t="shared" si="0"/>
        <v>1.58 (0.30 – 8.53)</v>
      </c>
      <c r="L38" s="16" t="str">
        <f t="shared" si="1"/>
        <v>1.58
(0.30 – 8.53)</v>
      </c>
      <c r="M38" s="57"/>
      <c r="N38" s="59" t="s">
        <v>451</v>
      </c>
      <c r="O38" s="16" t="s">
        <v>756</v>
      </c>
      <c r="P38">
        <v>9.7729999999999997E-2</v>
      </c>
      <c r="Q38">
        <v>0.53739999999999999</v>
      </c>
      <c r="R38">
        <v>2.9159999999999999</v>
      </c>
      <c r="S38">
        <v>9</v>
      </c>
      <c r="T38">
        <v>5</v>
      </c>
    </row>
    <row r="39" spans="3:20" ht="15" customHeight="1" x14ac:dyDescent="0.25">
      <c r="C39" s="56"/>
      <c r="D39" s="57"/>
      <c r="E39" s="57">
        <v>4</v>
      </c>
      <c r="F39" s="57">
        <v>3</v>
      </c>
      <c r="G39" s="57" t="s">
        <v>740</v>
      </c>
      <c r="H39" s="57">
        <v>0.74160000000000004</v>
      </c>
      <c r="I39" s="57">
        <v>1.58</v>
      </c>
      <c r="J39" s="57">
        <v>3.4569999999999999</v>
      </c>
      <c r="K39" s="59" t="str">
        <f t="shared" si="0"/>
        <v>1.58 (0.74 – 3.46)</v>
      </c>
      <c r="L39" s="16" t="str">
        <f t="shared" si="1"/>
        <v>1.58
(0.74 – 3.46)</v>
      </c>
      <c r="M39" s="57"/>
      <c r="N39" s="59" t="s">
        <v>452</v>
      </c>
      <c r="O39" s="16" t="s">
        <v>757</v>
      </c>
      <c r="P39">
        <v>1.2959999999999999E-2</v>
      </c>
      <c r="Q39">
        <v>7.2559999999999999E-2</v>
      </c>
      <c r="R39">
        <v>0.37659999999999999</v>
      </c>
      <c r="S39">
        <v>10</v>
      </c>
      <c r="T39">
        <v>5</v>
      </c>
    </row>
    <row r="40" spans="3:20" ht="15" customHeight="1" x14ac:dyDescent="0.25">
      <c r="C40" s="56"/>
      <c r="D40" s="57"/>
      <c r="E40" s="57">
        <v>9</v>
      </c>
      <c r="F40" s="57">
        <v>8</v>
      </c>
      <c r="G40" s="57" t="s">
        <v>765</v>
      </c>
      <c r="H40" s="57">
        <v>0.45440000000000003</v>
      </c>
      <c r="I40" s="57">
        <v>1.508</v>
      </c>
      <c r="J40" s="57">
        <v>5.4349999999999996</v>
      </c>
      <c r="K40" s="59" t="str">
        <f t="shared" si="0"/>
        <v>1.51 (0.45 – 5.44)</v>
      </c>
      <c r="L40" s="16" t="str">
        <f t="shared" si="1"/>
        <v>1.51
(0.45 – 5.44)</v>
      </c>
      <c r="M40" s="57"/>
      <c r="N40" s="59" t="s">
        <v>453</v>
      </c>
      <c r="O40" s="16" t="s">
        <v>758</v>
      </c>
      <c r="P40">
        <v>3.1300000000000001E-2</v>
      </c>
      <c r="Q40">
        <v>0.16669999999999999</v>
      </c>
      <c r="R40">
        <v>0.82669999999999999</v>
      </c>
      <c r="S40">
        <v>7</v>
      </c>
      <c r="T40">
        <v>6</v>
      </c>
    </row>
    <row r="41" spans="3:20" ht="15" customHeight="1" x14ac:dyDescent="0.25">
      <c r="C41" s="56"/>
      <c r="D41" s="57"/>
      <c r="E41" s="19">
        <v>1</v>
      </c>
      <c r="F41" s="59">
        <v>8</v>
      </c>
      <c r="G41" s="54" t="s">
        <v>784</v>
      </c>
      <c r="H41" s="16">
        <v>0.46970408642555189</v>
      </c>
      <c r="I41" s="16">
        <v>1.3982102908277405</v>
      </c>
      <c r="J41" s="16">
        <v>4.3346337234503682</v>
      </c>
      <c r="K41" s="59" t="str">
        <f t="shared" si="0"/>
        <v>1.40 (0.47 – 4.33)</v>
      </c>
      <c r="L41" s="16" t="str">
        <f t="shared" si="1"/>
        <v>1.40
(0.47 – 4.33)</v>
      </c>
      <c r="M41" s="57"/>
      <c r="N41" s="59" t="s">
        <v>454</v>
      </c>
      <c r="O41" s="16" t="s">
        <v>759</v>
      </c>
      <c r="P41">
        <v>6.6869999999999999E-2</v>
      </c>
      <c r="Q41">
        <v>0.30980000000000002</v>
      </c>
      <c r="R41">
        <v>1.3280000000000001</v>
      </c>
      <c r="S41">
        <v>8</v>
      </c>
      <c r="T41">
        <v>6</v>
      </c>
    </row>
    <row r="42" spans="3:20" ht="15" customHeight="1" x14ac:dyDescent="0.25">
      <c r="C42" s="56"/>
      <c r="D42" s="57"/>
      <c r="E42" s="19">
        <v>2</v>
      </c>
      <c r="F42" s="19">
        <v>7</v>
      </c>
      <c r="G42" s="19" t="s">
        <v>790</v>
      </c>
      <c r="H42" s="19">
        <v>0.40209087253719339</v>
      </c>
      <c r="I42" s="19">
        <v>1.3914011409489355</v>
      </c>
      <c r="J42" s="19">
        <v>4.7505938242280283</v>
      </c>
      <c r="K42" s="59" t="str">
        <f t="shared" si="0"/>
        <v>1.39 (0.40 – 4.75)</v>
      </c>
      <c r="L42" s="16" t="str">
        <f t="shared" si="1"/>
        <v>1.39
(0.40 – 4.75)</v>
      </c>
      <c r="M42" s="57"/>
      <c r="N42" s="59" t="s">
        <v>455</v>
      </c>
      <c r="O42" s="16" t="s">
        <v>760</v>
      </c>
      <c r="P42">
        <v>0.154</v>
      </c>
      <c r="Q42">
        <v>0.45889999999999997</v>
      </c>
      <c r="R42">
        <v>1.43</v>
      </c>
      <c r="S42">
        <v>9</v>
      </c>
      <c r="T42">
        <v>6</v>
      </c>
    </row>
    <row r="43" spans="3:20" ht="15" customHeight="1" x14ac:dyDescent="0.25">
      <c r="C43" s="56"/>
      <c r="D43" s="57"/>
      <c r="E43" s="57">
        <v>8</v>
      </c>
      <c r="F43" s="57">
        <v>2</v>
      </c>
      <c r="G43" s="57" t="s">
        <v>737</v>
      </c>
      <c r="H43" s="57">
        <v>0.43769999999999998</v>
      </c>
      <c r="I43" s="57">
        <v>1.333</v>
      </c>
      <c r="J43" s="57">
        <v>3.915</v>
      </c>
      <c r="K43" s="59" t="str">
        <f t="shared" si="0"/>
        <v>1.33 (0.44 – 3.92)</v>
      </c>
      <c r="L43" s="16" t="str">
        <f t="shared" si="1"/>
        <v>1.33
(0.44 – 3.92)</v>
      </c>
      <c r="M43" s="57"/>
      <c r="N43" s="59" t="s">
        <v>456</v>
      </c>
      <c r="O43" s="16" t="s">
        <v>761</v>
      </c>
      <c r="P43">
        <v>2.01E-2</v>
      </c>
      <c r="Q43">
        <v>6.3109999999999999E-2</v>
      </c>
      <c r="R43">
        <v>0.18709999999999999</v>
      </c>
      <c r="S43">
        <v>10</v>
      </c>
      <c r="T43">
        <v>6</v>
      </c>
    </row>
    <row r="44" spans="3:20" ht="15" customHeight="1" x14ac:dyDescent="0.25">
      <c r="C44" s="56"/>
      <c r="D44" s="57"/>
      <c r="E44" s="19">
        <v>3</v>
      </c>
      <c r="F44" s="59">
        <v>1</v>
      </c>
      <c r="G44" s="54" t="s">
        <v>724</v>
      </c>
      <c r="H44" s="16">
        <v>0.66180000000000005</v>
      </c>
      <c r="I44" s="16">
        <v>1.282</v>
      </c>
      <c r="J44" s="16">
        <v>2.419</v>
      </c>
      <c r="K44" s="59" t="str">
        <f t="shared" si="0"/>
        <v>1.28 (0.66 – 2.42)</v>
      </c>
      <c r="L44" s="16" t="str">
        <f t="shared" si="1"/>
        <v>1.28
(0.66 – 2.42)</v>
      </c>
      <c r="M44" s="57"/>
      <c r="N44" s="59" t="s">
        <v>457</v>
      </c>
      <c r="O44" s="16" t="s">
        <v>762</v>
      </c>
      <c r="P44">
        <v>0.3569</v>
      </c>
      <c r="Q44">
        <v>1.859</v>
      </c>
      <c r="R44">
        <v>9.5299999999999994</v>
      </c>
      <c r="S44">
        <v>8</v>
      </c>
      <c r="T44">
        <v>7</v>
      </c>
    </row>
    <row r="45" spans="3:20" ht="15" customHeight="1" x14ac:dyDescent="0.25">
      <c r="C45" s="56"/>
      <c r="D45" s="57"/>
      <c r="E45" s="19">
        <v>3</v>
      </c>
      <c r="F45" s="59">
        <v>9</v>
      </c>
      <c r="G45" s="54" t="s">
        <v>780</v>
      </c>
      <c r="H45" s="16">
        <v>0.57110222729868654</v>
      </c>
      <c r="I45" s="16">
        <v>1.1823126034523528</v>
      </c>
      <c r="J45" s="16">
        <v>2.3607176581680833</v>
      </c>
      <c r="K45" s="59" t="str">
        <f t="shared" si="0"/>
        <v>1.18 (0.57 – 2.36)</v>
      </c>
      <c r="L45" s="16" t="str">
        <f t="shared" si="1"/>
        <v>1.18
(0.57 – 2.36)</v>
      </c>
      <c r="M45" s="57"/>
      <c r="N45" s="59" t="s">
        <v>458</v>
      </c>
      <c r="O45" s="16" t="s">
        <v>763</v>
      </c>
      <c r="P45">
        <v>0.70320000000000005</v>
      </c>
      <c r="Q45">
        <v>2.7669999999999999</v>
      </c>
      <c r="R45">
        <v>11.91</v>
      </c>
      <c r="S45">
        <v>9</v>
      </c>
      <c r="T45">
        <v>7</v>
      </c>
    </row>
    <row r="46" spans="3:20" ht="15" customHeight="1" x14ac:dyDescent="0.25">
      <c r="C46" s="56"/>
      <c r="D46" s="57"/>
      <c r="E46" s="19">
        <v>6</v>
      </c>
      <c r="F46" s="19">
        <v>4</v>
      </c>
      <c r="G46" s="19" t="s">
        <v>748</v>
      </c>
      <c r="H46" s="19">
        <v>0.45629999999999998</v>
      </c>
      <c r="I46" s="19">
        <v>1.151</v>
      </c>
      <c r="J46" s="19">
        <v>2.9729999999999999</v>
      </c>
      <c r="K46" s="59" t="str">
        <f t="shared" si="0"/>
        <v>1.15 (0.46 – 2.97)</v>
      </c>
      <c r="L46" s="16" t="str">
        <f t="shared" si="1"/>
        <v>1.15
(0.46 – 2.97)</v>
      </c>
      <c r="M46" s="57"/>
      <c r="N46" s="59" t="s">
        <v>459</v>
      </c>
      <c r="O46" s="16" t="s">
        <v>764</v>
      </c>
      <c r="P46">
        <v>9.3009999999999995E-2</v>
      </c>
      <c r="Q46">
        <v>0.38090000000000002</v>
      </c>
      <c r="R46">
        <v>1.514</v>
      </c>
      <c r="S46">
        <v>10</v>
      </c>
      <c r="T46">
        <v>7</v>
      </c>
    </row>
    <row r="47" spans="3:20" ht="15" customHeight="1" x14ac:dyDescent="0.25">
      <c r="C47" s="56"/>
      <c r="D47" s="57"/>
      <c r="E47" s="19">
        <v>6</v>
      </c>
      <c r="F47" s="59">
        <v>5</v>
      </c>
      <c r="G47" s="54" t="s">
        <v>753</v>
      </c>
      <c r="H47" s="16">
        <v>0.17449999999999999</v>
      </c>
      <c r="I47" s="16">
        <v>1.1499999999999999</v>
      </c>
      <c r="J47" s="16">
        <v>7.5540000000000003</v>
      </c>
      <c r="K47" s="59" t="str">
        <f t="shared" si="0"/>
        <v>1.15 (0.17 – 7.55)</v>
      </c>
      <c r="L47" s="16" t="str">
        <f t="shared" si="1"/>
        <v>1.15
(0.17 – 7.55)</v>
      </c>
      <c r="M47" s="57"/>
      <c r="N47" s="59" t="s">
        <v>460</v>
      </c>
      <c r="O47" s="16" t="s">
        <v>765</v>
      </c>
      <c r="P47">
        <v>0.45440000000000003</v>
      </c>
      <c r="Q47">
        <v>1.508</v>
      </c>
      <c r="R47">
        <v>5.4349999999999996</v>
      </c>
      <c r="S47">
        <v>9</v>
      </c>
      <c r="T47">
        <v>8</v>
      </c>
    </row>
    <row r="48" spans="3:20" ht="15" customHeight="1" x14ac:dyDescent="0.25">
      <c r="C48" s="56"/>
      <c r="D48" s="57"/>
      <c r="E48" s="57">
        <v>9</v>
      </c>
      <c r="F48" s="57">
        <v>1</v>
      </c>
      <c r="G48" s="57" t="s">
        <v>730</v>
      </c>
      <c r="H48" s="57">
        <v>0.60140000000000005</v>
      </c>
      <c r="I48" s="57">
        <v>1.077</v>
      </c>
      <c r="J48" s="57">
        <v>2.024</v>
      </c>
      <c r="K48" s="59" t="str">
        <f t="shared" si="0"/>
        <v>1.08 (0.60 – 2.02)</v>
      </c>
      <c r="L48" s="16" t="str">
        <f t="shared" si="1"/>
        <v>1.08
(0.60 – 2.02)</v>
      </c>
      <c r="M48" s="57"/>
      <c r="N48" s="59" t="s">
        <v>461</v>
      </c>
      <c r="O48" s="16" t="s">
        <v>766</v>
      </c>
      <c r="P48">
        <v>6.1260000000000002E-2</v>
      </c>
      <c r="Q48">
        <v>0.2051</v>
      </c>
      <c r="R48">
        <v>0.69269999999999998</v>
      </c>
      <c r="S48">
        <v>10</v>
      </c>
      <c r="T48">
        <v>8</v>
      </c>
    </row>
    <row r="49" spans="3:20" ht="15" customHeight="1" x14ac:dyDescent="0.25">
      <c r="C49" s="56"/>
      <c r="D49" s="57"/>
      <c r="E49" s="19">
        <v>4</v>
      </c>
      <c r="F49" s="19">
        <v>5</v>
      </c>
      <c r="G49" s="19" t="s">
        <v>874</v>
      </c>
      <c r="H49" s="19">
        <v>0.16147263038914905</v>
      </c>
      <c r="I49" s="19">
        <v>0.99700897308075787</v>
      </c>
      <c r="J49" s="19">
        <v>6.2421972534332077</v>
      </c>
      <c r="K49" s="59" t="str">
        <f t="shared" si="0"/>
        <v>1.00 (0.16 – 6.24)</v>
      </c>
      <c r="L49" s="16" t="str">
        <f t="shared" si="1"/>
        <v>1.00
(0.16 – 6.24)</v>
      </c>
      <c r="M49" s="57"/>
      <c r="N49" s="59" t="s">
        <v>462</v>
      </c>
      <c r="O49" s="16" t="s">
        <v>767</v>
      </c>
      <c r="P49">
        <v>6.8699999999999997E-2</v>
      </c>
      <c r="Q49">
        <v>0.13589999999999999</v>
      </c>
      <c r="R49">
        <v>0.25109999999999999</v>
      </c>
      <c r="S49">
        <v>10</v>
      </c>
      <c r="T49">
        <v>9</v>
      </c>
    </row>
    <row r="50" spans="3:20" ht="15" hidden="1" customHeight="1" x14ac:dyDescent="0.25">
      <c r="C50" s="56"/>
      <c r="D50" s="57"/>
      <c r="E50" s="57"/>
      <c r="F50" s="57"/>
      <c r="G50" s="57"/>
      <c r="H50" s="57"/>
      <c r="I50" s="57"/>
      <c r="J50" s="57"/>
      <c r="K50" s="59" t="str">
        <f t="shared" ref="K50:K68" si="2">CONCATENATE(TEXT(I50,"0.00")," (",TEXT(H50,"0.00")," – ",TEXT(J50,"0.00"),")")</f>
        <v>0.00 (0.00 – 0.00)</v>
      </c>
      <c r="L50" s="16" t="str">
        <f t="shared" ref="L50:L69" si="3">CONCATENATE(TEXT(I50,"0.00"),"
(",TEXT(H50,"0.00")," – ",TEXT(J50,"0.00"),")")</f>
        <v>0.00
(0.00 – 0.00)</v>
      </c>
      <c r="M50" s="57"/>
      <c r="N50" s="59"/>
      <c r="O50" s="16"/>
    </row>
    <row r="51" spans="3:20" ht="15" hidden="1" customHeight="1" x14ac:dyDescent="0.25">
      <c r="C51" s="56"/>
      <c r="D51" s="57"/>
      <c r="E51" s="57"/>
      <c r="F51" s="57"/>
      <c r="G51" s="57"/>
      <c r="H51" s="57"/>
      <c r="I51" s="57"/>
      <c r="J51" s="57"/>
      <c r="K51" s="59" t="str">
        <f t="shared" si="2"/>
        <v>0.00 (0.00 – 0.00)</v>
      </c>
      <c r="L51" s="16" t="str">
        <f t="shared" si="3"/>
        <v>0.00
(0.00 – 0.00)</v>
      </c>
      <c r="M51" s="57"/>
      <c r="N51" s="59"/>
      <c r="O51" s="16"/>
    </row>
    <row r="52" spans="3:20" ht="15" hidden="1" customHeight="1" x14ac:dyDescent="0.25">
      <c r="C52" s="56"/>
      <c r="D52" s="57"/>
      <c r="E52" s="57"/>
      <c r="F52" s="57"/>
      <c r="G52" s="57"/>
      <c r="H52" s="57"/>
      <c r="I52" s="57"/>
      <c r="J52" s="57"/>
      <c r="K52" s="59" t="str">
        <f t="shared" si="2"/>
        <v>0.00 (0.00 – 0.00)</v>
      </c>
      <c r="L52" s="16" t="str">
        <f t="shared" si="3"/>
        <v>0.00
(0.00 – 0.00)</v>
      </c>
      <c r="M52" s="57"/>
      <c r="N52" s="59"/>
      <c r="O52" s="16"/>
    </row>
    <row r="53" spans="3:20" ht="15" hidden="1" customHeight="1" x14ac:dyDescent="0.25">
      <c r="C53" s="56"/>
      <c r="D53" s="57"/>
      <c r="E53" s="57"/>
      <c r="F53" s="57"/>
      <c r="G53" s="57"/>
      <c r="H53" s="57"/>
      <c r="I53" s="57"/>
      <c r="J53" s="57"/>
      <c r="K53" s="59" t="str">
        <f t="shared" si="2"/>
        <v>0.00 (0.00 – 0.00)</v>
      </c>
      <c r="L53" s="16" t="str">
        <f t="shared" si="3"/>
        <v>0.00
(0.00 – 0.00)</v>
      </c>
      <c r="M53" s="57"/>
      <c r="N53" s="59"/>
      <c r="O53" s="16"/>
    </row>
    <row r="54" spans="3:20" ht="15" hidden="1" customHeight="1" x14ac:dyDescent="0.25">
      <c r="C54" s="56"/>
      <c r="D54" s="57"/>
      <c r="E54" s="57"/>
      <c r="F54" s="57"/>
      <c r="G54" s="57"/>
      <c r="H54" s="57"/>
      <c r="I54" s="57"/>
      <c r="J54" s="57"/>
      <c r="K54" s="59" t="str">
        <f t="shared" si="2"/>
        <v>0.00 (0.00 – 0.00)</v>
      </c>
      <c r="L54" s="16" t="str">
        <f t="shared" si="3"/>
        <v>0.00
(0.00 – 0.00)</v>
      </c>
      <c r="M54" s="57"/>
      <c r="N54" s="59"/>
      <c r="O54" s="16"/>
    </row>
    <row r="55" spans="3:20" ht="15" hidden="1" customHeight="1" x14ac:dyDescent="0.25">
      <c r="C55" s="56"/>
      <c r="D55" s="57"/>
      <c r="E55" s="57"/>
      <c r="F55" s="57"/>
      <c r="G55" s="57"/>
      <c r="H55" s="57"/>
      <c r="I55" s="57"/>
      <c r="J55" s="57"/>
      <c r="K55" s="59" t="str">
        <f t="shared" si="2"/>
        <v>0.00 (0.00 – 0.00)</v>
      </c>
      <c r="L55" s="16" t="str">
        <f t="shared" si="3"/>
        <v>0.00
(0.00 – 0.00)</v>
      </c>
      <c r="M55" s="57"/>
      <c r="N55" s="59"/>
      <c r="O55" s="16"/>
    </row>
    <row r="56" spans="3:20" ht="15" hidden="1" customHeight="1" x14ac:dyDescent="0.25">
      <c r="C56" s="56"/>
      <c r="D56" s="57"/>
      <c r="E56" s="57"/>
      <c r="F56" s="57"/>
      <c r="G56" s="57"/>
      <c r="H56" s="57"/>
      <c r="I56" s="57"/>
      <c r="J56" s="57"/>
      <c r="K56" s="59" t="str">
        <f t="shared" si="2"/>
        <v>0.00 (0.00 – 0.00)</v>
      </c>
      <c r="L56" s="16" t="str">
        <f t="shared" si="3"/>
        <v>0.00
(0.00 – 0.00)</v>
      </c>
      <c r="M56" s="57"/>
      <c r="N56" s="59"/>
      <c r="O56" s="16"/>
    </row>
    <row r="57" spans="3:20" ht="15" hidden="1" customHeight="1" x14ac:dyDescent="0.25">
      <c r="C57" s="56"/>
      <c r="D57" s="57"/>
      <c r="E57" s="57"/>
      <c r="F57" s="57"/>
      <c r="G57" s="57"/>
      <c r="H57" s="57"/>
      <c r="I57" s="57"/>
      <c r="J57" s="57"/>
      <c r="K57" s="59" t="str">
        <f t="shared" si="2"/>
        <v>0.00 (0.00 – 0.00)</v>
      </c>
      <c r="L57" s="16" t="str">
        <f t="shared" si="3"/>
        <v>0.00
(0.00 – 0.00)</v>
      </c>
      <c r="M57" s="57"/>
      <c r="N57" s="59"/>
      <c r="O57" s="16"/>
    </row>
    <row r="58" spans="3:20" ht="15" hidden="1" customHeight="1" x14ac:dyDescent="0.25">
      <c r="C58" s="56"/>
      <c r="D58" s="57"/>
      <c r="E58" s="57"/>
      <c r="F58" s="57"/>
      <c r="G58" s="57"/>
      <c r="H58" s="57"/>
      <c r="I58" s="57"/>
      <c r="J58" s="57"/>
      <c r="K58" s="59" t="str">
        <f t="shared" si="2"/>
        <v>0.00 (0.00 – 0.00)</v>
      </c>
      <c r="L58" s="16" t="str">
        <f t="shared" si="3"/>
        <v>0.00
(0.00 – 0.00)</v>
      </c>
      <c r="M58" s="57"/>
      <c r="N58" s="59"/>
      <c r="O58" s="16"/>
    </row>
    <row r="59" spans="3:20" ht="15" hidden="1" customHeight="1" x14ac:dyDescent="0.25">
      <c r="C59" s="56"/>
      <c r="D59" s="57"/>
      <c r="E59" s="57"/>
      <c r="F59" s="57"/>
      <c r="G59" s="57"/>
      <c r="H59" s="57"/>
      <c r="I59" s="57"/>
      <c r="J59" s="57"/>
      <c r="K59" s="59" t="str">
        <f t="shared" si="2"/>
        <v>0.00 (0.00 – 0.00)</v>
      </c>
      <c r="L59" s="16" t="str">
        <f t="shared" si="3"/>
        <v>0.00
(0.00 – 0.00)</v>
      </c>
      <c r="M59" s="57"/>
      <c r="N59" s="59"/>
      <c r="O59" s="16"/>
    </row>
    <row r="60" spans="3:20" ht="15" hidden="1" customHeight="1" x14ac:dyDescent="0.25">
      <c r="C60" s="56"/>
      <c r="D60" s="57"/>
      <c r="E60" s="57"/>
      <c r="F60" s="57"/>
      <c r="G60" s="57"/>
      <c r="H60" s="57"/>
      <c r="I60" s="57"/>
      <c r="J60" s="57"/>
      <c r="K60" s="59" t="str">
        <f t="shared" si="2"/>
        <v>0.00 (0.00 – 0.00)</v>
      </c>
      <c r="L60" s="16" t="str">
        <f t="shared" si="3"/>
        <v>0.00
(0.00 – 0.00)</v>
      </c>
      <c r="M60" s="57"/>
      <c r="N60" s="59"/>
      <c r="O60" s="16"/>
    </row>
    <row r="61" spans="3:20" ht="15" hidden="1" customHeight="1" x14ac:dyDescent="0.25">
      <c r="C61" s="56"/>
      <c r="D61" s="57"/>
      <c r="E61" s="57"/>
      <c r="F61" s="57"/>
      <c r="G61" s="57"/>
      <c r="H61" s="57"/>
      <c r="I61" s="57"/>
      <c r="J61" s="57"/>
      <c r="K61" s="59" t="str">
        <f t="shared" si="2"/>
        <v>0.00 (0.00 – 0.00)</v>
      </c>
      <c r="L61" s="16" t="str">
        <f t="shared" si="3"/>
        <v>0.00
(0.00 – 0.00)</v>
      </c>
      <c r="M61" s="57"/>
      <c r="N61" s="59"/>
      <c r="O61" s="16"/>
    </row>
    <row r="62" spans="3:20" ht="15" hidden="1" customHeight="1" x14ac:dyDescent="0.25">
      <c r="C62" s="56"/>
      <c r="D62" s="57"/>
      <c r="E62" s="57"/>
      <c r="F62" s="57"/>
      <c r="G62" s="57"/>
      <c r="H62" s="57"/>
      <c r="I62" s="57"/>
      <c r="J62" s="57"/>
      <c r="K62" s="59" t="str">
        <f t="shared" si="2"/>
        <v>0.00 (0.00 – 0.00)</v>
      </c>
      <c r="L62" s="16" t="str">
        <f t="shared" si="3"/>
        <v>0.00
(0.00 – 0.00)</v>
      </c>
      <c r="M62" s="57"/>
      <c r="N62" s="59"/>
      <c r="O62" s="16"/>
    </row>
    <row r="63" spans="3:20" ht="15" hidden="1" customHeight="1" x14ac:dyDescent="0.25">
      <c r="C63" s="56"/>
      <c r="D63" s="57"/>
      <c r="E63" s="57"/>
      <c r="F63" s="57"/>
      <c r="G63" s="57"/>
      <c r="H63" s="57"/>
      <c r="I63" s="57"/>
      <c r="J63" s="57"/>
      <c r="K63" s="59" t="str">
        <f t="shared" si="2"/>
        <v>0.00 (0.00 – 0.00)</v>
      </c>
      <c r="L63" s="16" t="str">
        <f t="shared" si="3"/>
        <v>0.00
(0.00 – 0.00)</v>
      </c>
      <c r="M63" s="57"/>
      <c r="N63" s="59"/>
      <c r="O63" s="16"/>
    </row>
    <row r="64" spans="3:20" ht="15" hidden="1" customHeight="1" x14ac:dyDescent="0.25">
      <c r="C64" s="56"/>
      <c r="D64" s="57"/>
      <c r="E64" s="57"/>
      <c r="F64" s="57"/>
      <c r="G64" s="57"/>
      <c r="H64" s="57"/>
      <c r="I64" s="57"/>
      <c r="J64" s="57"/>
      <c r="K64" s="59" t="str">
        <f t="shared" si="2"/>
        <v>0.00 (0.00 – 0.00)</v>
      </c>
      <c r="L64" s="16" t="str">
        <f t="shared" si="3"/>
        <v>0.00
(0.00 – 0.00)</v>
      </c>
      <c r="M64" s="57"/>
      <c r="N64" s="59"/>
      <c r="O64" s="16"/>
    </row>
    <row r="65" spans="3:15" ht="15" hidden="1" customHeight="1" x14ac:dyDescent="0.25">
      <c r="C65" s="56"/>
      <c r="D65" s="57"/>
      <c r="E65" s="57"/>
      <c r="F65" s="57"/>
      <c r="G65" s="57"/>
      <c r="H65" s="57"/>
      <c r="I65" s="57"/>
      <c r="J65" s="57"/>
      <c r="K65" s="59" t="str">
        <f t="shared" si="2"/>
        <v>0.00 (0.00 – 0.00)</v>
      </c>
      <c r="L65" s="16" t="str">
        <f t="shared" si="3"/>
        <v>0.00
(0.00 – 0.00)</v>
      </c>
      <c r="M65" s="57"/>
      <c r="N65" s="59"/>
      <c r="O65" s="16"/>
    </row>
    <row r="66" spans="3:15" ht="15" hidden="1" customHeight="1" x14ac:dyDescent="0.25">
      <c r="C66" s="56"/>
      <c r="D66" s="57"/>
      <c r="E66" s="57"/>
      <c r="F66" s="57"/>
      <c r="G66" s="57"/>
      <c r="H66" s="57"/>
      <c r="I66" s="57"/>
      <c r="J66" s="57"/>
      <c r="K66" s="59" t="str">
        <f t="shared" si="2"/>
        <v>0.00 (0.00 – 0.00)</v>
      </c>
      <c r="L66" s="16" t="str">
        <f t="shared" si="3"/>
        <v>0.00
(0.00 – 0.00)</v>
      </c>
      <c r="M66" s="57"/>
      <c r="N66" s="59"/>
      <c r="O66" s="16"/>
    </row>
    <row r="67" spans="3:15" ht="15" hidden="1" customHeight="1" x14ac:dyDescent="0.25">
      <c r="C67" s="56"/>
      <c r="D67" s="57"/>
      <c r="E67" s="57"/>
      <c r="F67" s="57"/>
      <c r="G67" s="57"/>
      <c r="H67" s="57"/>
      <c r="I67" s="57"/>
      <c r="J67" s="57"/>
      <c r="K67" s="59" t="str">
        <f t="shared" si="2"/>
        <v>0.00 (0.00 – 0.00)</v>
      </c>
      <c r="L67" s="16" t="str">
        <f t="shared" si="3"/>
        <v>0.00
(0.00 – 0.00)</v>
      </c>
      <c r="M67" s="57"/>
      <c r="N67" s="59"/>
      <c r="O67" s="16"/>
    </row>
    <row r="68" spans="3:15" ht="15" hidden="1" customHeight="1" x14ac:dyDescent="0.25">
      <c r="C68" s="56"/>
      <c r="D68" s="57"/>
      <c r="E68" s="57"/>
      <c r="F68" s="57"/>
      <c r="G68" s="57"/>
      <c r="H68" s="57"/>
      <c r="I68" s="57"/>
      <c r="J68" s="57"/>
      <c r="K68" s="59" t="str">
        <f t="shared" si="2"/>
        <v>0.00 (0.00 – 0.00)</v>
      </c>
      <c r="L68" s="16" t="str">
        <f t="shared" si="3"/>
        <v>0.00
(0.00 – 0.00)</v>
      </c>
      <c r="M68" s="57"/>
      <c r="N68" s="59"/>
      <c r="O68" s="16"/>
    </row>
    <row r="69" spans="3:15" ht="15" hidden="1" customHeight="1" x14ac:dyDescent="0.25">
      <c r="C69" s="56"/>
      <c r="D69" s="57"/>
      <c r="E69" s="57"/>
      <c r="F69" s="57"/>
      <c r="G69" s="57"/>
      <c r="H69" s="57"/>
      <c r="I69" s="57"/>
      <c r="J69" s="57"/>
      <c r="K69" s="59" t="str">
        <f t="shared" ref="K69:K132" si="4">CONCATENATE(TEXT(I69,"0.00")," (",TEXT(H69,"0.00")," – ",TEXT(J69,"0.00"),")")</f>
        <v>0.00 (0.00 – 0.00)</v>
      </c>
      <c r="L69" s="16" t="str">
        <f t="shared" si="3"/>
        <v>0.00
(0.00 – 0.00)</v>
      </c>
      <c r="M69" s="57"/>
      <c r="N69" s="59"/>
      <c r="O69" s="16"/>
    </row>
    <row r="70" spans="3:15" ht="15" hidden="1" customHeight="1" x14ac:dyDescent="0.25">
      <c r="C70" s="56"/>
      <c r="D70" s="57"/>
      <c r="E70" s="57"/>
      <c r="F70" s="57"/>
      <c r="G70" s="57"/>
      <c r="H70" s="57"/>
      <c r="I70" s="57"/>
      <c r="J70" s="57"/>
      <c r="K70" s="59" t="str">
        <f t="shared" si="4"/>
        <v>0.00 (0.00 – 0.00)</v>
      </c>
      <c r="L70" s="16" t="str">
        <f t="shared" ref="L70:L133" si="5">CONCATENATE(TEXT(I70,"0.00"),"
(",TEXT(H70,"0.00")," – ",TEXT(J70,"0.00"),")")</f>
        <v>0.00
(0.00 – 0.00)</v>
      </c>
      <c r="M70" s="57"/>
      <c r="N70" s="59"/>
      <c r="O70" s="16"/>
    </row>
    <row r="71" spans="3:15" ht="15" hidden="1" customHeight="1" x14ac:dyDescent="0.25">
      <c r="C71" s="56"/>
      <c r="D71" s="57"/>
      <c r="E71" s="57"/>
      <c r="F71" s="57"/>
      <c r="G71" s="57"/>
      <c r="H71" s="57"/>
      <c r="I71" s="57"/>
      <c r="J71" s="57"/>
      <c r="K71" s="59" t="str">
        <f t="shared" si="4"/>
        <v>0.00 (0.00 – 0.00)</v>
      </c>
      <c r="L71" s="16" t="str">
        <f t="shared" si="5"/>
        <v>0.00
(0.00 – 0.00)</v>
      </c>
      <c r="M71" s="57"/>
      <c r="N71" s="59"/>
      <c r="O71" s="16"/>
    </row>
    <row r="72" spans="3:15" ht="15" hidden="1" customHeight="1" x14ac:dyDescent="0.25">
      <c r="C72" s="56"/>
      <c r="D72" s="57"/>
      <c r="E72" s="57"/>
      <c r="F72" s="57"/>
      <c r="G72" s="57"/>
      <c r="H72" s="57"/>
      <c r="I72" s="57"/>
      <c r="J72" s="57"/>
      <c r="K72" s="59" t="str">
        <f t="shared" si="4"/>
        <v>0.00 (0.00 – 0.00)</v>
      </c>
      <c r="L72" s="16" t="str">
        <f t="shared" si="5"/>
        <v>0.00
(0.00 – 0.00)</v>
      </c>
      <c r="M72" s="57"/>
      <c r="N72" s="59"/>
      <c r="O72" s="16"/>
    </row>
    <row r="73" spans="3:15" ht="15" hidden="1" customHeight="1" x14ac:dyDescent="0.25">
      <c r="C73" s="56"/>
      <c r="D73" s="57"/>
      <c r="E73" s="57"/>
      <c r="F73" s="57"/>
      <c r="G73" s="57"/>
      <c r="H73" s="57"/>
      <c r="I73" s="57"/>
      <c r="J73" s="57"/>
      <c r="K73" s="59" t="str">
        <f t="shared" si="4"/>
        <v>0.00 (0.00 – 0.00)</v>
      </c>
      <c r="L73" s="16" t="str">
        <f t="shared" si="5"/>
        <v>0.00
(0.00 – 0.00)</v>
      </c>
      <c r="M73" s="57"/>
      <c r="N73" s="59"/>
      <c r="O73" s="16"/>
    </row>
    <row r="74" spans="3:15" ht="15" hidden="1" customHeight="1" x14ac:dyDescent="0.25">
      <c r="C74" s="56"/>
      <c r="D74" s="57"/>
      <c r="E74" s="57"/>
      <c r="F74" s="57"/>
      <c r="G74" s="57"/>
      <c r="H74" s="57"/>
      <c r="I74" s="57"/>
      <c r="J74" s="57"/>
      <c r="K74" s="59" t="str">
        <f t="shared" si="4"/>
        <v>0.00 (0.00 – 0.00)</v>
      </c>
      <c r="L74" s="16" t="str">
        <f t="shared" si="5"/>
        <v>0.00
(0.00 – 0.00)</v>
      </c>
      <c r="M74" s="57"/>
      <c r="N74" s="59"/>
      <c r="O74" s="16"/>
    </row>
    <row r="75" spans="3:15" ht="15" hidden="1" customHeight="1" x14ac:dyDescent="0.25">
      <c r="C75" s="56"/>
      <c r="D75" s="57"/>
      <c r="E75" s="57"/>
      <c r="F75" s="57"/>
      <c r="G75" s="57"/>
      <c r="H75" s="57"/>
      <c r="I75" s="57"/>
      <c r="J75" s="57"/>
      <c r="K75" s="59" t="str">
        <f t="shared" si="4"/>
        <v>0.00 (0.00 – 0.00)</v>
      </c>
      <c r="L75" s="16" t="str">
        <f t="shared" si="5"/>
        <v>0.00
(0.00 – 0.00)</v>
      </c>
      <c r="M75" s="57"/>
      <c r="N75" s="59"/>
      <c r="O75" s="16"/>
    </row>
    <row r="76" spans="3:15" ht="15" hidden="1" customHeight="1" x14ac:dyDescent="0.25">
      <c r="C76" s="56"/>
      <c r="D76" s="57"/>
      <c r="E76" s="57"/>
      <c r="F76" s="57"/>
      <c r="G76" s="57"/>
      <c r="H76" s="57"/>
      <c r="I76" s="57"/>
      <c r="J76" s="57"/>
      <c r="K76" s="59" t="str">
        <f t="shared" si="4"/>
        <v>0.00 (0.00 – 0.00)</v>
      </c>
      <c r="L76" s="16" t="str">
        <f t="shared" si="5"/>
        <v>0.00
(0.00 – 0.00)</v>
      </c>
      <c r="M76" s="57"/>
      <c r="N76" s="59"/>
      <c r="O76" s="16"/>
    </row>
    <row r="77" spans="3:15" ht="15" hidden="1" customHeight="1" x14ac:dyDescent="0.25">
      <c r="C77" s="56"/>
      <c r="D77" s="57"/>
      <c r="E77" s="57"/>
      <c r="F77" s="57"/>
      <c r="G77" s="57"/>
      <c r="H77" s="57"/>
      <c r="I77" s="57"/>
      <c r="J77" s="57"/>
      <c r="K77" s="59" t="str">
        <f t="shared" si="4"/>
        <v>0.00 (0.00 – 0.00)</v>
      </c>
      <c r="L77" s="16" t="str">
        <f t="shared" si="5"/>
        <v>0.00
(0.00 – 0.00)</v>
      </c>
      <c r="M77" s="57"/>
      <c r="N77" s="59"/>
      <c r="O77" s="16"/>
    </row>
    <row r="78" spans="3:15" ht="15" hidden="1" customHeight="1" x14ac:dyDescent="0.25">
      <c r="C78" s="56"/>
      <c r="D78" s="57"/>
      <c r="E78" s="57"/>
      <c r="F78" s="57"/>
      <c r="G78" s="57"/>
      <c r="H78" s="57"/>
      <c r="I78" s="57"/>
      <c r="J78" s="57"/>
      <c r="K78" s="59" t="str">
        <f t="shared" si="4"/>
        <v>0.00 (0.00 – 0.00)</v>
      </c>
      <c r="L78" s="16" t="str">
        <f t="shared" si="5"/>
        <v>0.00
(0.00 – 0.00)</v>
      </c>
      <c r="M78" s="57"/>
      <c r="N78" s="59"/>
      <c r="O78" s="16"/>
    </row>
    <row r="79" spans="3:15" ht="15" hidden="1" customHeight="1" x14ac:dyDescent="0.25">
      <c r="C79" s="56"/>
      <c r="D79" s="57"/>
      <c r="E79" s="57"/>
      <c r="F79" s="57"/>
      <c r="G79" s="57"/>
      <c r="H79" s="57"/>
      <c r="I79" s="57"/>
      <c r="J79" s="57"/>
      <c r="K79" s="59" t="str">
        <f t="shared" si="4"/>
        <v>0.00 (0.00 – 0.00)</v>
      </c>
      <c r="L79" s="16" t="str">
        <f t="shared" si="5"/>
        <v>0.00
(0.00 – 0.00)</v>
      </c>
      <c r="M79" s="57"/>
      <c r="N79" s="59"/>
      <c r="O79" s="16"/>
    </row>
    <row r="80" spans="3:15" ht="15" hidden="1" customHeight="1" x14ac:dyDescent="0.25">
      <c r="C80" s="56"/>
      <c r="D80" s="57"/>
      <c r="E80" s="57"/>
      <c r="F80" s="57"/>
      <c r="G80" s="57"/>
      <c r="H80" s="57"/>
      <c r="I80" s="57"/>
      <c r="J80" s="57"/>
      <c r="K80" s="59" t="str">
        <f t="shared" si="4"/>
        <v>0.00 (0.00 – 0.00)</v>
      </c>
      <c r="L80" s="16" t="str">
        <f t="shared" si="5"/>
        <v>0.00
(0.00 – 0.00)</v>
      </c>
      <c r="M80" s="57"/>
      <c r="N80" s="59"/>
      <c r="O80" s="16"/>
    </row>
    <row r="81" spans="3:15" ht="15" hidden="1" customHeight="1" x14ac:dyDescent="0.25">
      <c r="C81" s="56"/>
      <c r="D81" s="57"/>
      <c r="E81" s="57"/>
      <c r="F81" s="57"/>
      <c r="G81" s="57"/>
      <c r="H81" s="57"/>
      <c r="I81" s="57"/>
      <c r="J81" s="57"/>
      <c r="K81" s="59" t="str">
        <f t="shared" si="4"/>
        <v>0.00 (0.00 – 0.00)</v>
      </c>
      <c r="L81" s="16" t="str">
        <f t="shared" si="5"/>
        <v>0.00
(0.00 – 0.00)</v>
      </c>
      <c r="M81" s="57"/>
      <c r="N81" s="59"/>
      <c r="O81" s="16"/>
    </row>
    <row r="82" spans="3:15" ht="15" hidden="1" customHeight="1" x14ac:dyDescent="0.25">
      <c r="C82" s="56"/>
      <c r="D82" s="57"/>
      <c r="E82" s="57"/>
      <c r="F82" s="57"/>
      <c r="G82" s="57"/>
      <c r="H82" s="57"/>
      <c r="I82" s="57"/>
      <c r="J82" s="57"/>
      <c r="K82" s="59" t="str">
        <f t="shared" si="4"/>
        <v>0.00 (0.00 – 0.00)</v>
      </c>
      <c r="L82" s="16" t="str">
        <f t="shared" si="5"/>
        <v>0.00
(0.00 – 0.00)</v>
      </c>
      <c r="M82" s="57"/>
      <c r="N82" s="59"/>
      <c r="O82" s="16"/>
    </row>
    <row r="83" spans="3:15" ht="15" hidden="1" customHeight="1" x14ac:dyDescent="0.25">
      <c r="C83" s="56"/>
      <c r="D83" s="57"/>
      <c r="E83" s="57"/>
      <c r="F83" s="57"/>
      <c r="G83" s="57"/>
      <c r="H83" s="57"/>
      <c r="I83" s="57"/>
      <c r="J83" s="57"/>
      <c r="K83" s="59" t="str">
        <f t="shared" si="4"/>
        <v>0.00 (0.00 – 0.00)</v>
      </c>
      <c r="L83" s="16" t="str">
        <f t="shared" si="5"/>
        <v>0.00
(0.00 – 0.00)</v>
      </c>
      <c r="M83" s="57"/>
      <c r="N83" s="59"/>
      <c r="O83" s="16"/>
    </row>
    <row r="84" spans="3:15" ht="15" hidden="1" customHeight="1" x14ac:dyDescent="0.25">
      <c r="C84" s="56"/>
      <c r="D84" s="57"/>
      <c r="E84" s="57"/>
      <c r="F84" s="57"/>
      <c r="G84" s="57"/>
      <c r="H84" s="57"/>
      <c r="I84" s="57"/>
      <c r="J84" s="57"/>
      <c r="K84" s="59" t="str">
        <f t="shared" si="4"/>
        <v>0.00 (0.00 – 0.00)</v>
      </c>
      <c r="L84" s="16" t="str">
        <f t="shared" si="5"/>
        <v>0.00
(0.00 – 0.00)</v>
      </c>
      <c r="M84" s="57"/>
      <c r="N84" s="59"/>
      <c r="O84" s="16"/>
    </row>
    <row r="85" spans="3:15" ht="15" hidden="1" customHeight="1" x14ac:dyDescent="0.25">
      <c r="C85" s="56"/>
      <c r="D85" s="57"/>
      <c r="E85" s="57"/>
      <c r="F85" s="57"/>
      <c r="G85" s="57"/>
      <c r="H85" s="57"/>
      <c r="I85" s="57"/>
      <c r="J85" s="57"/>
      <c r="K85" s="59" t="str">
        <f t="shared" si="4"/>
        <v>0.00 (0.00 – 0.00)</v>
      </c>
      <c r="L85" s="16" t="str">
        <f t="shared" si="5"/>
        <v>0.00
(0.00 – 0.00)</v>
      </c>
      <c r="M85" s="57"/>
      <c r="N85" s="59"/>
      <c r="O85" s="16"/>
    </row>
    <row r="86" spans="3:15" ht="15" hidden="1" customHeight="1" x14ac:dyDescent="0.25">
      <c r="C86" s="56"/>
      <c r="D86" s="57"/>
      <c r="E86" s="57"/>
      <c r="F86" s="57"/>
      <c r="G86" s="57"/>
      <c r="H86" s="57"/>
      <c r="I86" s="57"/>
      <c r="J86" s="57"/>
      <c r="K86" s="59" t="str">
        <f t="shared" si="4"/>
        <v>0.00 (0.00 – 0.00)</v>
      </c>
      <c r="L86" s="16" t="str">
        <f t="shared" si="5"/>
        <v>0.00
(0.00 – 0.00)</v>
      </c>
      <c r="M86" s="57"/>
      <c r="N86" s="59"/>
      <c r="O86" s="16"/>
    </row>
    <row r="87" spans="3:15" ht="15" hidden="1" customHeight="1" x14ac:dyDescent="0.25">
      <c r="C87" s="56"/>
      <c r="D87" s="57"/>
      <c r="E87" s="57"/>
      <c r="F87" s="57"/>
      <c r="G87" s="57"/>
      <c r="H87" s="57"/>
      <c r="I87" s="57"/>
      <c r="J87" s="57"/>
      <c r="K87" s="59" t="str">
        <f t="shared" si="4"/>
        <v>0.00 (0.00 – 0.00)</v>
      </c>
      <c r="L87" s="16" t="str">
        <f t="shared" si="5"/>
        <v>0.00
(0.00 – 0.00)</v>
      </c>
      <c r="M87" s="57"/>
      <c r="N87" s="59"/>
      <c r="O87" s="16"/>
    </row>
    <row r="88" spans="3:15" ht="15" hidden="1" customHeight="1" x14ac:dyDescent="0.25">
      <c r="C88" s="56"/>
      <c r="D88" s="57"/>
      <c r="E88" s="57"/>
      <c r="F88" s="57"/>
      <c r="G88" s="57"/>
      <c r="H88" s="57"/>
      <c r="I88" s="57"/>
      <c r="J88" s="57"/>
      <c r="K88" s="59" t="str">
        <f t="shared" si="4"/>
        <v>0.00 (0.00 – 0.00)</v>
      </c>
      <c r="L88" s="16" t="str">
        <f t="shared" si="5"/>
        <v>0.00
(0.00 – 0.00)</v>
      </c>
      <c r="M88" s="57"/>
      <c r="N88" s="59"/>
      <c r="O88" s="16"/>
    </row>
    <row r="89" spans="3:15" ht="15" hidden="1" customHeight="1" x14ac:dyDescent="0.25">
      <c r="C89" s="56"/>
      <c r="D89" s="57"/>
      <c r="E89" s="57"/>
      <c r="F89" s="57"/>
      <c r="G89" s="57"/>
      <c r="H89" s="57"/>
      <c r="I89" s="57"/>
      <c r="J89" s="57"/>
      <c r="K89" s="59" t="str">
        <f t="shared" si="4"/>
        <v>0.00 (0.00 – 0.00)</v>
      </c>
      <c r="L89" s="16" t="str">
        <f t="shared" si="5"/>
        <v>0.00
(0.00 – 0.00)</v>
      </c>
      <c r="M89" s="57"/>
      <c r="N89" s="59"/>
      <c r="O89" s="16"/>
    </row>
    <row r="90" spans="3:15" ht="15" hidden="1" customHeight="1" x14ac:dyDescent="0.25">
      <c r="C90" s="56"/>
      <c r="D90" s="57"/>
      <c r="E90" s="57"/>
      <c r="F90" s="57"/>
      <c r="G90" s="57"/>
      <c r="H90" s="57"/>
      <c r="I90" s="57"/>
      <c r="J90" s="57"/>
      <c r="K90" s="59" t="str">
        <f t="shared" si="4"/>
        <v>0.00 (0.00 – 0.00)</v>
      </c>
      <c r="L90" s="16" t="str">
        <f t="shared" si="5"/>
        <v>0.00
(0.00 – 0.00)</v>
      </c>
      <c r="M90" s="57"/>
      <c r="N90" s="59"/>
      <c r="O90" s="16"/>
    </row>
    <row r="91" spans="3:15" ht="15" hidden="1" customHeight="1" x14ac:dyDescent="0.25">
      <c r="C91" s="56"/>
      <c r="D91" s="57"/>
      <c r="E91" s="57"/>
      <c r="F91" s="57"/>
      <c r="G91" s="57"/>
      <c r="H91" s="57"/>
      <c r="I91" s="57"/>
      <c r="J91" s="57"/>
      <c r="K91" s="59" t="str">
        <f t="shared" si="4"/>
        <v>0.00 (0.00 – 0.00)</v>
      </c>
      <c r="L91" s="16" t="str">
        <f t="shared" si="5"/>
        <v>0.00
(0.00 – 0.00)</v>
      </c>
      <c r="M91" s="57"/>
      <c r="N91" s="59"/>
      <c r="O91" s="16"/>
    </row>
    <row r="92" spans="3:15" ht="15" hidden="1" customHeight="1" x14ac:dyDescent="0.25">
      <c r="C92" s="56"/>
      <c r="D92" s="57"/>
      <c r="E92" s="57"/>
      <c r="F92" s="57"/>
      <c r="G92" s="57"/>
      <c r="H92" s="57"/>
      <c r="I92" s="57"/>
      <c r="J92" s="57"/>
      <c r="K92" s="59" t="str">
        <f t="shared" si="4"/>
        <v>0.00 (0.00 – 0.00)</v>
      </c>
      <c r="L92" s="16" t="str">
        <f t="shared" si="5"/>
        <v>0.00
(0.00 – 0.00)</v>
      </c>
      <c r="M92" s="57"/>
      <c r="N92" s="59"/>
      <c r="O92" s="16"/>
    </row>
    <row r="93" spans="3:15" ht="15" hidden="1" customHeight="1" x14ac:dyDescent="0.25">
      <c r="C93" s="56"/>
      <c r="D93" s="57"/>
      <c r="E93" s="57"/>
      <c r="F93" s="57"/>
      <c r="G93" s="57"/>
      <c r="H93" s="57"/>
      <c r="I93" s="57"/>
      <c r="J93" s="57"/>
      <c r="K93" s="59" t="str">
        <f t="shared" si="4"/>
        <v>0.00 (0.00 – 0.00)</v>
      </c>
      <c r="L93" s="16" t="str">
        <f t="shared" si="5"/>
        <v>0.00
(0.00 – 0.00)</v>
      </c>
      <c r="M93" s="57"/>
      <c r="N93" s="59"/>
      <c r="O93" s="16"/>
    </row>
    <row r="94" spans="3:15" ht="15" hidden="1" customHeight="1" x14ac:dyDescent="0.25">
      <c r="C94" s="56"/>
      <c r="D94" s="57"/>
      <c r="E94" s="57"/>
      <c r="F94" s="57"/>
      <c r="G94" s="57"/>
      <c r="H94" s="57"/>
      <c r="I94" s="57"/>
      <c r="J94" s="57"/>
      <c r="K94" s="59" t="str">
        <f t="shared" si="4"/>
        <v>0.00 (0.00 – 0.00)</v>
      </c>
      <c r="L94" s="16" t="str">
        <f t="shared" si="5"/>
        <v>0.00
(0.00 – 0.00)</v>
      </c>
      <c r="M94" s="57"/>
      <c r="N94" s="59"/>
      <c r="O94" s="16"/>
    </row>
    <row r="95" spans="3:15" ht="15" hidden="1" customHeight="1" x14ac:dyDescent="0.25">
      <c r="C95" s="56"/>
      <c r="D95" s="57"/>
      <c r="E95" s="57"/>
      <c r="F95" s="57"/>
      <c r="G95" s="57"/>
      <c r="H95" s="57"/>
      <c r="I95" s="57"/>
      <c r="J95" s="57"/>
      <c r="K95" s="59" t="str">
        <f t="shared" si="4"/>
        <v>0.00 (0.00 – 0.00)</v>
      </c>
      <c r="L95" s="16" t="str">
        <f t="shared" si="5"/>
        <v>0.00
(0.00 – 0.00)</v>
      </c>
      <c r="M95" s="57"/>
      <c r="N95" s="59"/>
      <c r="O95" s="16"/>
    </row>
    <row r="96" spans="3:15" ht="15" hidden="1" customHeight="1" x14ac:dyDescent="0.25">
      <c r="C96" s="56"/>
      <c r="D96" s="57"/>
      <c r="E96" s="57"/>
      <c r="F96" s="57"/>
      <c r="G96" s="57"/>
      <c r="H96" s="57"/>
      <c r="I96" s="57"/>
      <c r="J96" s="57"/>
      <c r="K96" s="59" t="str">
        <f t="shared" si="4"/>
        <v>0.00 (0.00 – 0.00)</v>
      </c>
      <c r="L96" s="16" t="str">
        <f t="shared" si="5"/>
        <v>0.00
(0.00 – 0.00)</v>
      </c>
      <c r="M96" s="57"/>
      <c r="N96" s="59"/>
      <c r="O96" s="16"/>
    </row>
    <row r="97" spans="3:15" ht="15" hidden="1" customHeight="1" x14ac:dyDescent="0.25">
      <c r="C97" s="56"/>
      <c r="D97" s="57"/>
      <c r="E97" s="57"/>
      <c r="F97" s="57"/>
      <c r="G97" s="57"/>
      <c r="H97" s="57"/>
      <c r="I97" s="57"/>
      <c r="J97" s="57"/>
      <c r="K97" s="59" t="str">
        <f t="shared" si="4"/>
        <v>0.00 (0.00 – 0.00)</v>
      </c>
      <c r="L97" s="16" t="str">
        <f t="shared" si="5"/>
        <v>0.00
(0.00 – 0.00)</v>
      </c>
      <c r="M97" s="57"/>
      <c r="N97" s="59"/>
      <c r="O97" s="16"/>
    </row>
    <row r="98" spans="3:15" ht="15" hidden="1" customHeight="1" x14ac:dyDescent="0.25">
      <c r="C98" s="56"/>
      <c r="D98" s="57"/>
      <c r="E98" s="57"/>
      <c r="F98" s="57"/>
      <c r="G98" s="57"/>
      <c r="H98" s="57"/>
      <c r="I98" s="57"/>
      <c r="J98" s="57"/>
      <c r="K98" s="59" t="str">
        <f t="shared" si="4"/>
        <v>0.00 (0.00 – 0.00)</v>
      </c>
      <c r="L98" s="16" t="str">
        <f t="shared" si="5"/>
        <v>0.00
(0.00 – 0.00)</v>
      </c>
      <c r="M98" s="57"/>
      <c r="N98" s="59"/>
      <c r="O98" s="16"/>
    </row>
    <row r="99" spans="3:15" ht="15" hidden="1" customHeight="1" x14ac:dyDescent="0.25">
      <c r="C99" s="56"/>
      <c r="D99" s="57"/>
      <c r="E99" s="57"/>
      <c r="F99" s="57"/>
      <c r="G99" s="57"/>
      <c r="H99" s="57"/>
      <c r="I99" s="57"/>
      <c r="J99" s="57"/>
      <c r="K99" s="59" t="str">
        <f t="shared" si="4"/>
        <v>0.00 (0.00 – 0.00)</v>
      </c>
      <c r="L99" s="16" t="str">
        <f t="shared" si="5"/>
        <v>0.00
(0.00 – 0.00)</v>
      </c>
      <c r="M99" s="57"/>
      <c r="N99" s="59"/>
      <c r="O99" s="16"/>
    </row>
    <row r="100" spans="3:15" ht="15" hidden="1" customHeight="1" x14ac:dyDescent="0.25">
      <c r="C100" s="56"/>
      <c r="D100" s="57"/>
      <c r="E100" s="57"/>
      <c r="F100" s="57"/>
      <c r="G100" s="57"/>
      <c r="H100" s="57"/>
      <c r="I100" s="57"/>
      <c r="J100" s="57"/>
      <c r="K100" s="59" t="str">
        <f t="shared" si="4"/>
        <v>0.00 (0.00 – 0.00)</v>
      </c>
      <c r="L100" s="16" t="str">
        <f t="shared" si="5"/>
        <v>0.00
(0.00 – 0.00)</v>
      </c>
      <c r="M100" s="57"/>
      <c r="N100" s="59"/>
      <c r="O100" s="16"/>
    </row>
    <row r="101" spans="3:15" ht="15" hidden="1" customHeight="1" x14ac:dyDescent="0.25">
      <c r="C101" s="56"/>
      <c r="D101" s="57"/>
      <c r="E101" s="57"/>
      <c r="F101" s="57"/>
      <c r="G101" s="57"/>
      <c r="H101" s="57"/>
      <c r="I101" s="57"/>
      <c r="J101" s="57"/>
      <c r="K101" s="59" t="str">
        <f t="shared" si="4"/>
        <v>0.00 (0.00 – 0.00)</v>
      </c>
      <c r="L101" s="16" t="str">
        <f t="shared" si="5"/>
        <v>0.00
(0.00 – 0.00)</v>
      </c>
      <c r="M101" s="57"/>
      <c r="N101" s="59"/>
      <c r="O101" s="16"/>
    </row>
    <row r="102" spans="3:15" ht="15" hidden="1" customHeight="1" x14ac:dyDescent="0.25">
      <c r="C102" s="56"/>
      <c r="D102" s="57"/>
      <c r="E102" s="57"/>
      <c r="F102" s="57"/>
      <c r="G102" s="57"/>
      <c r="H102" s="57"/>
      <c r="I102" s="57"/>
      <c r="J102" s="57"/>
      <c r="K102" s="59" t="str">
        <f t="shared" si="4"/>
        <v>0.00 (0.00 – 0.00)</v>
      </c>
      <c r="L102" s="16" t="str">
        <f t="shared" si="5"/>
        <v>0.00
(0.00 – 0.00)</v>
      </c>
      <c r="M102" s="57"/>
      <c r="N102" s="59"/>
      <c r="O102" s="16"/>
    </row>
    <row r="103" spans="3:15" ht="15" hidden="1" customHeight="1" x14ac:dyDescent="0.25">
      <c r="C103" s="56"/>
      <c r="D103" s="57"/>
      <c r="E103" s="57"/>
      <c r="F103" s="57"/>
      <c r="G103" s="57"/>
      <c r="H103" s="57"/>
      <c r="I103" s="57"/>
      <c r="J103" s="57"/>
      <c r="K103" s="59" t="str">
        <f t="shared" si="4"/>
        <v>0.00 (0.00 – 0.00)</v>
      </c>
      <c r="L103" s="16" t="str">
        <f t="shared" si="5"/>
        <v>0.00
(0.00 – 0.00)</v>
      </c>
      <c r="M103" s="57"/>
      <c r="N103" s="59"/>
      <c r="O103" s="16"/>
    </row>
    <row r="104" spans="3:15" ht="15" hidden="1" customHeight="1" x14ac:dyDescent="0.25">
      <c r="C104" s="56"/>
      <c r="D104" s="57"/>
      <c r="E104" s="57"/>
      <c r="F104" s="57"/>
      <c r="G104" s="57"/>
      <c r="H104" s="57"/>
      <c r="I104" s="57"/>
      <c r="J104" s="57"/>
      <c r="K104" s="59" t="str">
        <f t="shared" si="4"/>
        <v>0.00 (0.00 – 0.00)</v>
      </c>
      <c r="L104" s="16" t="str">
        <f t="shared" si="5"/>
        <v>0.00
(0.00 – 0.00)</v>
      </c>
      <c r="M104" s="57"/>
      <c r="N104" s="59"/>
      <c r="O104" s="16"/>
    </row>
    <row r="105" spans="3:15" ht="15" hidden="1" customHeight="1" x14ac:dyDescent="0.25">
      <c r="C105" s="56"/>
      <c r="D105" s="57"/>
      <c r="E105" s="57"/>
      <c r="F105" s="57"/>
      <c r="G105" s="57"/>
      <c r="H105" s="57"/>
      <c r="I105" s="57"/>
      <c r="J105" s="57"/>
      <c r="K105" s="59" t="str">
        <f t="shared" si="4"/>
        <v>0.00 (0.00 – 0.00)</v>
      </c>
      <c r="L105" s="16" t="str">
        <f t="shared" si="5"/>
        <v>0.00
(0.00 – 0.00)</v>
      </c>
      <c r="M105" s="57"/>
      <c r="N105" s="59"/>
      <c r="O105" s="16"/>
    </row>
    <row r="106" spans="3:15" ht="15" hidden="1" customHeight="1" x14ac:dyDescent="0.25">
      <c r="C106" s="56"/>
      <c r="D106" s="57"/>
      <c r="E106" s="57"/>
      <c r="F106" s="57"/>
      <c r="G106" s="57"/>
      <c r="H106" s="57"/>
      <c r="I106" s="57"/>
      <c r="J106" s="57"/>
      <c r="K106" s="59" t="str">
        <f t="shared" si="4"/>
        <v>0.00 (0.00 – 0.00)</v>
      </c>
      <c r="L106" s="16" t="str">
        <f t="shared" si="5"/>
        <v>0.00
(0.00 – 0.00)</v>
      </c>
      <c r="M106" s="57"/>
      <c r="N106" s="59"/>
      <c r="O106" s="16"/>
    </row>
    <row r="107" spans="3:15" ht="15" hidden="1" customHeight="1" x14ac:dyDescent="0.25">
      <c r="C107" s="56"/>
      <c r="D107" s="57"/>
      <c r="E107" s="57"/>
      <c r="F107" s="57"/>
      <c r="G107" s="57"/>
      <c r="H107" s="57"/>
      <c r="I107" s="57"/>
      <c r="J107" s="57"/>
      <c r="K107" s="59" t="str">
        <f t="shared" si="4"/>
        <v>0.00 (0.00 – 0.00)</v>
      </c>
      <c r="L107" s="16" t="str">
        <f t="shared" si="5"/>
        <v>0.00
(0.00 – 0.00)</v>
      </c>
      <c r="M107" s="57"/>
      <c r="N107" s="59"/>
      <c r="O107" s="16"/>
    </row>
    <row r="108" spans="3:15" ht="15" hidden="1" customHeight="1" x14ac:dyDescent="0.25">
      <c r="C108" s="56"/>
      <c r="D108" s="57"/>
      <c r="E108" s="57"/>
      <c r="F108" s="57"/>
      <c r="G108" s="57"/>
      <c r="H108" s="57"/>
      <c r="I108" s="57"/>
      <c r="J108" s="57"/>
      <c r="K108" s="59" t="str">
        <f t="shared" si="4"/>
        <v>0.00 (0.00 – 0.00)</v>
      </c>
      <c r="L108" s="16" t="str">
        <f t="shared" si="5"/>
        <v>0.00
(0.00 – 0.00)</v>
      </c>
      <c r="M108" s="57"/>
      <c r="N108" s="59"/>
      <c r="O108" s="16"/>
    </row>
    <row r="109" spans="3:15" ht="15" hidden="1" customHeight="1" x14ac:dyDescent="0.25">
      <c r="C109" s="56"/>
      <c r="D109" s="57"/>
      <c r="E109" s="57"/>
      <c r="F109" s="57"/>
      <c r="G109" s="57"/>
      <c r="H109" s="57"/>
      <c r="I109" s="57"/>
      <c r="J109" s="57"/>
      <c r="K109" s="59" t="str">
        <f t="shared" si="4"/>
        <v>0.00 (0.00 – 0.00)</v>
      </c>
      <c r="L109" s="16" t="str">
        <f t="shared" si="5"/>
        <v>0.00
(0.00 – 0.00)</v>
      </c>
      <c r="M109" s="57"/>
      <c r="N109" s="59"/>
      <c r="O109" s="16"/>
    </row>
    <row r="110" spans="3:15" ht="15" hidden="1" customHeight="1" x14ac:dyDescent="0.25">
      <c r="C110" s="56"/>
      <c r="D110" s="57"/>
      <c r="E110" s="57"/>
      <c r="F110" s="57"/>
      <c r="G110" s="57"/>
      <c r="H110" s="57"/>
      <c r="I110" s="57"/>
      <c r="J110" s="57"/>
      <c r="K110" s="59" t="str">
        <f t="shared" si="4"/>
        <v>0.00 (0.00 – 0.00)</v>
      </c>
      <c r="L110" s="16" t="str">
        <f t="shared" si="5"/>
        <v>0.00
(0.00 – 0.00)</v>
      </c>
      <c r="M110" s="57"/>
      <c r="N110" s="59"/>
      <c r="O110" s="16"/>
    </row>
    <row r="111" spans="3:15" ht="15" hidden="1" customHeight="1" x14ac:dyDescent="0.25">
      <c r="C111" s="56"/>
      <c r="D111" s="57"/>
      <c r="E111" s="57"/>
      <c r="F111" s="57"/>
      <c r="G111" s="57"/>
      <c r="H111" s="57"/>
      <c r="I111" s="57"/>
      <c r="J111" s="57"/>
      <c r="K111" s="59" t="str">
        <f t="shared" si="4"/>
        <v>0.00 (0.00 – 0.00)</v>
      </c>
      <c r="L111" s="16" t="str">
        <f t="shared" si="5"/>
        <v>0.00
(0.00 – 0.00)</v>
      </c>
      <c r="M111" s="57"/>
      <c r="N111" s="59"/>
      <c r="O111" s="16"/>
    </row>
    <row r="112" spans="3:15" ht="15" hidden="1" customHeight="1" x14ac:dyDescent="0.25">
      <c r="C112" s="56"/>
      <c r="D112" s="57"/>
      <c r="E112" s="57"/>
      <c r="F112" s="57"/>
      <c r="G112" s="57"/>
      <c r="H112" s="57"/>
      <c r="I112" s="57"/>
      <c r="J112" s="57"/>
      <c r="K112" s="59" t="str">
        <f t="shared" si="4"/>
        <v>0.00 (0.00 – 0.00)</v>
      </c>
      <c r="L112" s="16" t="str">
        <f t="shared" si="5"/>
        <v>0.00
(0.00 – 0.00)</v>
      </c>
      <c r="M112" s="57"/>
      <c r="N112" s="59"/>
      <c r="O112" s="16"/>
    </row>
    <row r="113" spans="3:15" ht="15" hidden="1" customHeight="1" x14ac:dyDescent="0.25">
      <c r="C113" s="56"/>
      <c r="D113" s="57"/>
      <c r="E113" s="57"/>
      <c r="F113" s="57"/>
      <c r="G113" s="57"/>
      <c r="H113" s="57"/>
      <c r="I113" s="57"/>
      <c r="J113" s="57"/>
      <c r="K113" s="59" t="str">
        <f t="shared" si="4"/>
        <v>0.00 (0.00 – 0.00)</v>
      </c>
      <c r="L113" s="16" t="str">
        <f t="shared" si="5"/>
        <v>0.00
(0.00 – 0.00)</v>
      </c>
      <c r="M113" s="57"/>
      <c r="N113" s="59"/>
      <c r="O113" s="16"/>
    </row>
    <row r="114" spans="3:15" ht="15" hidden="1" customHeight="1" x14ac:dyDescent="0.25">
      <c r="C114" s="56"/>
      <c r="D114" s="57"/>
      <c r="E114" s="57"/>
      <c r="F114" s="57"/>
      <c r="G114" s="57"/>
      <c r="H114" s="57"/>
      <c r="I114" s="57"/>
      <c r="J114" s="57"/>
      <c r="K114" s="59" t="str">
        <f t="shared" si="4"/>
        <v>0.00 (0.00 – 0.00)</v>
      </c>
      <c r="L114" s="16" t="str">
        <f t="shared" si="5"/>
        <v>0.00
(0.00 – 0.00)</v>
      </c>
      <c r="M114" s="57"/>
      <c r="N114" s="59"/>
      <c r="O114" s="16"/>
    </row>
    <row r="115" spans="3:15" ht="15" hidden="1" customHeight="1" x14ac:dyDescent="0.25">
      <c r="C115" s="56"/>
      <c r="D115" s="57"/>
      <c r="E115" s="57"/>
      <c r="F115" s="57"/>
      <c r="G115" s="57"/>
      <c r="H115" s="57"/>
      <c r="I115" s="57"/>
      <c r="J115" s="57"/>
      <c r="K115" s="59" t="str">
        <f t="shared" si="4"/>
        <v>0.00 (0.00 – 0.00)</v>
      </c>
      <c r="L115" s="16" t="str">
        <f t="shared" si="5"/>
        <v>0.00
(0.00 – 0.00)</v>
      </c>
      <c r="M115" s="57"/>
      <c r="N115" s="59"/>
      <c r="O115" s="16"/>
    </row>
    <row r="116" spans="3:15" ht="15" hidden="1" customHeight="1" x14ac:dyDescent="0.25">
      <c r="C116" s="56"/>
      <c r="D116" s="57"/>
      <c r="E116" s="57"/>
      <c r="F116" s="57"/>
      <c r="G116" s="57"/>
      <c r="H116" s="57"/>
      <c r="I116" s="57"/>
      <c r="J116" s="57"/>
      <c r="K116" s="59" t="str">
        <f t="shared" si="4"/>
        <v>0.00 (0.00 – 0.00)</v>
      </c>
      <c r="L116" s="16" t="str">
        <f t="shared" si="5"/>
        <v>0.00
(0.00 – 0.00)</v>
      </c>
      <c r="M116" s="57"/>
      <c r="N116" s="59"/>
      <c r="O116" s="16"/>
    </row>
    <row r="117" spans="3:15" ht="15" hidden="1" customHeight="1" x14ac:dyDescent="0.25">
      <c r="C117" s="56"/>
      <c r="D117" s="57"/>
      <c r="E117" s="57"/>
      <c r="F117" s="57"/>
      <c r="G117" s="57"/>
      <c r="H117" s="57"/>
      <c r="I117" s="57"/>
      <c r="J117" s="57"/>
      <c r="K117" s="59" t="str">
        <f t="shared" si="4"/>
        <v>0.00 (0.00 – 0.00)</v>
      </c>
      <c r="L117" s="16" t="str">
        <f t="shared" si="5"/>
        <v>0.00
(0.00 – 0.00)</v>
      </c>
      <c r="M117" s="57"/>
      <c r="N117" s="59"/>
      <c r="O117" s="16"/>
    </row>
    <row r="118" spans="3:15" ht="15" hidden="1" customHeight="1" x14ac:dyDescent="0.25">
      <c r="C118" s="56"/>
      <c r="D118" s="57"/>
      <c r="E118" s="57"/>
      <c r="F118" s="57"/>
      <c r="G118" s="57"/>
      <c r="H118" s="57"/>
      <c r="I118" s="57"/>
      <c r="J118" s="57"/>
      <c r="K118" s="59" t="str">
        <f t="shared" si="4"/>
        <v>0.00 (0.00 – 0.00)</v>
      </c>
      <c r="L118" s="16" t="str">
        <f t="shared" si="5"/>
        <v>0.00
(0.00 – 0.00)</v>
      </c>
      <c r="M118" s="57"/>
      <c r="N118" s="59"/>
      <c r="O118" s="16"/>
    </row>
    <row r="119" spans="3:15" ht="15" hidden="1" customHeight="1" x14ac:dyDescent="0.25">
      <c r="C119" s="56"/>
      <c r="D119" s="57"/>
      <c r="E119" s="57"/>
      <c r="F119" s="57"/>
      <c r="G119" s="57"/>
      <c r="H119" s="57"/>
      <c r="I119" s="57"/>
      <c r="J119" s="57"/>
      <c r="K119" s="59" t="str">
        <f t="shared" si="4"/>
        <v>0.00 (0.00 – 0.00)</v>
      </c>
      <c r="L119" s="16" t="str">
        <f t="shared" si="5"/>
        <v>0.00
(0.00 – 0.00)</v>
      </c>
      <c r="M119" s="57"/>
      <c r="N119" s="59"/>
      <c r="O119" s="16"/>
    </row>
    <row r="120" spans="3:15" ht="15" hidden="1" customHeight="1" x14ac:dyDescent="0.25">
      <c r="C120" s="56"/>
      <c r="D120" s="57"/>
      <c r="E120" s="57"/>
      <c r="F120" s="57"/>
      <c r="G120" s="57"/>
      <c r="H120" s="57"/>
      <c r="I120" s="57"/>
      <c r="J120" s="57"/>
      <c r="K120" s="59" t="str">
        <f t="shared" si="4"/>
        <v>0.00 (0.00 – 0.00)</v>
      </c>
      <c r="L120" s="16" t="str">
        <f t="shared" si="5"/>
        <v>0.00
(0.00 – 0.00)</v>
      </c>
      <c r="M120" s="57"/>
      <c r="N120" s="59"/>
      <c r="O120" s="16"/>
    </row>
    <row r="121" spans="3:15" ht="15" hidden="1" customHeight="1" x14ac:dyDescent="0.25">
      <c r="C121" s="56"/>
      <c r="D121" s="57"/>
      <c r="E121" s="57"/>
      <c r="F121" s="57"/>
      <c r="G121" s="57"/>
      <c r="H121" s="57"/>
      <c r="I121" s="57"/>
      <c r="J121" s="57"/>
      <c r="K121" s="59" t="str">
        <f t="shared" si="4"/>
        <v>0.00 (0.00 – 0.00)</v>
      </c>
      <c r="L121" s="16" t="str">
        <f t="shared" si="5"/>
        <v>0.00
(0.00 – 0.00)</v>
      </c>
      <c r="M121" s="57"/>
      <c r="N121" s="59"/>
      <c r="O121" s="16"/>
    </row>
    <row r="122" spans="3:15" ht="15" hidden="1" customHeight="1" x14ac:dyDescent="0.25">
      <c r="C122" s="56"/>
      <c r="D122" s="57"/>
      <c r="E122" s="57"/>
      <c r="F122" s="57"/>
      <c r="G122" s="57"/>
      <c r="H122" s="57"/>
      <c r="I122" s="57"/>
      <c r="J122" s="57"/>
      <c r="K122" s="59" t="str">
        <f t="shared" si="4"/>
        <v>0.00 (0.00 – 0.00)</v>
      </c>
      <c r="L122" s="16" t="str">
        <f t="shared" si="5"/>
        <v>0.00
(0.00 – 0.00)</v>
      </c>
      <c r="M122" s="57"/>
      <c r="N122" s="59"/>
      <c r="O122" s="16"/>
    </row>
    <row r="123" spans="3:15" ht="15" hidden="1" customHeight="1" x14ac:dyDescent="0.25">
      <c r="C123" s="56"/>
      <c r="D123" s="57"/>
      <c r="E123" s="57"/>
      <c r="F123" s="57"/>
      <c r="G123" s="57"/>
      <c r="H123" s="57"/>
      <c r="I123" s="57"/>
      <c r="J123" s="57"/>
      <c r="K123" s="59" t="str">
        <f t="shared" si="4"/>
        <v>0.00 (0.00 – 0.00)</v>
      </c>
      <c r="L123" s="16" t="str">
        <f t="shared" si="5"/>
        <v>0.00
(0.00 – 0.00)</v>
      </c>
      <c r="M123" s="57"/>
      <c r="N123" s="59"/>
      <c r="O123" s="16"/>
    </row>
    <row r="124" spans="3:15" ht="15" hidden="1" customHeight="1" x14ac:dyDescent="0.25">
      <c r="C124" s="56"/>
      <c r="D124" s="57"/>
      <c r="E124" s="57"/>
      <c r="F124" s="57"/>
      <c r="G124" s="57"/>
      <c r="H124" s="57"/>
      <c r="I124" s="57"/>
      <c r="J124" s="57"/>
      <c r="K124" s="59" t="str">
        <f t="shared" si="4"/>
        <v>0.00 (0.00 – 0.00)</v>
      </c>
      <c r="L124" s="16" t="str">
        <f t="shared" si="5"/>
        <v>0.00
(0.00 – 0.00)</v>
      </c>
      <c r="M124" s="57"/>
      <c r="N124" s="59"/>
      <c r="O124" s="16"/>
    </row>
    <row r="125" spans="3:15" ht="15" hidden="1" customHeight="1" x14ac:dyDescent="0.25">
      <c r="C125" s="56"/>
      <c r="D125" s="57"/>
      <c r="E125" s="57"/>
      <c r="F125" s="57"/>
      <c r="G125" s="57"/>
      <c r="H125" s="57"/>
      <c r="I125" s="57"/>
      <c r="J125" s="57"/>
      <c r="K125" s="59" t="str">
        <f t="shared" si="4"/>
        <v>0.00 (0.00 – 0.00)</v>
      </c>
      <c r="L125" s="16" t="str">
        <f t="shared" si="5"/>
        <v>0.00
(0.00 – 0.00)</v>
      </c>
      <c r="M125" s="57"/>
      <c r="N125" s="59"/>
      <c r="O125" s="16"/>
    </row>
    <row r="126" spans="3:15" ht="15" hidden="1" customHeight="1" x14ac:dyDescent="0.25">
      <c r="C126" s="56"/>
      <c r="D126" s="57"/>
      <c r="E126" s="57"/>
      <c r="F126" s="57"/>
      <c r="G126" s="57"/>
      <c r="H126" s="57"/>
      <c r="I126" s="57"/>
      <c r="J126" s="57"/>
      <c r="K126" s="59" t="str">
        <f t="shared" si="4"/>
        <v>0.00 (0.00 – 0.00)</v>
      </c>
      <c r="L126" s="16" t="str">
        <f t="shared" si="5"/>
        <v>0.00
(0.00 – 0.00)</v>
      </c>
      <c r="M126" s="57"/>
      <c r="N126" s="59"/>
      <c r="O126" s="16"/>
    </row>
    <row r="127" spans="3:15" ht="15" hidden="1" customHeight="1" x14ac:dyDescent="0.25">
      <c r="C127" s="56"/>
      <c r="D127" s="57"/>
      <c r="E127" s="57"/>
      <c r="F127" s="57"/>
      <c r="G127" s="57"/>
      <c r="H127" s="57"/>
      <c r="I127" s="57"/>
      <c r="J127" s="57"/>
      <c r="K127" s="59" t="str">
        <f t="shared" si="4"/>
        <v>0.00 (0.00 – 0.00)</v>
      </c>
      <c r="L127" s="16" t="str">
        <f t="shared" si="5"/>
        <v>0.00
(0.00 – 0.00)</v>
      </c>
      <c r="M127" s="57"/>
      <c r="N127" s="59"/>
      <c r="O127" s="16"/>
    </row>
    <row r="128" spans="3:15" ht="15" hidden="1" customHeight="1" x14ac:dyDescent="0.25">
      <c r="C128" s="56"/>
      <c r="D128" s="57"/>
      <c r="E128" s="57"/>
      <c r="F128" s="57"/>
      <c r="G128" s="57"/>
      <c r="H128" s="57"/>
      <c r="I128" s="57"/>
      <c r="J128" s="57"/>
      <c r="K128" s="59" t="str">
        <f t="shared" si="4"/>
        <v>0.00 (0.00 – 0.00)</v>
      </c>
      <c r="L128" s="16" t="str">
        <f t="shared" si="5"/>
        <v>0.00
(0.00 – 0.00)</v>
      </c>
      <c r="M128" s="57"/>
      <c r="N128" s="59"/>
      <c r="O128" s="16"/>
    </row>
    <row r="129" spans="3:15" ht="15" hidden="1" customHeight="1" x14ac:dyDescent="0.25">
      <c r="C129" s="56"/>
      <c r="D129" s="57"/>
      <c r="E129" s="57"/>
      <c r="F129" s="57"/>
      <c r="G129" s="57"/>
      <c r="H129" s="57"/>
      <c r="I129" s="57"/>
      <c r="J129" s="57"/>
      <c r="K129" s="59" t="str">
        <f t="shared" si="4"/>
        <v>0.00 (0.00 – 0.00)</v>
      </c>
      <c r="L129" s="16" t="str">
        <f t="shared" si="5"/>
        <v>0.00
(0.00 – 0.00)</v>
      </c>
      <c r="M129" s="57"/>
      <c r="N129" s="59"/>
      <c r="O129" s="16"/>
    </row>
    <row r="130" spans="3:15" ht="15" hidden="1" customHeight="1" x14ac:dyDescent="0.25">
      <c r="C130" s="56"/>
      <c r="D130" s="57"/>
      <c r="E130" s="57"/>
      <c r="F130" s="57"/>
      <c r="G130" s="57"/>
      <c r="H130" s="57"/>
      <c r="I130" s="57"/>
      <c r="J130" s="57"/>
      <c r="K130" s="59" t="str">
        <f t="shared" si="4"/>
        <v>0.00 (0.00 – 0.00)</v>
      </c>
      <c r="L130" s="16" t="str">
        <f t="shared" si="5"/>
        <v>0.00
(0.00 – 0.00)</v>
      </c>
      <c r="M130" s="57"/>
      <c r="N130" s="59"/>
      <c r="O130" s="16"/>
    </row>
    <row r="131" spans="3:15" ht="15" hidden="1" customHeight="1" x14ac:dyDescent="0.25">
      <c r="C131" s="56"/>
      <c r="D131" s="57"/>
      <c r="E131" s="57"/>
      <c r="F131" s="57"/>
      <c r="G131" s="57"/>
      <c r="H131" s="57"/>
      <c r="I131" s="57"/>
      <c r="J131" s="57"/>
      <c r="K131" s="59" t="str">
        <f t="shared" si="4"/>
        <v>0.00 (0.00 – 0.00)</v>
      </c>
      <c r="L131" s="16" t="str">
        <f t="shared" si="5"/>
        <v>0.00
(0.00 – 0.00)</v>
      </c>
      <c r="M131" s="57"/>
      <c r="N131" s="59"/>
      <c r="O131" s="16"/>
    </row>
    <row r="132" spans="3:15" ht="15" hidden="1" customHeight="1" x14ac:dyDescent="0.25">
      <c r="C132" s="56"/>
      <c r="D132" s="57"/>
      <c r="E132" s="57"/>
      <c r="F132" s="57"/>
      <c r="G132" s="57"/>
      <c r="H132" s="57"/>
      <c r="I132" s="57"/>
      <c r="J132" s="57"/>
      <c r="K132" s="59" t="str">
        <f t="shared" si="4"/>
        <v>0.00 (0.00 – 0.00)</v>
      </c>
      <c r="L132" s="16" t="str">
        <f t="shared" si="5"/>
        <v>0.00
(0.00 – 0.00)</v>
      </c>
      <c r="M132" s="57"/>
      <c r="N132" s="59"/>
      <c r="O132" s="16"/>
    </row>
    <row r="133" spans="3:15" ht="15" hidden="1" customHeight="1" x14ac:dyDescent="0.25">
      <c r="C133" s="56"/>
      <c r="D133" s="57"/>
      <c r="E133" s="57"/>
      <c r="F133" s="57"/>
      <c r="G133" s="57"/>
      <c r="H133" s="57"/>
      <c r="I133" s="57"/>
      <c r="J133" s="57"/>
      <c r="K133" s="59" t="str">
        <f t="shared" ref="K133:K196" si="6">CONCATENATE(TEXT(I133,"0.00")," (",TEXT(H133,"0.00")," – ",TEXT(J133,"0.00"),")")</f>
        <v>0.00 (0.00 – 0.00)</v>
      </c>
      <c r="L133" s="16" t="str">
        <f t="shared" si="5"/>
        <v>0.00
(0.00 – 0.00)</v>
      </c>
      <c r="M133" s="57"/>
      <c r="N133" s="59"/>
      <c r="O133" s="16"/>
    </row>
    <row r="134" spans="3:15" ht="15" hidden="1" customHeight="1" x14ac:dyDescent="0.25">
      <c r="C134" s="56"/>
      <c r="D134" s="57"/>
      <c r="E134" s="57"/>
      <c r="F134" s="57"/>
      <c r="G134" s="57"/>
      <c r="H134" s="57"/>
      <c r="I134" s="57"/>
      <c r="J134" s="57"/>
      <c r="K134" s="59" t="str">
        <f t="shared" si="6"/>
        <v>0.00 (0.00 – 0.00)</v>
      </c>
      <c r="L134" s="16" t="str">
        <f t="shared" ref="L134:L197" si="7">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6"/>
        <v>0.00 (0.00 – 0.00)</v>
      </c>
      <c r="L135" s="16" t="str">
        <f t="shared" si="7"/>
        <v>0.00
(0.00 – 0.00)</v>
      </c>
      <c r="M135" s="57"/>
      <c r="N135" s="59"/>
      <c r="O135" s="16"/>
    </row>
    <row r="136" spans="3:15" ht="15" hidden="1" customHeight="1" x14ac:dyDescent="0.25">
      <c r="C136" s="56"/>
      <c r="D136" s="57"/>
      <c r="E136" s="57"/>
      <c r="F136" s="57"/>
      <c r="G136" s="57"/>
      <c r="H136" s="57"/>
      <c r="I136" s="57"/>
      <c r="J136" s="57"/>
      <c r="K136" s="59" t="str">
        <f t="shared" si="6"/>
        <v>0.00 (0.00 – 0.00)</v>
      </c>
      <c r="L136" s="16" t="str">
        <f t="shared" si="7"/>
        <v>0.00
(0.00 – 0.00)</v>
      </c>
      <c r="M136" s="57"/>
      <c r="N136" s="59"/>
      <c r="O136" s="16"/>
    </row>
    <row r="137" spans="3:15" ht="15" hidden="1" customHeight="1" x14ac:dyDescent="0.25">
      <c r="C137" s="56"/>
      <c r="D137" s="57"/>
      <c r="E137" s="57"/>
      <c r="F137" s="57"/>
      <c r="G137" s="57"/>
      <c r="H137" s="57"/>
      <c r="I137" s="57"/>
      <c r="J137" s="57"/>
      <c r="K137" s="59" t="str">
        <f t="shared" si="6"/>
        <v>0.00 (0.00 – 0.00)</v>
      </c>
      <c r="L137" s="16" t="str">
        <f t="shared" si="7"/>
        <v>0.00
(0.00 – 0.00)</v>
      </c>
      <c r="M137" s="57"/>
      <c r="N137" s="59"/>
      <c r="O137" s="16"/>
    </row>
    <row r="138" spans="3:15" ht="15" hidden="1" customHeight="1" x14ac:dyDescent="0.25">
      <c r="C138" s="56"/>
      <c r="D138" s="57"/>
      <c r="E138" s="57"/>
      <c r="F138" s="57"/>
      <c r="G138" s="57"/>
      <c r="H138" s="57"/>
      <c r="I138" s="57"/>
      <c r="J138" s="57"/>
      <c r="K138" s="59" t="str">
        <f t="shared" si="6"/>
        <v>0.00 (0.00 – 0.00)</v>
      </c>
      <c r="L138" s="16" t="str">
        <f t="shared" si="7"/>
        <v>0.00
(0.00 – 0.00)</v>
      </c>
      <c r="M138" s="57"/>
      <c r="N138" s="59"/>
      <c r="O138" s="16"/>
    </row>
    <row r="139" spans="3:15" ht="15" hidden="1" customHeight="1" x14ac:dyDescent="0.25">
      <c r="C139" s="56"/>
      <c r="D139" s="57"/>
      <c r="E139" s="57"/>
      <c r="F139" s="57"/>
      <c r="G139" s="57"/>
      <c r="H139" s="57"/>
      <c r="I139" s="57"/>
      <c r="J139" s="57"/>
      <c r="K139" s="59" t="str">
        <f t="shared" si="6"/>
        <v>0.00 (0.00 – 0.00)</v>
      </c>
      <c r="L139" s="16" t="str">
        <f t="shared" si="7"/>
        <v>0.00
(0.00 – 0.00)</v>
      </c>
      <c r="M139" s="57"/>
      <c r="N139" s="59"/>
      <c r="O139" s="16"/>
    </row>
    <row r="140" spans="3:15" ht="15" hidden="1" customHeight="1" x14ac:dyDescent="0.25">
      <c r="C140" s="56"/>
      <c r="D140" s="57"/>
      <c r="E140" s="57"/>
      <c r="F140" s="57"/>
      <c r="G140" s="57"/>
      <c r="H140" s="57"/>
      <c r="I140" s="57"/>
      <c r="J140" s="57"/>
      <c r="K140" s="59" t="str">
        <f t="shared" si="6"/>
        <v>0.00 (0.00 – 0.00)</v>
      </c>
      <c r="L140" s="16" t="str">
        <f t="shared" si="7"/>
        <v>0.00
(0.00 – 0.00)</v>
      </c>
      <c r="M140" s="57"/>
      <c r="N140" s="59"/>
      <c r="O140" s="16"/>
    </row>
    <row r="141" spans="3:15" ht="15" hidden="1" customHeight="1" x14ac:dyDescent="0.25">
      <c r="C141" s="56"/>
      <c r="D141" s="57"/>
      <c r="E141" s="57"/>
      <c r="F141" s="57"/>
      <c r="G141" s="57"/>
      <c r="H141" s="57"/>
      <c r="I141" s="57"/>
      <c r="J141" s="57"/>
      <c r="K141" s="59" t="str">
        <f t="shared" si="6"/>
        <v>0.00 (0.00 – 0.00)</v>
      </c>
      <c r="L141" s="16" t="str">
        <f t="shared" si="7"/>
        <v>0.00
(0.00 – 0.00)</v>
      </c>
      <c r="M141" s="57"/>
      <c r="N141" s="59"/>
      <c r="O141" s="16"/>
    </row>
    <row r="142" spans="3:15" ht="15" hidden="1" customHeight="1" x14ac:dyDescent="0.25">
      <c r="C142" s="56"/>
      <c r="D142" s="57"/>
      <c r="E142" s="57"/>
      <c r="F142" s="57"/>
      <c r="G142" s="57"/>
      <c r="H142" s="57"/>
      <c r="I142" s="57"/>
      <c r="J142" s="57"/>
      <c r="K142" s="59" t="str">
        <f t="shared" si="6"/>
        <v>0.00 (0.00 – 0.00)</v>
      </c>
      <c r="L142" s="16" t="str">
        <f t="shared" si="7"/>
        <v>0.00
(0.00 – 0.00)</v>
      </c>
      <c r="M142" s="57"/>
      <c r="N142" s="59"/>
      <c r="O142" s="16"/>
    </row>
    <row r="143" spans="3:15" ht="15" hidden="1" customHeight="1" x14ac:dyDescent="0.25">
      <c r="C143" s="56"/>
      <c r="D143" s="57"/>
      <c r="E143" s="57"/>
      <c r="F143" s="57"/>
      <c r="G143" s="57"/>
      <c r="H143" s="57"/>
      <c r="I143" s="57"/>
      <c r="J143" s="57"/>
      <c r="K143" s="59" t="str">
        <f t="shared" si="6"/>
        <v>0.00 (0.00 – 0.00)</v>
      </c>
      <c r="L143" s="16" t="str">
        <f t="shared" si="7"/>
        <v>0.00
(0.00 – 0.00)</v>
      </c>
      <c r="M143" s="57"/>
      <c r="N143" s="59"/>
      <c r="O143" s="16"/>
    </row>
    <row r="144" spans="3:15" ht="15" hidden="1" customHeight="1" x14ac:dyDescent="0.25">
      <c r="C144" s="56"/>
      <c r="D144" s="57"/>
      <c r="E144" s="57"/>
      <c r="F144" s="57"/>
      <c r="G144" s="57"/>
      <c r="H144" s="57"/>
      <c r="I144" s="57"/>
      <c r="J144" s="57"/>
      <c r="K144" s="59" t="str">
        <f t="shared" si="6"/>
        <v>0.00 (0.00 – 0.00)</v>
      </c>
      <c r="L144" s="16" t="str">
        <f t="shared" si="7"/>
        <v>0.00
(0.00 – 0.00)</v>
      </c>
      <c r="M144" s="57"/>
      <c r="N144" s="59"/>
      <c r="O144" s="16"/>
    </row>
    <row r="145" spans="3:15" ht="15" hidden="1" customHeight="1" x14ac:dyDescent="0.25">
      <c r="C145" s="56"/>
      <c r="D145" s="57"/>
      <c r="E145" s="57"/>
      <c r="F145" s="57"/>
      <c r="G145" s="57"/>
      <c r="H145" s="57"/>
      <c r="I145" s="57"/>
      <c r="J145" s="57"/>
      <c r="K145" s="59" t="str">
        <f t="shared" si="6"/>
        <v>0.00 (0.00 – 0.00)</v>
      </c>
      <c r="L145" s="16" t="str">
        <f t="shared" si="7"/>
        <v>0.00
(0.00 – 0.00)</v>
      </c>
      <c r="M145" s="57"/>
      <c r="N145" s="59"/>
      <c r="O145" s="16"/>
    </row>
    <row r="146" spans="3:15" ht="15" hidden="1" customHeight="1" x14ac:dyDescent="0.25">
      <c r="C146" s="56"/>
      <c r="D146" s="57"/>
      <c r="E146" s="57"/>
      <c r="F146" s="57"/>
      <c r="G146" s="57"/>
      <c r="H146" s="57"/>
      <c r="I146" s="57"/>
      <c r="J146" s="57"/>
      <c r="K146" s="59" t="str">
        <f t="shared" si="6"/>
        <v>0.00 (0.00 – 0.00)</v>
      </c>
      <c r="L146" s="16" t="str">
        <f t="shared" si="7"/>
        <v>0.00
(0.00 – 0.00)</v>
      </c>
      <c r="M146" s="57"/>
      <c r="N146" s="59"/>
      <c r="O146" s="16"/>
    </row>
    <row r="147" spans="3:15" ht="15" hidden="1" customHeight="1" x14ac:dyDescent="0.25">
      <c r="C147" s="56"/>
      <c r="D147" s="57"/>
      <c r="E147" s="57"/>
      <c r="F147" s="57"/>
      <c r="G147" s="57"/>
      <c r="H147" s="57"/>
      <c r="I147" s="57"/>
      <c r="J147" s="57"/>
      <c r="K147" s="59" t="str">
        <f t="shared" si="6"/>
        <v>0.00 (0.00 – 0.00)</v>
      </c>
      <c r="L147" s="16" t="str">
        <f t="shared" si="7"/>
        <v>0.00
(0.00 – 0.00)</v>
      </c>
      <c r="M147" s="57"/>
      <c r="N147" s="59"/>
      <c r="O147" s="16"/>
    </row>
    <row r="148" spans="3:15" ht="15" hidden="1" customHeight="1" x14ac:dyDescent="0.25">
      <c r="C148" s="56"/>
      <c r="D148" s="57"/>
      <c r="E148" s="57"/>
      <c r="F148" s="57"/>
      <c r="G148" s="57"/>
      <c r="H148" s="57"/>
      <c r="I148" s="57"/>
      <c r="J148" s="57"/>
      <c r="K148" s="59" t="str">
        <f t="shared" si="6"/>
        <v>0.00 (0.00 – 0.00)</v>
      </c>
      <c r="L148" s="16" t="str">
        <f t="shared" si="7"/>
        <v>0.00
(0.00 – 0.00)</v>
      </c>
      <c r="M148" s="57"/>
      <c r="N148" s="59"/>
      <c r="O148" s="16"/>
    </row>
    <row r="149" spans="3:15" ht="15" hidden="1" customHeight="1" x14ac:dyDescent="0.25">
      <c r="C149" s="56"/>
      <c r="D149" s="57"/>
      <c r="E149" s="57"/>
      <c r="F149" s="57"/>
      <c r="G149" s="57"/>
      <c r="H149" s="57"/>
      <c r="I149" s="57"/>
      <c r="J149" s="57"/>
      <c r="K149" s="59" t="str">
        <f t="shared" si="6"/>
        <v>0.00 (0.00 – 0.00)</v>
      </c>
      <c r="L149" s="16" t="str">
        <f t="shared" si="7"/>
        <v>0.00
(0.00 – 0.00)</v>
      </c>
      <c r="M149" s="57"/>
      <c r="N149" s="59"/>
      <c r="O149" s="16"/>
    </row>
    <row r="150" spans="3:15" ht="15" hidden="1" customHeight="1" x14ac:dyDescent="0.25">
      <c r="C150" s="56"/>
      <c r="D150" s="57"/>
      <c r="E150" s="57"/>
      <c r="F150" s="57"/>
      <c r="G150" s="57"/>
      <c r="H150" s="57"/>
      <c r="I150" s="57"/>
      <c r="J150" s="57"/>
      <c r="K150" s="59" t="str">
        <f t="shared" si="6"/>
        <v>0.00 (0.00 – 0.00)</v>
      </c>
      <c r="L150" s="16" t="str">
        <f t="shared" si="7"/>
        <v>0.00
(0.00 – 0.00)</v>
      </c>
      <c r="M150" s="57"/>
      <c r="N150" s="59"/>
      <c r="O150" s="16"/>
    </row>
    <row r="151" spans="3:15" ht="15" hidden="1" customHeight="1" x14ac:dyDescent="0.25">
      <c r="C151" s="56"/>
      <c r="D151" s="57"/>
      <c r="E151" s="57"/>
      <c r="F151" s="57"/>
      <c r="G151" s="57"/>
      <c r="H151" s="57"/>
      <c r="I151" s="57"/>
      <c r="J151" s="57"/>
      <c r="K151" s="59" t="str">
        <f t="shared" si="6"/>
        <v>0.00 (0.00 – 0.00)</v>
      </c>
      <c r="L151" s="16" t="str">
        <f t="shared" si="7"/>
        <v>0.00
(0.00 – 0.00)</v>
      </c>
      <c r="M151" s="57"/>
      <c r="N151" s="59"/>
      <c r="O151" s="16"/>
    </row>
    <row r="152" spans="3:15" ht="15" hidden="1" customHeight="1" x14ac:dyDescent="0.25">
      <c r="C152" s="56"/>
      <c r="D152" s="57"/>
      <c r="E152" s="57"/>
      <c r="F152" s="57"/>
      <c r="G152" s="57"/>
      <c r="H152" s="57"/>
      <c r="I152" s="57"/>
      <c r="J152" s="57"/>
      <c r="K152" s="59" t="str">
        <f t="shared" si="6"/>
        <v>0.00 (0.00 – 0.00)</v>
      </c>
      <c r="L152" s="16" t="str">
        <f t="shared" si="7"/>
        <v>0.00
(0.00 – 0.00)</v>
      </c>
      <c r="M152" s="57"/>
      <c r="N152" s="59"/>
      <c r="O152" s="16"/>
    </row>
    <row r="153" spans="3:15" ht="15" hidden="1" customHeight="1" x14ac:dyDescent="0.25">
      <c r="C153" s="56"/>
      <c r="D153" s="57"/>
      <c r="E153" s="57"/>
      <c r="F153" s="57"/>
      <c r="G153" s="57"/>
      <c r="H153" s="57"/>
      <c r="I153" s="57"/>
      <c r="J153" s="57"/>
      <c r="K153" s="59" t="str">
        <f t="shared" si="6"/>
        <v>0.00 (0.00 – 0.00)</v>
      </c>
      <c r="L153" s="16" t="str">
        <f t="shared" si="7"/>
        <v>0.00
(0.00 – 0.00)</v>
      </c>
      <c r="M153" s="57"/>
      <c r="N153" s="59"/>
      <c r="O153" s="16"/>
    </row>
    <row r="154" spans="3:15" ht="15" hidden="1" customHeight="1" x14ac:dyDescent="0.25">
      <c r="C154" s="56"/>
      <c r="D154" s="57"/>
      <c r="E154" s="57"/>
      <c r="F154" s="57"/>
      <c r="G154" s="57"/>
      <c r="H154" s="57"/>
      <c r="I154" s="57"/>
      <c r="J154" s="57"/>
      <c r="K154" s="59" t="str">
        <f t="shared" si="6"/>
        <v>0.00 (0.00 – 0.00)</v>
      </c>
      <c r="L154" s="16" t="str">
        <f t="shared" si="7"/>
        <v>0.00
(0.00 – 0.00)</v>
      </c>
      <c r="M154" s="57"/>
      <c r="N154" s="59"/>
      <c r="O154" s="16"/>
    </row>
    <row r="155" spans="3:15" ht="15" hidden="1" customHeight="1" x14ac:dyDescent="0.25">
      <c r="C155" s="56"/>
      <c r="D155" s="57"/>
      <c r="E155" s="57"/>
      <c r="F155" s="57"/>
      <c r="G155" s="57"/>
      <c r="H155" s="57"/>
      <c r="I155" s="57"/>
      <c r="J155" s="57"/>
      <c r="K155" s="59" t="str">
        <f t="shared" si="6"/>
        <v>0.00 (0.00 – 0.00)</v>
      </c>
      <c r="L155" s="16" t="str">
        <f t="shared" si="7"/>
        <v>0.00
(0.00 – 0.00)</v>
      </c>
      <c r="M155" s="57"/>
      <c r="N155" s="59"/>
      <c r="O155" s="16"/>
    </row>
    <row r="156" spans="3:15" ht="15" hidden="1" customHeight="1" x14ac:dyDescent="0.25">
      <c r="C156" s="56"/>
      <c r="D156" s="57"/>
      <c r="E156" s="57"/>
      <c r="F156" s="57"/>
      <c r="G156" s="57"/>
      <c r="H156" s="57"/>
      <c r="I156" s="57"/>
      <c r="J156" s="57"/>
      <c r="K156" s="59" t="str">
        <f t="shared" si="6"/>
        <v>0.00 (0.00 – 0.00)</v>
      </c>
      <c r="L156" s="16" t="str">
        <f t="shared" si="7"/>
        <v>0.00
(0.00 – 0.00)</v>
      </c>
      <c r="M156" s="57"/>
      <c r="N156" s="59"/>
      <c r="O156" s="16"/>
    </row>
    <row r="157" spans="3:15" ht="15" hidden="1" customHeight="1" x14ac:dyDescent="0.25">
      <c r="C157" s="56"/>
      <c r="D157" s="57"/>
      <c r="E157" s="57"/>
      <c r="F157" s="57"/>
      <c r="G157" s="57"/>
      <c r="H157" s="57"/>
      <c r="I157" s="57"/>
      <c r="J157" s="57"/>
      <c r="K157" s="59" t="str">
        <f t="shared" si="6"/>
        <v>0.00 (0.00 – 0.00)</v>
      </c>
      <c r="L157" s="16" t="str">
        <f t="shared" si="7"/>
        <v>0.00
(0.00 – 0.00)</v>
      </c>
      <c r="M157" s="57"/>
      <c r="N157" s="59"/>
      <c r="O157" s="16"/>
    </row>
    <row r="158" spans="3:15" ht="15" hidden="1" customHeight="1" x14ac:dyDescent="0.25">
      <c r="C158" s="56"/>
      <c r="D158" s="57"/>
      <c r="E158" s="57"/>
      <c r="F158" s="57"/>
      <c r="G158" s="57"/>
      <c r="H158" s="57"/>
      <c r="I158" s="57"/>
      <c r="J158" s="57"/>
      <c r="K158" s="59" t="str">
        <f t="shared" si="6"/>
        <v>0.00 (0.00 – 0.00)</v>
      </c>
      <c r="L158" s="16" t="str">
        <f t="shared" si="7"/>
        <v>0.00
(0.00 – 0.00)</v>
      </c>
      <c r="M158" s="57"/>
      <c r="N158" s="59"/>
      <c r="O158" s="16"/>
    </row>
    <row r="159" spans="3:15" ht="15" hidden="1" customHeight="1" x14ac:dyDescent="0.25">
      <c r="C159" s="56"/>
      <c r="D159" s="57"/>
      <c r="E159" s="57"/>
      <c r="F159" s="57"/>
      <c r="G159" s="57"/>
      <c r="H159" s="57"/>
      <c r="I159" s="57"/>
      <c r="J159" s="57"/>
      <c r="K159" s="59" t="str">
        <f t="shared" si="6"/>
        <v>0.00 (0.00 – 0.00)</v>
      </c>
      <c r="L159" s="16" t="str">
        <f t="shared" si="7"/>
        <v>0.00
(0.00 – 0.00)</v>
      </c>
      <c r="M159" s="57"/>
      <c r="N159" s="59"/>
      <c r="O159" s="16"/>
    </row>
    <row r="160" spans="3:15" ht="15" hidden="1" customHeight="1" x14ac:dyDescent="0.25">
      <c r="C160" s="56"/>
      <c r="D160" s="57"/>
      <c r="E160" s="57"/>
      <c r="F160" s="57"/>
      <c r="G160" s="57"/>
      <c r="H160" s="57"/>
      <c r="I160" s="57"/>
      <c r="J160" s="57"/>
      <c r="K160" s="59" t="str">
        <f t="shared" si="6"/>
        <v>0.00 (0.00 – 0.00)</v>
      </c>
      <c r="L160" s="16" t="str">
        <f t="shared" si="7"/>
        <v>0.00
(0.00 – 0.00)</v>
      </c>
      <c r="M160" s="57"/>
      <c r="N160" s="59"/>
      <c r="O160" s="16"/>
    </row>
    <row r="161" spans="3:15" ht="15" hidden="1" customHeight="1" x14ac:dyDescent="0.25">
      <c r="C161" s="56"/>
      <c r="D161" s="57"/>
      <c r="E161" s="57"/>
      <c r="F161" s="57"/>
      <c r="G161" s="57"/>
      <c r="H161" s="57"/>
      <c r="I161" s="57"/>
      <c r="J161" s="57"/>
      <c r="K161" s="59" t="str">
        <f t="shared" si="6"/>
        <v>0.00 (0.00 – 0.00)</v>
      </c>
      <c r="L161" s="16" t="str">
        <f t="shared" si="7"/>
        <v>0.00
(0.00 – 0.00)</v>
      </c>
      <c r="M161" s="57"/>
      <c r="N161" s="59"/>
      <c r="O161" s="16"/>
    </row>
    <row r="162" spans="3:15" ht="15" hidden="1" customHeight="1" x14ac:dyDescent="0.25">
      <c r="C162" s="56"/>
      <c r="D162" s="57"/>
      <c r="E162" s="57"/>
      <c r="F162" s="57"/>
      <c r="G162" s="57"/>
      <c r="H162" s="57"/>
      <c r="I162" s="57"/>
      <c r="J162" s="57"/>
      <c r="K162" s="59" t="str">
        <f t="shared" si="6"/>
        <v>0.00 (0.00 – 0.00)</v>
      </c>
      <c r="L162" s="16" t="str">
        <f t="shared" si="7"/>
        <v>0.00
(0.00 – 0.00)</v>
      </c>
      <c r="M162" s="57"/>
      <c r="N162" s="59"/>
      <c r="O162" s="16"/>
    </row>
    <row r="163" spans="3:15" ht="15" hidden="1" customHeight="1" x14ac:dyDescent="0.25">
      <c r="C163" s="56"/>
      <c r="D163" s="57"/>
      <c r="E163" s="57"/>
      <c r="F163" s="57"/>
      <c r="G163" s="57"/>
      <c r="H163" s="57"/>
      <c r="I163" s="57"/>
      <c r="J163" s="57"/>
      <c r="K163" s="59" t="str">
        <f t="shared" si="6"/>
        <v>0.00 (0.00 – 0.00)</v>
      </c>
      <c r="L163" s="16" t="str">
        <f t="shared" si="7"/>
        <v>0.00
(0.00 – 0.00)</v>
      </c>
      <c r="M163" s="57"/>
      <c r="N163" s="59"/>
      <c r="O163" s="16"/>
    </row>
    <row r="164" spans="3:15" ht="15" hidden="1" customHeight="1" x14ac:dyDescent="0.25">
      <c r="C164" s="56"/>
      <c r="D164" s="57"/>
      <c r="E164" s="57"/>
      <c r="F164" s="57"/>
      <c r="G164" s="57"/>
      <c r="H164" s="57"/>
      <c r="I164" s="57"/>
      <c r="J164" s="57"/>
      <c r="K164" s="59" t="str">
        <f t="shared" si="6"/>
        <v>0.00 (0.00 – 0.00)</v>
      </c>
      <c r="L164" s="16" t="str">
        <f t="shared" si="7"/>
        <v>0.00
(0.00 – 0.00)</v>
      </c>
      <c r="M164" s="57"/>
      <c r="N164" s="59"/>
      <c r="O164" s="16"/>
    </row>
    <row r="165" spans="3:15" ht="15" hidden="1" customHeight="1" x14ac:dyDescent="0.25">
      <c r="C165" s="56"/>
      <c r="D165" s="57"/>
      <c r="E165" s="57"/>
      <c r="F165" s="57"/>
      <c r="G165" s="57"/>
      <c r="H165" s="57"/>
      <c r="I165" s="57"/>
      <c r="J165" s="57"/>
      <c r="K165" s="59" t="str">
        <f t="shared" si="6"/>
        <v>0.00 (0.00 – 0.00)</v>
      </c>
      <c r="L165" s="16" t="str">
        <f t="shared" si="7"/>
        <v>0.00
(0.00 – 0.00)</v>
      </c>
      <c r="M165" s="57"/>
      <c r="N165" s="59"/>
      <c r="O165" s="16"/>
    </row>
    <row r="166" spans="3:15" ht="15" hidden="1" customHeight="1" x14ac:dyDescent="0.25">
      <c r="C166" s="56"/>
      <c r="D166" s="57"/>
      <c r="E166" s="57"/>
      <c r="F166" s="57"/>
      <c r="G166" s="57"/>
      <c r="H166" s="57"/>
      <c r="I166" s="57"/>
      <c r="J166" s="57"/>
      <c r="K166" s="59" t="str">
        <f t="shared" si="6"/>
        <v>0.00 (0.00 – 0.00)</v>
      </c>
      <c r="L166" s="16" t="str">
        <f t="shared" si="7"/>
        <v>0.00
(0.00 – 0.00)</v>
      </c>
      <c r="M166" s="57"/>
      <c r="N166" s="59"/>
      <c r="O166" s="16"/>
    </row>
    <row r="167" spans="3:15" ht="15" hidden="1" customHeight="1" x14ac:dyDescent="0.25">
      <c r="C167" s="56"/>
      <c r="D167" s="57"/>
      <c r="E167" s="57"/>
      <c r="F167" s="57"/>
      <c r="G167" s="57"/>
      <c r="H167" s="57"/>
      <c r="I167" s="57"/>
      <c r="J167" s="57"/>
      <c r="K167" s="59" t="str">
        <f t="shared" si="6"/>
        <v>0.00 (0.00 – 0.00)</v>
      </c>
      <c r="L167" s="16" t="str">
        <f t="shared" si="7"/>
        <v>0.00
(0.00 – 0.00)</v>
      </c>
      <c r="M167" s="57"/>
      <c r="N167" s="59"/>
      <c r="O167" s="16"/>
    </row>
    <row r="168" spans="3:15" ht="15" hidden="1" customHeight="1" x14ac:dyDescent="0.25">
      <c r="C168" s="56"/>
      <c r="D168" s="57"/>
      <c r="E168" s="57"/>
      <c r="F168" s="57"/>
      <c r="G168" s="57"/>
      <c r="H168" s="57"/>
      <c r="I168" s="57"/>
      <c r="J168" s="57"/>
      <c r="K168" s="59" t="str">
        <f t="shared" si="6"/>
        <v>0.00 (0.00 – 0.00)</v>
      </c>
      <c r="L168" s="16" t="str">
        <f t="shared" si="7"/>
        <v>0.00
(0.00 – 0.00)</v>
      </c>
      <c r="M168" s="57"/>
      <c r="N168" s="59"/>
      <c r="O168" s="16"/>
    </row>
    <row r="169" spans="3:15" ht="15" hidden="1" customHeight="1" x14ac:dyDescent="0.25">
      <c r="C169" s="56"/>
      <c r="D169" s="57"/>
      <c r="E169" s="57"/>
      <c r="F169" s="57"/>
      <c r="G169" s="57"/>
      <c r="H169" s="57"/>
      <c r="I169" s="57"/>
      <c r="J169" s="57"/>
      <c r="K169" s="59" t="str">
        <f t="shared" si="6"/>
        <v>0.00 (0.00 – 0.00)</v>
      </c>
      <c r="L169" s="16" t="str">
        <f t="shared" si="7"/>
        <v>0.00
(0.00 – 0.00)</v>
      </c>
      <c r="M169" s="57"/>
      <c r="N169" s="59"/>
      <c r="O169" s="16"/>
    </row>
    <row r="170" spans="3:15" ht="15" hidden="1" customHeight="1" x14ac:dyDescent="0.25">
      <c r="C170" s="56"/>
      <c r="D170" s="57"/>
      <c r="E170" s="57"/>
      <c r="F170" s="57"/>
      <c r="G170" s="57"/>
      <c r="H170" s="57"/>
      <c r="I170" s="57"/>
      <c r="J170" s="57"/>
      <c r="K170" s="59" t="str">
        <f t="shared" si="6"/>
        <v>0.00 (0.00 – 0.00)</v>
      </c>
      <c r="L170" s="16" t="str">
        <f t="shared" si="7"/>
        <v>0.00
(0.00 – 0.00)</v>
      </c>
      <c r="M170" s="57"/>
      <c r="N170" s="59"/>
      <c r="O170" s="16"/>
    </row>
    <row r="171" spans="3:15" ht="15" hidden="1" customHeight="1" x14ac:dyDescent="0.25">
      <c r="C171" s="56"/>
      <c r="D171" s="57"/>
      <c r="E171" s="57"/>
      <c r="F171" s="57"/>
      <c r="G171" s="57"/>
      <c r="H171" s="57"/>
      <c r="I171" s="57"/>
      <c r="J171" s="57"/>
      <c r="K171" s="59" t="str">
        <f t="shared" si="6"/>
        <v>0.00 (0.00 – 0.00)</v>
      </c>
      <c r="L171" s="16" t="str">
        <f t="shared" si="7"/>
        <v>0.00
(0.00 – 0.00)</v>
      </c>
      <c r="M171" s="57"/>
      <c r="N171" s="59"/>
      <c r="O171" s="16"/>
    </row>
    <row r="172" spans="3:15" ht="15" hidden="1" customHeight="1" x14ac:dyDescent="0.25">
      <c r="C172" s="56"/>
      <c r="D172" s="57"/>
      <c r="E172" s="57"/>
      <c r="F172" s="57"/>
      <c r="G172" s="57"/>
      <c r="H172" s="57"/>
      <c r="I172" s="57"/>
      <c r="J172" s="57"/>
      <c r="K172" s="59" t="str">
        <f t="shared" si="6"/>
        <v>0.00 (0.00 – 0.00)</v>
      </c>
      <c r="L172" s="16" t="str">
        <f t="shared" si="7"/>
        <v>0.00
(0.00 – 0.00)</v>
      </c>
      <c r="M172" s="57"/>
      <c r="N172" s="59"/>
      <c r="O172" s="16"/>
    </row>
    <row r="173" spans="3:15" ht="15" hidden="1" customHeight="1" x14ac:dyDescent="0.25">
      <c r="C173" s="56"/>
      <c r="D173" s="57"/>
      <c r="E173" s="57"/>
      <c r="F173" s="57"/>
      <c r="G173" s="57"/>
      <c r="H173" s="57"/>
      <c r="I173" s="57"/>
      <c r="J173" s="57"/>
      <c r="K173" s="59" t="str">
        <f t="shared" si="6"/>
        <v>0.00 (0.00 – 0.00)</v>
      </c>
      <c r="L173" s="16" t="str">
        <f t="shared" si="7"/>
        <v>0.00
(0.00 – 0.00)</v>
      </c>
      <c r="M173" s="57"/>
      <c r="N173" s="59"/>
      <c r="O173" s="16"/>
    </row>
    <row r="174" spans="3:15" ht="15" hidden="1" customHeight="1" x14ac:dyDescent="0.25">
      <c r="C174" s="56"/>
      <c r="D174" s="57"/>
      <c r="E174" s="57"/>
      <c r="F174" s="57"/>
      <c r="G174" s="57"/>
      <c r="H174" s="57"/>
      <c r="I174" s="57"/>
      <c r="J174" s="57"/>
      <c r="K174" s="59" t="str">
        <f t="shared" si="6"/>
        <v>0.00 (0.00 – 0.00)</v>
      </c>
      <c r="L174" s="16" t="str">
        <f t="shared" si="7"/>
        <v>0.00
(0.00 – 0.00)</v>
      </c>
      <c r="M174" s="57"/>
      <c r="N174" s="59"/>
      <c r="O174" s="16"/>
    </row>
    <row r="175" spans="3:15" ht="15" hidden="1" customHeight="1" x14ac:dyDescent="0.25">
      <c r="C175" s="56"/>
      <c r="D175" s="57"/>
      <c r="E175" s="57"/>
      <c r="F175" s="57"/>
      <c r="G175" s="57"/>
      <c r="H175" s="57"/>
      <c r="I175" s="57"/>
      <c r="J175" s="57"/>
      <c r="K175" s="59" t="str">
        <f t="shared" si="6"/>
        <v>0.00 (0.00 – 0.00)</v>
      </c>
      <c r="L175" s="16" t="str">
        <f t="shared" si="7"/>
        <v>0.00
(0.00 – 0.00)</v>
      </c>
      <c r="M175" s="57"/>
      <c r="N175" s="59"/>
      <c r="O175" s="16"/>
    </row>
    <row r="176" spans="3:15" ht="15" hidden="1" customHeight="1" x14ac:dyDescent="0.25">
      <c r="C176" s="56"/>
      <c r="D176" s="57"/>
      <c r="E176" s="57"/>
      <c r="F176" s="57"/>
      <c r="G176" s="57"/>
      <c r="H176" s="57"/>
      <c r="I176" s="57"/>
      <c r="J176" s="57"/>
      <c r="K176" s="59" t="str">
        <f t="shared" si="6"/>
        <v>0.00 (0.00 – 0.00)</v>
      </c>
      <c r="L176" s="16" t="str">
        <f t="shared" si="7"/>
        <v>0.00
(0.00 – 0.00)</v>
      </c>
      <c r="M176" s="57"/>
      <c r="N176" s="59"/>
      <c r="O176" s="16"/>
    </row>
    <row r="177" spans="3:15" ht="15" hidden="1" customHeight="1" x14ac:dyDescent="0.25">
      <c r="C177" s="56"/>
      <c r="D177" s="57"/>
      <c r="E177" s="57"/>
      <c r="F177" s="57"/>
      <c r="G177" s="57"/>
      <c r="H177" s="57"/>
      <c r="I177" s="57"/>
      <c r="J177" s="57"/>
      <c r="K177" s="59" t="str">
        <f t="shared" si="6"/>
        <v>0.00 (0.00 – 0.00)</v>
      </c>
      <c r="L177" s="16" t="str">
        <f t="shared" si="7"/>
        <v>0.00
(0.00 – 0.00)</v>
      </c>
      <c r="M177" s="57"/>
      <c r="N177" s="59"/>
      <c r="O177" s="16"/>
    </row>
    <row r="178" spans="3:15" ht="15" hidden="1" customHeight="1" x14ac:dyDescent="0.25">
      <c r="C178" s="56"/>
      <c r="D178" s="57"/>
      <c r="E178" s="57"/>
      <c r="F178" s="57"/>
      <c r="G178" s="57"/>
      <c r="H178" s="57"/>
      <c r="I178" s="57"/>
      <c r="J178" s="57"/>
      <c r="K178" s="59" t="str">
        <f t="shared" si="6"/>
        <v>0.00 (0.00 – 0.00)</v>
      </c>
      <c r="L178" s="16" t="str">
        <f t="shared" si="7"/>
        <v>0.00
(0.00 – 0.00)</v>
      </c>
      <c r="M178" s="57"/>
      <c r="N178" s="59"/>
      <c r="O178" s="16"/>
    </row>
    <row r="179" spans="3:15" ht="15" hidden="1" customHeight="1" x14ac:dyDescent="0.25">
      <c r="C179" s="56"/>
      <c r="D179" s="57"/>
      <c r="E179" s="57"/>
      <c r="F179" s="57"/>
      <c r="G179" s="57"/>
      <c r="H179" s="57"/>
      <c r="I179" s="57"/>
      <c r="J179" s="57"/>
      <c r="K179" s="59" t="str">
        <f t="shared" si="6"/>
        <v>0.00 (0.00 – 0.00)</v>
      </c>
      <c r="L179" s="16" t="str">
        <f t="shared" si="7"/>
        <v>0.00
(0.00 – 0.00)</v>
      </c>
      <c r="M179" s="57"/>
      <c r="N179" s="59"/>
      <c r="O179" s="16"/>
    </row>
    <row r="180" spans="3:15" ht="15" hidden="1" customHeight="1" x14ac:dyDescent="0.25">
      <c r="C180" s="56"/>
      <c r="D180" s="57"/>
      <c r="E180" s="57"/>
      <c r="F180" s="57"/>
      <c r="G180" s="57"/>
      <c r="H180" s="57"/>
      <c r="I180" s="57"/>
      <c r="J180" s="57"/>
      <c r="K180" s="59" t="str">
        <f t="shared" si="6"/>
        <v>0.00 (0.00 – 0.00)</v>
      </c>
      <c r="L180" s="16" t="str">
        <f t="shared" si="7"/>
        <v>0.00
(0.00 – 0.00)</v>
      </c>
      <c r="M180" s="57"/>
      <c r="N180" s="59"/>
      <c r="O180" s="16"/>
    </row>
    <row r="181" spans="3:15" ht="15" hidden="1" customHeight="1" x14ac:dyDescent="0.25">
      <c r="C181" s="56"/>
      <c r="D181" s="57"/>
      <c r="E181" s="57"/>
      <c r="F181" s="57"/>
      <c r="G181" s="57"/>
      <c r="H181" s="57"/>
      <c r="I181" s="57"/>
      <c r="J181" s="57"/>
      <c r="K181" s="59" t="str">
        <f t="shared" si="6"/>
        <v>0.00 (0.00 – 0.00)</v>
      </c>
      <c r="L181" s="16" t="str">
        <f t="shared" si="7"/>
        <v>0.00
(0.00 – 0.00)</v>
      </c>
      <c r="M181" s="57"/>
      <c r="N181" s="59"/>
      <c r="O181" s="16"/>
    </row>
    <row r="182" spans="3:15" ht="15" hidden="1" customHeight="1" x14ac:dyDescent="0.25">
      <c r="C182" s="56"/>
      <c r="D182" s="57"/>
      <c r="E182" s="57"/>
      <c r="F182" s="57"/>
      <c r="G182" s="57"/>
      <c r="H182" s="57"/>
      <c r="I182" s="57"/>
      <c r="J182" s="57"/>
      <c r="K182" s="59" t="str">
        <f t="shared" si="6"/>
        <v>0.00 (0.00 – 0.00)</v>
      </c>
      <c r="L182" s="16" t="str">
        <f t="shared" si="7"/>
        <v>0.00
(0.00 – 0.00)</v>
      </c>
      <c r="M182" s="57"/>
      <c r="N182" s="59"/>
      <c r="O182" s="16"/>
    </row>
    <row r="183" spans="3:15" ht="15" hidden="1" customHeight="1" x14ac:dyDescent="0.25">
      <c r="C183" s="56"/>
      <c r="D183" s="57"/>
      <c r="E183" s="57"/>
      <c r="F183" s="57"/>
      <c r="G183" s="57"/>
      <c r="H183" s="57"/>
      <c r="I183" s="57"/>
      <c r="J183" s="57"/>
      <c r="K183" s="59" t="str">
        <f t="shared" si="6"/>
        <v>0.00 (0.00 – 0.00)</v>
      </c>
      <c r="L183" s="16" t="str">
        <f t="shared" si="7"/>
        <v>0.00
(0.00 – 0.00)</v>
      </c>
      <c r="M183" s="57"/>
      <c r="N183" s="59"/>
      <c r="O183" s="16"/>
    </row>
    <row r="184" spans="3:15" ht="15" hidden="1" customHeight="1" x14ac:dyDescent="0.25">
      <c r="C184" s="56"/>
      <c r="D184" s="57"/>
      <c r="E184" s="57"/>
      <c r="F184" s="57"/>
      <c r="G184" s="57"/>
      <c r="H184" s="57"/>
      <c r="I184" s="57"/>
      <c r="J184" s="57"/>
      <c r="K184" s="59" t="str">
        <f t="shared" si="6"/>
        <v>0.00 (0.00 – 0.00)</v>
      </c>
      <c r="L184" s="16" t="str">
        <f t="shared" si="7"/>
        <v>0.00
(0.00 – 0.00)</v>
      </c>
      <c r="M184" s="57"/>
      <c r="N184" s="59"/>
      <c r="O184" s="16"/>
    </row>
    <row r="185" spans="3:15" ht="15" hidden="1" customHeight="1" x14ac:dyDescent="0.25">
      <c r="C185" s="56"/>
      <c r="D185" s="57"/>
      <c r="E185" s="57"/>
      <c r="F185" s="57"/>
      <c r="G185" s="57"/>
      <c r="H185" s="57"/>
      <c r="I185" s="57"/>
      <c r="J185" s="57"/>
      <c r="K185" s="59" t="str">
        <f t="shared" si="6"/>
        <v>0.00 (0.00 – 0.00)</v>
      </c>
      <c r="L185" s="16" t="str">
        <f t="shared" si="7"/>
        <v>0.00
(0.00 – 0.00)</v>
      </c>
      <c r="M185" s="57"/>
      <c r="N185" s="59"/>
      <c r="O185" s="16"/>
    </row>
    <row r="186" spans="3:15" ht="15" hidden="1" customHeight="1" x14ac:dyDescent="0.25">
      <c r="C186" s="56"/>
      <c r="D186" s="57"/>
      <c r="E186" s="57"/>
      <c r="F186" s="57"/>
      <c r="G186" s="57"/>
      <c r="H186" s="57"/>
      <c r="I186" s="57"/>
      <c r="J186" s="57"/>
      <c r="K186" s="59" t="str">
        <f t="shared" si="6"/>
        <v>0.00 (0.00 – 0.00)</v>
      </c>
      <c r="L186" s="16" t="str">
        <f t="shared" si="7"/>
        <v>0.00
(0.00 – 0.00)</v>
      </c>
      <c r="M186" s="57"/>
      <c r="N186" s="59"/>
      <c r="O186" s="16"/>
    </row>
    <row r="187" spans="3:15" ht="15" hidden="1" customHeight="1" x14ac:dyDescent="0.25">
      <c r="C187" s="56"/>
      <c r="D187" s="57"/>
      <c r="E187" s="57"/>
      <c r="F187" s="57"/>
      <c r="G187" s="57"/>
      <c r="H187" s="57"/>
      <c r="I187" s="57"/>
      <c r="J187" s="57"/>
      <c r="K187" s="59" t="str">
        <f t="shared" si="6"/>
        <v>0.00 (0.00 – 0.00)</v>
      </c>
      <c r="L187" s="16" t="str">
        <f t="shared" si="7"/>
        <v>0.00
(0.00 – 0.00)</v>
      </c>
      <c r="M187" s="57"/>
      <c r="N187" s="59"/>
      <c r="O187" s="16"/>
    </row>
    <row r="188" spans="3:15" ht="15" hidden="1" customHeight="1" x14ac:dyDescent="0.25">
      <c r="C188" s="56"/>
      <c r="D188" s="57"/>
      <c r="E188" s="57"/>
      <c r="F188" s="57"/>
      <c r="G188" s="57"/>
      <c r="H188" s="57"/>
      <c r="I188" s="57"/>
      <c r="J188" s="57"/>
      <c r="K188" s="59" t="str">
        <f t="shared" si="6"/>
        <v>0.00 (0.00 – 0.00)</v>
      </c>
      <c r="L188" s="16" t="str">
        <f t="shared" si="7"/>
        <v>0.00
(0.00 – 0.00)</v>
      </c>
      <c r="M188" s="57"/>
      <c r="N188" s="59"/>
      <c r="O188" s="16"/>
    </row>
    <row r="189" spans="3:15" ht="15" hidden="1" customHeight="1" x14ac:dyDescent="0.25">
      <c r="C189" s="56"/>
      <c r="D189" s="57"/>
      <c r="E189" s="57"/>
      <c r="F189" s="57"/>
      <c r="G189" s="57"/>
      <c r="H189" s="57"/>
      <c r="I189" s="57"/>
      <c r="J189" s="57"/>
      <c r="K189" s="59" t="str">
        <f t="shared" si="6"/>
        <v>0.00 (0.00 – 0.00)</v>
      </c>
      <c r="L189" s="16" t="str">
        <f t="shared" si="7"/>
        <v>0.00
(0.00 – 0.00)</v>
      </c>
      <c r="M189" s="57"/>
      <c r="N189" s="59"/>
      <c r="O189" s="16"/>
    </row>
    <row r="190" spans="3:15" ht="15" hidden="1" customHeight="1" x14ac:dyDescent="0.25">
      <c r="C190" s="56"/>
      <c r="D190" s="57"/>
      <c r="E190" s="57"/>
      <c r="F190" s="57"/>
      <c r="G190" s="57"/>
      <c r="H190" s="57"/>
      <c r="I190" s="57"/>
      <c r="J190" s="57"/>
      <c r="K190" s="59" t="str">
        <f t="shared" si="6"/>
        <v>0.00 (0.00 – 0.00)</v>
      </c>
      <c r="L190" s="16" t="str">
        <f t="shared" si="7"/>
        <v>0.00
(0.00 – 0.00)</v>
      </c>
      <c r="M190" s="57"/>
      <c r="N190" s="59"/>
      <c r="O190" s="16"/>
    </row>
    <row r="191" spans="3:15" ht="15" hidden="1" customHeight="1" x14ac:dyDescent="0.25">
      <c r="C191" s="56"/>
      <c r="D191" s="57"/>
      <c r="E191" s="57"/>
      <c r="F191" s="57"/>
      <c r="G191" s="57"/>
      <c r="H191" s="57"/>
      <c r="I191" s="57"/>
      <c r="J191" s="57"/>
      <c r="K191" s="59" t="str">
        <f t="shared" si="6"/>
        <v>0.00 (0.00 – 0.00)</v>
      </c>
      <c r="L191" s="16" t="str">
        <f t="shared" si="7"/>
        <v>0.00
(0.00 – 0.00)</v>
      </c>
      <c r="M191" s="57"/>
      <c r="N191" s="59"/>
      <c r="O191" s="16"/>
    </row>
    <row r="192" spans="3:15" ht="15" hidden="1" customHeight="1" x14ac:dyDescent="0.25">
      <c r="C192" s="56"/>
      <c r="D192" s="57"/>
      <c r="E192" s="57"/>
      <c r="F192" s="57"/>
      <c r="G192" s="57"/>
      <c r="H192" s="57"/>
      <c r="I192" s="57"/>
      <c r="J192" s="57"/>
      <c r="K192" s="59" t="str">
        <f t="shared" si="6"/>
        <v>0.00 (0.00 – 0.00)</v>
      </c>
      <c r="L192" s="16" t="str">
        <f t="shared" si="7"/>
        <v>0.00
(0.00 – 0.00)</v>
      </c>
      <c r="M192" s="57"/>
      <c r="N192" s="59"/>
      <c r="O192" s="16"/>
    </row>
    <row r="193" spans="3:15" ht="15" hidden="1" customHeight="1" x14ac:dyDescent="0.25">
      <c r="C193" s="56"/>
      <c r="D193" s="57"/>
      <c r="E193" s="57"/>
      <c r="F193" s="57"/>
      <c r="G193" s="57"/>
      <c r="H193" s="57"/>
      <c r="I193" s="57"/>
      <c r="J193" s="57"/>
      <c r="K193" s="59" t="str">
        <f t="shared" si="6"/>
        <v>0.00 (0.00 – 0.00)</v>
      </c>
      <c r="L193" s="16" t="str">
        <f t="shared" si="7"/>
        <v>0.00
(0.00 – 0.00)</v>
      </c>
      <c r="M193" s="57"/>
      <c r="N193" s="59"/>
      <c r="O193" s="16"/>
    </row>
    <row r="194" spans="3:15" ht="15" hidden="1" customHeight="1" x14ac:dyDescent="0.25">
      <c r="C194" s="56"/>
      <c r="D194" s="57"/>
      <c r="E194" s="57"/>
      <c r="F194" s="57"/>
      <c r="G194" s="57"/>
      <c r="H194" s="57"/>
      <c r="I194" s="57"/>
      <c r="J194" s="57"/>
      <c r="K194" s="59" t="str">
        <f t="shared" si="6"/>
        <v>0.00 (0.00 – 0.00)</v>
      </c>
      <c r="L194" s="16" t="str">
        <f t="shared" si="7"/>
        <v>0.00
(0.00 – 0.00)</v>
      </c>
      <c r="M194" s="57"/>
      <c r="N194" s="59"/>
      <c r="O194" s="16"/>
    </row>
    <row r="195" spans="3:15" ht="15" hidden="1" customHeight="1" x14ac:dyDescent="0.25">
      <c r="C195" s="56"/>
      <c r="D195" s="57"/>
      <c r="E195" s="57"/>
      <c r="F195" s="57"/>
      <c r="G195" s="57"/>
      <c r="H195" s="57"/>
      <c r="I195" s="57"/>
      <c r="J195" s="57"/>
      <c r="K195" s="59" t="str">
        <f t="shared" si="6"/>
        <v>0.00 (0.00 – 0.00)</v>
      </c>
      <c r="L195" s="16" t="str">
        <f t="shared" si="7"/>
        <v>0.00
(0.00 – 0.00)</v>
      </c>
      <c r="M195" s="57"/>
      <c r="N195" s="59"/>
      <c r="O195" s="16"/>
    </row>
    <row r="196" spans="3:15" ht="15" hidden="1" customHeight="1" x14ac:dyDescent="0.25">
      <c r="C196" s="56"/>
      <c r="D196" s="57"/>
      <c r="E196" s="57"/>
      <c r="F196" s="57"/>
      <c r="G196" s="57"/>
      <c r="H196" s="57"/>
      <c r="I196" s="57"/>
      <c r="J196" s="57"/>
      <c r="K196" s="59" t="str">
        <f t="shared" si="6"/>
        <v>0.00 (0.00 – 0.00)</v>
      </c>
      <c r="L196" s="16" t="str">
        <f t="shared" si="7"/>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7"/>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row r="203" spans="3:15" x14ac:dyDescent="0.25">
      <c r="C203" s="56"/>
      <c r="D203" s="57"/>
      <c r="E203" s="57"/>
      <c r="F203" s="57"/>
      <c r="G203" s="57"/>
      <c r="H203" s="57"/>
      <c r="I203" s="57"/>
      <c r="J203" s="57"/>
      <c r="K203" s="57"/>
      <c r="L203" s="57"/>
      <c r="M203" s="57"/>
    </row>
    <row r="204" spans="3:15" x14ac:dyDescent="0.25">
      <c r="C204" s="56"/>
      <c r="D204" s="57"/>
      <c r="E204" s="57"/>
      <c r="F204" s="57"/>
      <c r="G204" s="57"/>
      <c r="H204" s="57"/>
      <c r="I204" s="57"/>
      <c r="J204" s="57"/>
      <c r="K204" s="57"/>
      <c r="L204" s="57"/>
      <c r="M204" s="57"/>
    </row>
  </sheetData>
  <sortState ref="E5:L49">
    <sortCondition descending="1" ref="I4"/>
  </sortState>
  <dataConsolidate/>
  <mergeCells count="2">
    <mergeCell ref="F3:L3"/>
    <mergeCell ref="N3:T3"/>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3"/>
  </sheetPr>
  <dimension ref="A2:D30"/>
  <sheetViews>
    <sheetView showGridLines="0" zoomScale="90" zoomScaleNormal="90" workbookViewId="0">
      <selection activeCell="M42" sqref="M42"/>
    </sheetView>
  </sheetViews>
  <sheetFormatPr defaultRowHeight="15" x14ac:dyDescent="0.25"/>
  <sheetData>
    <row r="2" spans="1:4" x14ac:dyDescent="0.25">
      <c r="A2" t="s">
        <v>166</v>
      </c>
    </row>
    <row r="3" spans="1:4" x14ac:dyDescent="0.25">
      <c r="A3" t="s">
        <v>167</v>
      </c>
    </row>
    <row r="4" spans="1:4" x14ac:dyDescent="0.25">
      <c r="A4" t="s">
        <v>87</v>
      </c>
    </row>
    <row r="5" spans="1:4" x14ac:dyDescent="0.25">
      <c r="B5" t="s">
        <v>202</v>
      </c>
    </row>
    <row r="6" spans="1:4" x14ac:dyDescent="0.25">
      <c r="B6" t="s">
        <v>92</v>
      </c>
    </row>
    <row r="7" spans="1:4" x14ac:dyDescent="0.25">
      <c r="C7" t="s">
        <v>174</v>
      </c>
    </row>
    <row r="8" spans="1:4" x14ac:dyDescent="0.25">
      <c r="C8" t="s">
        <v>168</v>
      </c>
    </row>
    <row r="9" spans="1:4" x14ac:dyDescent="0.25">
      <c r="C9" t="s">
        <v>87</v>
      </c>
    </row>
    <row r="10" spans="1:4" x14ac:dyDescent="0.25">
      <c r="D10" t="s">
        <v>163</v>
      </c>
    </row>
    <row r="11" spans="1:4" x14ac:dyDescent="0.25">
      <c r="D11" t="s">
        <v>175</v>
      </c>
    </row>
    <row r="12" spans="1:4" x14ac:dyDescent="0.25">
      <c r="D12" t="s">
        <v>173</v>
      </c>
    </row>
    <row r="13" spans="1:4" x14ac:dyDescent="0.25">
      <c r="D13" t="s">
        <v>169</v>
      </c>
    </row>
    <row r="15" spans="1:4" x14ac:dyDescent="0.25">
      <c r="C15" t="s">
        <v>164</v>
      </c>
    </row>
    <row r="16" spans="1:4" x14ac:dyDescent="0.25">
      <c r="C16" t="s">
        <v>176</v>
      </c>
    </row>
    <row r="17" spans="1:4" x14ac:dyDescent="0.25">
      <c r="B17" t="s">
        <v>164</v>
      </c>
    </row>
    <row r="18" spans="1:4" x14ac:dyDescent="0.25">
      <c r="B18" t="s">
        <v>165</v>
      </c>
    </row>
    <row r="19" spans="1:4" x14ac:dyDescent="0.25">
      <c r="B19" t="s">
        <v>203</v>
      </c>
    </row>
    <row r="20" spans="1:4" x14ac:dyDescent="0.25">
      <c r="B20" t="s">
        <v>87</v>
      </c>
    </row>
    <row r="21" spans="1:4" x14ac:dyDescent="0.25">
      <c r="C21" t="s">
        <v>170</v>
      </c>
    </row>
    <row r="22" spans="1:4" x14ac:dyDescent="0.25">
      <c r="B22" t="s">
        <v>30</v>
      </c>
    </row>
    <row r="23" spans="1:4" x14ac:dyDescent="0.25">
      <c r="B23" t="s">
        <v>204</v>
      </c>
    </row>
    <row r="24" spans="1:4" x14ac:dyDescent="0.25">
      <c r="B24" t="s">
        <v>87</v>
      </c>
    </row>
    <row r="25" spans="1:4" x14ac:dyDescent="0.25">
      <c r="C25" t="s">
        <v>205</v>
      </c>
    </row>
    <row r="26" spans="1:4" x14ac:dyDescent="0.25">
      <c r="C26" t="s">
        <v>87</v>
      </c>
    </row>
    <row r="27" spans="1:4" x14ac:dyDescent="0.25">
      <c r="D27" t="s">
        <v>171</v>
      </c>
    </row>
    <row r="28" spans="1:4" x14ac:dyDescent="0.25">
      <c r="C28" t="s">
        <v>30</v>
      </c>
    </row>
    <row r="29" spans="1:4" x14ac:dyDescent="0.25">
      <c r="B29" t="s">
        <v>30</v>
      </c>
    </row>
    <row r="30" spans="1:4" x14ac:dyDescent="0.25">
      <c r="A30" t="s">
        <v>172</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3"/>
  </sheetPr>
  <dimension ref="A2:D33"/>
  <sheetViews>
    <sheetView showGridLines="0" zoomScale="90" zoomScaleNormal="90" workbookViewId="0">
      <selection activeCell="D8" sqref="D8"/>
    </sheetView>
  </sheetViews>
  <sheetFormatPr defaultRowHeight="15" x14ac:dyDescent="0.25"/>
  <sheetData>
    <row r="2" spans="1:4" x14ac:dyDescent="0.25">
      <c r="A2" t="s">
        <v>183</v>
      </c>
    </row>
    <row r="3" spans="1:4" x14ac:dyDescent="0.25">
      <c r="A3" t="s">
        <v>184</v>
      </c>
    </row>
    <row r="4" spans="1:4" x14ac:dyDescent="0.25">
      <c r="A4" t="s">
        <v>81</v>
      </c>
    </row>
    <row r="5" spans="1:4" x14ac:dyDescent="0.25">
      <c r="B5" t="s">
        <v>200</v>
      </c>
    </row>
    <row r="6" spans="1:4" x14ac:dyDescent="0.25">
      <c r="B6" t="s">
        <v>87</v>
      </c>
    </row>
    <row r="7" spans="1:4" x14ac:dyDescent="0.25">
      <c r="C7" t="s">
        <v>188</v>
      </c>
    </row>
    <row r="8" spans="1:4" x14ac:dyDescent="0.25">
      <c r="C8" t="s">
        <v>189</v>
      </c>
    </row>
    <row r="9" spans="1:4" x14ac:dyDescent="0.25">
      <c r="C9" t="s">
        <v>190</v>
      </c>
    </row>
    <row r="10" spans="1:4" x14ac:dyDescent="0.25">
      <c r="C10" t="s">
        <v>81</v>
      </c>
    </row>
    <row r="11" spans="1:4" x14ac:dyDescent="0.25">
      <c r="D11" t="s">
        <v>185</v>
      </c>
    </row>
    <row r="12" spans="1:4" x14ac:dyDescent="0.25">
      <c r="D12" t="s">
        <v>186</v>
      </c>
    </row>
    <row r="13" spans="1:4" x14ac:dyDescent="0.25">
      <c r="D13" t="s">
        <v>187</v>
      </c>
    </row>
    <row r="14" spans="1:4" x14ac:dyDescent="0.25">
      <c r="D14" t="s">
        <v>192</v>
      </c>
    </row>
    <row r="15" spans="1:4" x14ac:dyDescent="0.25">
      <c r="C15" t="s">
        <v>30</v>
      </c>
    </row>
    <row r="16" spans="1:4" x14ac:dyDescent="0.25">
      <c r="A16" t="s">
        <v>103</v>
      </c>
      <c r="C16" t="s">
        <v>191</v>
      </c>
    </row>
    <row r="17" spans="2:4" x14ac:dyDescent="0.25">
      <c r="C17" t="s">
        <v>193</v>
      </c>
    </row>
    <row r="18" spans="2:4" x14ac:dyDescent="0.25">
      <c r="C18" t="s">
        <v>81</v>
      </c>
    </row>
    <row r="19" spans="2:4" x14ac:dyDescent="0.25">
      <c r="D19" t="s">
        <v>194</v>
      </c>
    </row>
    <row r="20" spans="2:4" x14ac:dyDescent="0.25">
      <c r="C20" t="s">
        <v>30</v>
      </c>
    </row>
    <row r="21" spans="2:4" x14ac:dyDescent="0.25">
      <c r="B21" t="s">
        <v>177</v>
      </c>
    </row>
    <row r="22" spans="2:4" x14ac:dyDescent="0.25">
      <c r="B22" t="s">
        <v>178</v>
      </c>
    </row>
    <row r="23" spans="2:4" x14ac:dyDescent="0.25">
      <c r="B23" t="s">
        <v>201</v>
      </c>
    </row>
    <row r="24" spans="2:4" x14ac:dyDescent="0.25">
      <c r="B24" t="s">
        <v>81</v>
      </c>
    </row>
    <row r="25" spans="2:4" x14ac:dyDescent="0.25">
      <c r="C25" t="s">
        <v>93</v>
      </c>
    </row>
    <row r="26" spans="2:4" x14ac:dyDescent="0.25">
      <c r="C26" t="s">
        <v>87</v>
      </c>
    </row>
    <row r="27" spans="2:4" x14ac:dyDescent="0.25">
      <c r="D27" t="s">
        <v>195</v>
      </c>
    </row>
    <row r="28" spans="2:4" x14ac:dyDescent="0.25">
      <c r="C28" t="s">
        <v>30</v>
      </c>
    </row>
    <row r="29" spans="2:4" x14ac:dyDescent="0.25">
      <c r="B29" t="s">
        <v>179</v>
      </c>
    </row>
    <row r="30" spans="2:4" x14ac:dyDescent="0.25">
      <c r="B30" t="s">
        <v>180</v>
      </c>
    </row>
    <row r="31" spans="2:4" x14ac:dyDescent="0.25">
      <c r="B31" t="s">
        <v>181</v>
      </c>
    </row>
    <row r="32" spans="2:4" x14ac:dyDescent="0.25">
      <c r="B32" t="s">
        <v>182</v>
      </c>
    </row>
    <row r="33" spans="1:1" x14ac:dyDescent="0.25">
      <c r="A33" t="s">
        <v>196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3"/>
  </sheetPr>
  <dimension ref="B3:AZ200"/>
  <sheetViews>
    <sheetView showGridLines="0" zoomScale="70" zoomScaleNormal="70" workbookViewId="0">
      <selection activeCell="M4" sqref="M4:AH4"/>
    </sheetView>
  </sheetViews>
  <sheetFormatPr defaultRowHeight="15" x14ac:dyDescent="0.25"/>
  <cols>
    <col min="3" max="3" width="21.28515625" customWidth="1"/>
    <col min="4" max="4" width="11.140625" customWidth="1"/>
    <col min="13" max="22" width="9.140625" customWidth="1"/>
    <col min="23" max="52" width="9.140625" hidden="1" customWidth="1"/>
  </cols>
  <sheetData>
    <row r="3" spans="2:22" ht="18.75" x14ac:dyDescent="0.3">
      <c r="B3" s="278"/>
      <c r="C3" s="278"/>
      <c r="D3" s="278"/>
      <c r="E3" s="278"/>
      <c r="F3" s="278"/>
      <c r="G3" s="278"/>
      <c r="H3" s="278"/>
      <c r="I3" s="278"/>
      <c r="J3" s="278"/>
    </row>
    <row r="4" spans="2:22" ht="15.75" thickBot="1" x14ac:dyDescent="0.3">
      <c r="B4" s="14"/>
      <c r="C4" s="14"/>
      <c r="D4" s="15"/>
      <c r="E4" s="15"/>
      <c r="F4" s="15"/>
      <c r="G4" s="15"/>
      <c r="H4" s="15"/>
      <c r="I4" s="15"/>
      <c r="J4" s="15"/>
      <c r="M4" t="s">
        <v>351</v>
      </c>
      <c r="N4" t="s">
        <v>352</v>
      </c>
      <c r="O4" t="s">
        <v>353</v>
      </c>
      <c r="P4" t="s">
        <v>354</v>
      </c>
      <c r="Q4" t="s">
        <v>355</v>
      </c>
      <c r="R4" t="s">
        <v>356</v>
      </c>
      <c r="S4" t="s">
        <v>357</v>
      </c>
      <c r="T4" t="s">
        <v>358</v>
      </c>
      <c r="U4" t="s">
        <v>359</v>
      </c>
      <c r="V4" t="s">
        <v>360</v>
      </c>
    </row>
    <row r="5" spans="2:22" x14ac:dyDescent="0.25">
      <c r="B5" t="s">
        <v>561</v>
      </c>
      <c r="C5" s="17" t="s">
        <v>351</v>
      </c>
      <c r="D5" s="17">
        <v>1</v>
      </c>
      <c r="E5">
        <v>2.5330000000000001E-3</v>
      </c>
      <c r="F5">
        <v>5.0270000000000002E-2</v>
      </c>
      <c r="G5">
        <v>4.2470000000000002E-4</v>
      </c>
      <c r="H5">
        <v>0</v>
      </c>
      <c r="I5">
        <v>0</v>
      </c>
      <c r="J5">
        <v>0</v>
      </c>
      <c r="L5">
        <v>1</v>
      </c>
      <c r="M5">
        <v>2.5330000000000001E-3</v>
      </c>
      <c r="N5">
        <v>0</v>
      </c>
      <c r="O5">
        <v>4.333E-3</v>
      </c>
      <c r="P5">
        <v>0.2029</v>
      </c>
      <c r="Q5">
        <v>0.37959999999999999</v>
      </c>
      <c r="R5">
        <v>0.38350000000000001</v>
      </c>
      <c r="S5">
        <v>2.5000000000000001E-3</v>
      </c>
      <c r="T5">
        <v>1.2670000000000001E-2</v>
      </c>
      <c r="U5">
        <v>1.2E-2</v>
      </c>
      <c r="V5">
        <v>0</v>
      </c>
    </row>
    <row r="6" spans="2:22" x14ac:dyDescent="0.25">
      <c r="B6" t="s">
        <v>562</v>
      </c>
      <c r="C6" s="17" t="s">
        <v>351</v>
      </c>
      <c r="D6" s="17">
        <v>2</v>
      </c>
      <c r="E6">
        <v>1.44E-2</v>
      </c>
      <c r="F6">
        <v>0.1191</v>
      </c>
      <c r="G6">
        <v>9.0260000000000004E-4</v>
      </c>
      <c r="H6">
        <v>0</v>
      </c>
      <c r="I6">
        <v>0</v>
      </c>
      <c r="J6">
        <v>0</v>
      </c>
      <c r="L6">
        <v>2</v>
      </c>
      <c r="M6">
        <v>1.44E-2</v>
      </c>
      <c r="N6">
        <v>0</v>
      </c>
      <c r="O6">
        <v>3.6330000000000001E-2</v>
      </c>
      <c r="P6">
        <v>0.37930000000000003</v>
      </c>
      <c r="Q6">
        <v>0.1459</v>
      </c>
      <c r="R6">
        <v>0.34289999999999998</v>
      </c>
      <c r="S6">
        <v>6.8669999999999998E-3</v>
      </c>
      <c r="T6">
        <v>3.0970000000000001E-2</v>
      </c>
      <c r="U6">
        <v>4.3400000000000001E-2</v>
      </c>
      <c r="V6">
        <v>0</v>
      </c>
    </row>
    <row r="7" spans="2:22" x14ac:dyDescent="0.25">
      <c r="B7" t="s">
        <v>563</v>
      </c>
      <c r="C7" s="17" t="s">
        <v>351</v>
      </c>
      <c r="D7" s="17">
        <v>3</v>
      </c>
      <c r="E7">
        <v>4.6699999999999998E-2</v>
      </c>
      <c r="F7">
        <v>0.21099999999999999</v>
      </c>
      <c r="G7">
        <v>1.9980000000000002E-3</v>
      </c>
      <c r="H7">
        <v>0</v>
      </c>
      <c r="I7">
        <v>0</v>
      </c>
      <c r="J7">
        <v>1</v>
      </c>
      <c r="L7">
        <v>3</v>
      </c>
      <c r="M7">
        <v>4.6699999999999998E-2</v>
      </c>
      <c r="N7">
        <v>0</v>
      </c>
      <c r="O7">
        <v>0.2145</v>
      </c>
      <c r="P7">
        <v>0.26119999999999999</v>
      </c>
      <c r="Q7">
        <v>0.153</v>
      </c>
      <c r="R7">
        <v>0.1641</v>
      </c>
      <c r="S7">
        <v>1.0500000000000001E-2</v>
      </c>
      <c r="T7">
        <v>5.04E-2</v>
      </c>
      <c r="U7">
        <v>9.9570000000000006E-2</v>
      </c>
      <c r="V7">
        <v>0</v>
      </c>
    </row>
    <row r="8" spans="2:22" x14ac:dyDescent="0.25">
      <c r="B8" t="s">
        <v>564</v>
      </c>
      <c r="C8" s="17" t="s">
        <v>351</v>
      </c>
      <c r="D8" s="17">
        <v>4</v>
      </c>
      <c r="E8">
        <v>0.12620000000000001</v>
      </c>
      <c r="F8">
        <v>0.33200000000000002</v>
      </c>
      <c r="G8">
        <v>3.2950000000000002E-3</v>
      </c>
      <c r="H8">
        <v>0</v>
      </c>
      <c r="I8">
        <v>0</v>
      </c>
      <c r="J8">
        <v>1</v>
      </c>
      <c r="L8">
        <v>4</v>
      </c>
      <c r="M8">
        <v>0.12620000000000001</v>
      </c>
      <c r="N8">
        <v>2.9999999999999997E-4</v>
      </c>
      <c r="O8">
        <v>0.3911</v>
      </c>
      <c r="P8">
        <v>7.5999999999999998E-2</v>
      </c>
      <c r="Q8">
        <v>8.5569999999999993E-2</v>
      </c>
      <c r="R8">
        <v>4.7300000000000002E-2</v>
      </c>
      <c r="S8">
        <v>1.66E-2</v>
      </c>
      <c r="T8">
        <v>6.6699999999999995E-2</v>
      </c>
      <c r="U8">
        <v>0.1903</v>
      </c>
      <c r="V8">
        <v>0</v>
      </c>
    </row>
    <row r="9" spans="2:22" x14ac:dyDescent="0.25">
      <c r="B9" t="s">
        <v>565</v>
      </c>
      <c r="C9" s="17" t="s">
        <v>351</v>
      </c>
      <c r="D9" s="17">
        <v>5</v>
      </c>
      <c r="E9">
        <v>0.28910000000000002</v>
      </c>
      <c r="F9">
        <v>0.45340000000000003</v>
      </c>
      <c r="G9">
        <v>5.7780000000000001E-3</v>
      </c>
      <c r="H9">
        <v>0</v>
      </c>
      <c r="I9">
        <v>0</v>
      </c>
      <c r="J9">
        <v>1</v>
      </c>
      <c r="L9">
        <v>5</v>
      </c>
      <c r="M9">
        <v>0.28910000000000002</v>
      </c>
      <c r="N9">
        <v>1.567E-3</v>
      </c>
      <c r="O9">
        <v>0.2001</v>
      </c>
      <c r="P9">
        <v>3.7499999999999999E-2</v>
      </c>
      <c r="Q9">
        <v>6.123E-2</v>
      </c>
      <c r="R9">
        <v>2.7830000000000001E-2</v>
      </c>
      <c r="S9">
        <v>2.257E-2</v>
      </c>
      <c r="T9">
        <v>8.8569999999999996E-2</v>
      </c>
      <c r="U9">
        <v>0.27150000000000002</v>
      </c>
      <c r="V9">
        <v>0</v>
      </c>
    </row>
    <row r="10" spans="2:22" x14ac:dyDescent="0.25">
      <c r="B10" t="s">
        <v>566</v>
      </c>
      <c r="C10" s="17" t="s">
        <v>351</v>
      </c>
      <c r="D10" s="17">
        <v>6</v>
      </c>
      <c r="E10">
        <v>0.3725</v>
      </c>
      <c r="F10">
        <v>0.48349999999999999</v>
      </c>
      <c r="G10">
        <v>5.2630000000000003E-3</v>
      </c>
      <c r="H10">
        <v>0</v>
      </c>
      <c r="I10">
        <v>0</v>
      </c>
      <c r="J10">
        <v>1</v>
      </c>
      <c r="L10">
        <v>6</v>
      </c>
      <c r="M10">
        <v>0.3725</v>
      </c>
      <c r="N10">
        <v>1.7500000000000002E-2</v>
      </c>
      <c r="O10">
        <v>0.106</v>
      </c>
      <c r="P10">
        <v>2.6429999999999999E-2</v>
      </c>
      <c r="Q10">
        <v>7.1370000000000003E-2</v>
      </c>
      <c r="R10">
        <v>2.043E-2</v>
      </c>
      <c r="S10">
        <v>3.5830000000000001E-2</v>
      </c>
      <c r="T10">
        <v>0.1217</v>
      </c>
      <c r="U10">
        <v>0.2283</v>
      </c>
      <c r="V10">
        <v>0</v>
      </c>
    </row>
    <row r="11" spans="2:22" x14ac:dyDescent="0.25">
      <c r="B11" t="s">
        <v>567</v>
      </c>
      <c r="C11" s="17" t="s">
        <v>351</v>
      </c>
      <c r="D11" s="17">
        <v>7</v>
      </c>
      <c r="E11">
        <v>0.1351</v>
      </c>
      <c r="F11">
        <v>0.34179999999999999</v>
      </c>
      <c r="G11">
        <v>3.7069999999999998E-3</v>
      </c>
      <c r="H11">
        <v>0</v>
      </c>
      <c r="I11">
        <v>0</v>
      </c>
      <c r="J11">
        <v>1</v>
      </c>
      <c r="L11">
        <v>7</v>
      </c>
      <c r="M11">
        <v>0.1351</v>
      </c>
      <c r="N11">
        <v>0.2354</v>
      </c>
      <c r="O11">
        <v>4.1570000000000003E-2</v>
      </c>
      <c r="P11">
        <v>1.23E-2</v>
      </c>
      <c r="Q11">
        <v>5.7529999999999998E-2</v>
      </c>
      <c r="R11">
        <v>9.7999999999999997E-3</v>
      </c>
      <c r="S11">
        <v>9.7170000000000006E-2</v>
      </c>
      <c r="T11">
        <v>0.28399999999999997</v>
      </c>
      <c r="U11">
        <v>0.12709999999999999</v>
      </c>
      <c r="V11">
        <v>6.6669999999999997E-5</v>
      </c>
    </row>
    <row r="12" spans="2:22" x14ac:dyDescent="0.25">
      <c r="B12" t="s">
        <v>568</v>
      </c>
      <c r="C12" s="17" t="s">
        <v>351</v>
      </c>
      <c r="D12" s="17">
        <v>8</v>
      </c>
      <c r="E12">
        <v>1.2999999999999999E-2</v>
      </c>
      <c r="F12">
        <v>0.1133</v>
      </c>
      <c r="G12">
        <v>7.5429999999999996E-4</v>
      </c>
      <c r="H12">
        <v>0</v>
      </c>
      <c r="I12">
        <v>0</v>
      </c>
      <c r="J12">
        <v>0</v>
      </c>
      <c r="L12">
        <v>8</v>
      </c>
      <c r="M12">
        <v>1.2999999999999999E-2</v>
      </c>
      <c r="N12">
        <v>0.55449999999999999</v>
      </c>
      <c r="O12">
        <v>5.5999999999999999E-3</v>
      </c>
      <c r="P12">
        <v>3.3E-3</v>
      </c>
      <c r="Q12">
        <v>2.8799999999999999E-2</v>
      </c>
      <c r="R12">
        <v>3.1670000000000001E-3</v>
      </c>
      <c r="S12">
        <v>0.17</v>
      </c>
      <c r="T12">
        <v>0.19600000000000001</v>
      </c>
      <c r="U12">
        <v>2.3429999999999999E-2</v>
      </c>
      <c r="V12">
        <v>2.1329999999999999E-3</v>
      </c>
    </row>
    <row r="13" spans="2:22" x14ac:dyDescent="0.25">
      <c r="B13" t="s">
        <v>569</v>
      </c>
      <c r="C13" s="17" t="s">
        <v>351</v>
      </c>
      <c r="D13" s="17">
        <v>9</v>
      </c>
      <c r="E13">
        <v>5.0000000000000001E-4</v>
      </c>
      <c r="F13">
        <v>2.2360000000000001E-2</v>
      </c>
      <c r="G13">
        <v>1.35E-4</v>
      </c>
      <c r="H13">
        <v>0</v>
      </c>
      <c r="I13">
        <v>0</v>
      </c>
      <c r="J13">
        <v>0</v>
      </c>
      <c r="L13">
        <v>9</v>
      </c>
      <c r="M13">
        <v>5.0000000000000001E-4</v>
      </c>
      <c r="N13">
        <v>0.19070000000000001</v>
      </c>
      <c r="O13">
        <v>5.6669999999999995E-4</v>
      </c>
      <c r="P13">
        <v>1.0330000000000001E-3</v>
      </c>
      <c r="Q13">
        <v>1.6199999999999999E-2</v>
      </c>
      <c r="R13">
        <v>1E-3</v>
      </c>
      <c r="S13">
        <v>0.56000000000000005</v>
      </c>
      <c r="T13">
        <v>0.14360000000000001</v>
      </c>
      <c r="U13">
        <v>4.3670000000000002E-3</v>
      </c>
      <c r="V13">
        <v>8.2000000000000003E-2</v>
      </c>
    </row>
    <row r="14" spans="2:22" x14ac:dyDescent="0.25">
      <c r="B14" t="s">
        <v>570</v>
      </c>
      <c r="C14" s="17" t="s">
        <v>351</v>
      </c>
      <c r="D14" s="17">
        <v>10</v>
      </c>
      <c r="E14">
        <v>0</v>
      </c>
      <c r="F14">
        <v>0</v>
      </c>
      <c r="G14">
        <v>3.333E-13</v>
      </c>
      <c r="H14">
        <v>0</v>
      </c>
      <c r="I14">
        <v>0</v>
      </c>
      <c r="J14">
        <v>0</v>
      </c>
      <c r="L14">
        <v>10</v>
      </c>
      <c r="M14">
        <v>0</v>
      </c>
      <c r="N14">
        <v>3.3330000000000001E-5</v>
      </c>
      <c r="O14">
        <v>0</v>
      </c>
      <c r="P14">
        <v>0</v>
      </c>
      <c r="Q14">
        <v>8.3330000000000003E-4</v>
      </c>
      <c r="R14">
        <v>0</v>
      </c>
      <c r="S14">
        <v>7.7899999999999997E-2</v>
      </c>
      <c r="T14">
        <v>5.4330000000000003E-3</v>
      </c>
      <c r="U14">
        <v>0</v>
      </c>
      <c r="V14">
        <v>0.91579999999999995</v>
      </c>
    </row>
    <row r="15" spans="2:22" hidden="1" x14ac:dyDescent="0.25">
      <c r="B15" t="s">
        <v>571</v>
      </c>
      <c r="C15" s="17" t="s">
        <v>352</v>
      </c>
      <c r="D15" s="17">
        <v>1</v>
      </c>
      <c r="E15">
        <v>0</v>
      </c>
      <c r="F15">
        <v>0</v>
      </c>
      <c r="G15">
        <v>3.333E-13</v>
      </c>
      <c r="H15">
        <v>0</v>
      </c>
      <c r="I15">
        <v>0</v>
      </c>
      <c r="J15">
        <v>0</v>
      </c>
    </row>
    <row r="16" spans="2:22" hidden="1" x14ac:dyDescent="0.25">
      <c r="B16" t="s">
        <v>572</v>
      </c>
      <c r="C16" s="17" t="s">
        <v>352</v>
      </c>
      <c r="D16" s="17">
        <v>2</v>
      </c>
      <c r="E16">
        <v>0</v>
      </c>
      <c r="F16">
        <v>0</v>
      </c>
      <c r="G16">
        <v>3.333E-13</v>
      </c>
      <c r="H16">
        <v>0</v>
      </c>
      <c r="I16">
        <v>0</v>
      </c>
      <c r="J16">
        <v>0</v>
      </c>
    </row>
    <row r="17" spans="2:10" hidden="1" x14ac:dyDescent="0.25">
      <c r="B17" t="s">
        <v>573</v>
      </c>
      <c r="C17" s="17" t="s">
        <v>352</v>
      </c>
      <c r="D17" s="17">
        <v>3</v>
      </c>
      <c r="E17">
        <v>0</v>
      </c>
      <c r="F17">
        <v>0</v>
      </c>
      <c r="G17">
        <v>3.333E-13</v>
      </c>
      <c r="H17">
        <v>0</v>
      </c>
      <c r="I17">
        <v>0</v>
      </c>
      <c r="J17">
        <v>0</v>
      </c>
    </row>
    <row r="18" spans="2:10" hidden="1" x14ac:dyDescent="0.25">
      <c r="B18" t="s">
        <v>574</v>
      </c>
      <c r="C18" s="17" t="s">
        <v>352</v>
      </c>
      <c r="D18" s="17">
        <v>4</v>
      </c>
      <c r="E18">
        <v>2.9999999999999997E-4</v>
      </c>
      <c r="F18">
        <v>1.7319999999999999E-2</v>
      </c>
      <c r="G18">
        <v>1.097E-4</v>
      </c>
      <c r="H18">
        <v>0</v>
      </c>
      <c r="I18">
        <v>0</v>
      </c>
      <c r="J18">
        <v>0</v>
      </c>
    </row>
    <row r="19" spans="2:10" hidden="1" x14ac:dyDescent="0.25">
      <c r="B19" t="s">
        <v>575</v>
      </c>
      <c r="C19" s="17" t="s">
        <v>352</v>
      </c>
      <c r="D19" s="17">
        <v>5</v>
      </c>
      <c r="E19">
        <v>1.567E-3</v>
      </c>
      <c r="F19">
        <v>3.9550000000000002E-2</v>
      </c>
      <c r="G19">
        <v>2.499E-4</v>
      </c>
      <c r="H19">
        <v>0</v>
      </c>
      <c r="I19">
        <v>0</v>
      </c>
      <c r="J19">
        <v>0</v>
      </c>
    </row>
    <row r="20" spans="2:10" hidden="1" x14ac:dyDescent="0.25">
      <c r="B20" t="s">
        <v>576</v>
      </c>
      <c r="C20" s="17" t="s">
        <v>352</v>
      </c>
      <c r="D20" s="17">
        <v>6</v>
      </c>
      <c r="E20">
        <v>1.7500000000000002E-2</v>
      </c>
      <c r="F20">
        <v>0.13109999999999999</v>
      </c>
      <c r="G20">
        <v>9.7570000000000003E-4</v>
      </c>
      <c r="H20">
        <v>0</v>
      </c>
      <c r="I20">
        <v>0</v>
      </c>
      <c r="J20">
        <v>0</v>
      </c>
    </row>
    <row r="21" spans="2:10" hidden="1" x14ac:dyDescent="0.25">
      <c r="B21" t="s">
        <v>577</v>
      </c>
      <c r="C21" s="17" t="s">
        <v>352</v>
      </c>
      <c r="D21" s="17">
        <v>7</v>
      </c>
      <c r="E21">
        <v>0.2354</v>
      </c>
      <c r="F21">
        <v>0.42420000000000002</v>
      </c>
      <c r="G21">
        <v>5.6090000000000003E-3</v>
      </c>
      <c r="H21">
        <v>0</v>
      </c>
      <c r="I21">
        <v>0</v>
      </c>
      <c r="J21">
        <v>1</v>
      </c>
    </row>
    <row r="22" spans="2:10" hidden="1" x14ac:dyDescent="0.25">
      <c r="B22" t="s">
        <v>578</v>
      </c>
      <c r="C22" s="17" t="s">
        <v>352</v>
      </c>
      <c r="D22" s="17">
        <v>8</v>
      </c>
      <c r="E22">
        <v>0.55449999999999999</v>
      </c>
      <c r="F22">
        <v>0.497</v>
      </c>
      <c r="G22">
        <v>5.097E-3</v>
      </c>
      <c r="H22">
        <v>0</v>
      </c>
      <c r="I22">
        <v>1</v>
      </c>
      <c r="J22">
        <v>1</v>
      </c>
    </row>
    <row r="23" spans="2:10" hidden="1" x14ac:dyDescent="0.25">
      <c r="B23" t="s">
        <v>579</v>
      </c>
      <c r="C23" s="17" t="s">
        <v>352</v>
      </c>
      <c r="D23" s="17">
        <v>9</v>
      </c>
      <c r="E23">
        <v>0.19070000000000001</v>
      </c>
      <c r="F23">
        <v>0.39290000000000003</v>
      </c>
      <c r="G23">
        <v>3.5660000000000002E-3</v>
      </c>
      <c r="H23">
        <v>0</v>
      </c>
      <c r="I23">
        <v>0</v>
      </c>
      <c r="J23">
        <v>1</v>
      </c>
    </row>
    <row r="24" spans="2:10" hidden="1" x14ac:dyDescent="0.25">
      <c r="B24" t="s">
        <v>580</v>
      </c>
      <c r="C24" s="17" t="s">
        <v>352</v>
      </c>
      <c r="D24" s="17">
        <v>10</v>
      </c>
      <c r="E24">
        <v>3.3330000000000001E-5</v>
      </c>
      <c r="F24">
        <v>5.7730000000000004E-3</v>
      </c>
      <c r="G24">
        <v>3.345E-5</v>
      </c>
      <c r="H24">
        <v>0</v>
      </c>
      <c r="I24">
        <v>0</v>
      </c>
      <c r="J24">
        <v>0</v>
      </c>
    </row>
    <row r="25" spans="2:10" hidden="1" x14ac:dyDescent="0.25">
      <c r="B25" t="s">
        <v>581</v>
      </c>
      <c r="C25" s="17" t="s">
        <v>353</v>
      </c>
      <c r="D25" s="17">
        <v>1</v>
      </c>
      <c r="E25">
        <v>4.333E-3</v>
      </c>
      <c r="F25">
        <v>6.5689999999999998E-2</v>
      </c>
      <c r="G25">
        <v>4.8040000000000002E-4</v>
      </c>
      <c r="H25">
        <v>0</v>
      </c>
      <c r="I25">
        <v>0</v>
      </c>
      <c r="J25">
        <v>0</v>
      </c>
    </row>
    <row r="26" spans="2:10" hidden="1" x14ac:dyDescent="0.25">
      <c r="B26" t="s">
        <v>582</v>
      </c>
      <c r="C26" s="17" t="s">
        <v>353</v>
      </c>
      <c r="D26" s="17">
        <v>2</v>
      </c>
      <c r="E26">
        <v>3.6330000000000001E-2</v>
      </c>
      <c r="F26">
        <v>0.18709999999999999</v>
      </c>
      <c r="G26">
        <v>1.8879999999999999E-3</v>
      </c>
      <c r="H26">
        <v>0</v>
      </c>
      <c r="I26">
        <v>0</v>
      </c>
      <c r="J26">
        <v>1</v>
      </c>
    </row>
    <row r="27" spans="2:10" hidden="1" x14ac:dyDescent="0.25">
      <c r="B27" t="s">
        <v>583</v>
      </c>
      <c r="C27" s="17" t="s">
        <v>353</v>
      </c>
      <c r="D27" s="17">
        <v>3</v>
      </c>
      <c r="E27">
        <v>0.2145</v>
      </c>
      <c r="F27">
        <v>0.41049999999999998</v>
      </c>
      <c r="G27">
        <v>4.496E-3</v>
      </c>
      <c r="H27">
        <v>0</v>
      </c>
      <c r="I27">
        <v>0</v>
      </c>
      <c r="J27">
        <v>1</v>
      </c>
    </row>
    <row r="28" spans="2:10" hidden="1" x14ac:dyDescent="0.25">
      <c r="B28" t="s">
        <v>584</v>
      </c>
      <c r="C28" s="17" t="s">
        <v>353</v>
      </c>
      <c r="D28" s="17">
        <v>4</v>
      </c>
      <c r="E28">
        <v>0.3911</v>
      </c>
      <c r="F28">
        <v>0.48799999999999999</v>
      </c>
      <c r="G28">
        <v>6.0369999999999998E-3</v>
      </c>
      <c r="H28">
        <v>0</v>
      </c>
      <c r="I28">
        <v>0</v>
      </c>
      <c r="J28">
        <v>1</v>
      </c>
    </row>
    <row r="29" spans="2:10" hidden="1" x14ac:dyDescent="0.25">
      <c r="B29" t="s">
        <v>585</v>
      </c>
      <c r="C29" s="17" t="s">
        <v>353</v>
      </c>
      <c r="D29" s="17">
        <v>5</v>
      </c>
      <c r="E29">
        <v>0.2001</v>
      </c>
      <c r="F29">
        <v>0.4</v>
      </c>
      <c r="G29">
        <v>3.8999999999999998E-3</v>
      </c>
      <c r="H29">
        <v>0</v>
      </c>
      <c r="I29">
        <v>0</v>
      </c>
      <c r="J29">
        <v>1</v>
      </c>
    </row>
    <row r="30" spans="2:10" hidden="1" x14ac:dyDescent="0.25">
      <c r="B30" t="s">
        <v>586</v>
      </c>
      <c r="C30" t="s">
        <v>353</v>
      </c>
      <c r="D30">
        <v>6</v>
      </c>
      <c r="E30">
        <v>0.106</v>
      </c>
      <c r="F30">
        <v>0.30780000000000002</v>
      </c>
      <c r="G30">
        <v>3.0730000000000002E-3</v>
      </c>
      <c r="H30">
        <v>0</v>
      </c>
      <c r="I30">
        <v>0</v>
      </c>
      <c r="J30">
        <v>1</v>
      </c>
    </row>
    <row r="31" spans="2:10" hidden="1" x14ac:dyDescent="0.25">
      <c r="B31" t="s">
        <v>587</v>
      </c>
      <c r="C31" t="s">
        <v>353</v>
      </c>
      <c r="D31">
        <v>7</v>
      </c>
      <c r="E31">
        <v>4.1570000000000003E-2</v>
      </c>
      <c r="F31">
        <v>0.1996</v>
      </c>
      <c r="G31">
        <v>1.9599999999999999E-3</v>
      </c>
      <c r="H31">
        <v>0</v>
      </c>
      <c r="I31">
        <v>0</v>
      </c>
      <c r="J31">
        <v>1</v>
      </c>
    </row>
    <row r="32" spans="2:10" hidden="1" x14ac:dyDescent="0.25">
      <c r="B32" t="s">
        <v>588</v>
      </c>
      <c r="C32" t="s">
        <v>353</v>
      </c>
      <c r="D32">
        <v>8</v>
      </c>
      <c r="E32">
        <v>5.5999999999999999E-3</v>
      </c>
      <c r="F32">
        <v>7.4620000000000006E-2</v>
      </c>
      <c r="G32">
        <v>5.442E-4</v>
      </c>
      <c r="H32">
        <v>0</v>
      </c>
      <c r="I32">
        <v>0</v>
      </c>
      <c r="J32">
        <v>0</v>
      </c>
    </row>
    <row r="33" spans="2:10" hidden="1" x14ac:dyDescent="0.25">
      <c r="B33" t="s">
        <v>589</v>
      </c>
      <c r="C33" t="s">
        <v>353</v>
      </c>
      <c r="D33">
        <v>9</v>
      </c>
      <c r="E33">
        <v>5.6669999999999995E-4</v>
      </c>
      <c r="F33">
        <v>2.3800000000000002E-2</v>
      </c>
      <c r="G33">
        <v>1.3420000000000001E-4</v>
      </c>
      <c r="H33">
        <v>0</v>
      </c>
      <c r="I33">
        <v>0</v>
      </c>
      <c r="J33">
        <v>0</v>
      </c>
    </row>
    <row r="34" spans="2:10" hidden="1" x14ac:dyDescent="0.25">
      <c r="B34" t="s">
        <v>590</v>
      </c>
      <c r="C34" t="s">
        <v>353</v>
      </c>
      <c r="D34">
        <v>10</v>
      </c>
      <c r="E34">
        <v>0</v>
      </c>
      <c r="F34">
        <v>0</v>
      </c>
      <c r="G34">
        <v>3.333E-13</v>
      </c>
      <c r="H34">
        <v>0</v>
      </c>
      <c r="I34">
        <v>0</v>
      </c>
      <c r="J34">
        <v>0</v>
      </c>
    </row>
    <row r="35" spans="2:10" hidden="1" x14ac:dyDescent="0.25">
      <c r="B35" t="s">
        <v>591</v>
      </c>
      <c r="C35" t="s">
        <v>354</v>
      </c>
      <c r="D35">
        <v>1</v>
      </c>
      <c r="E35">
        <v>0.2029</v>
      </c>
      <c r="F35">
        <v>0.4022</v>
      </c>
      <c r="G35">
        <v>4.365E-3</v>
      </c>
      <c r="H35">
        <v>0</v>
      </c>
      <c r="I35">
        <v>0</v>
      </c>
      <c r="J35">
        <v>1</v>
      </c>
    </row>
    <row r="36" spans="2:10" hidden="1" x14ac:dyDescent="0.25">
      <c r="B36" t="s">
        <v>592</v>
      </c>
      <c r="C36" t="s">
        <v>354</v>
      </c>
      <c r="D36">
        <v>2</v>
      </c>
      <c r="E36">
        <v>0.37930000000000003</v>
      </c>
      <c r="F36">
        <v>0.48520000000000002</v>
      </c>
      <c r="G36">
        <v>4.5909999999999996E-3</v>
      </c>
      <c r="H36">
        <v>0</v>
      </c>
      <c r="I36">
        <v>0</v>
      </c>
      <c r="J36">
        <v>1</v>
      </c>
    </row>
    <row r="37" spans="2:10" hidden="1" x14ac:dyDescent="0.25">
      <c r="B37" t="s">
        <v>593</v>
      </c>
      <c r="C37" t="s">
        <v>354</v>
      </c>
      <c r="D37">
        <v>3</v>
      </c>
      <c r="E37">
        <v>0.26119999999999999</v>
      </c>
      <c r="F37">
        <v>0.43930000000000002</v>
      </c>
      <c r="G37">
        <v>4.5770000000000003E-3</v>
      </c>
      <c r="H37">
        <v>0</v>
      </c>
      <c r="I37">
        <v>0</v>
      </c>
      <c r="J37">
        <v>1</v>
      </c>
    </row>
    <row r="38" spans="2:10" hidden="1" x14ac:dyDescent="0.25">
      <c r="B38" t="s">
        <v>594</v>
      </c>
      <c r="C38" t="s">
        <v>354</v>
      </c>
      <c r="D38">
        <v>4</v>
      </c>
      <c r="E38">
        <v>7.5999999999999998E-2</v>
      </c>
      <c r="F38">
        <v>0.26500000000000001</v>
      </c>
      <c r="G38">
        <v>2.1949999999999999E-3</v>
      </c>
      <c r="H38">
        <v>0</v>
      </c>
      <c r="I38">
        <v>0</v>
      </c>
      <c r="J38">
        <v>1</v>
      </c>
    </row>
    <row r="39" spans="2:10" hidden="1" x14ac:dyDescent="0.25">
      <c r="B39" t="s">
        <v>595</v>
      </c>
      <c r="C39" t="s">
        <v>354</v>
      </c>
      <c r="D39">
        <v>5</v>
      </c>
      <c r="E39">
        <v>3.7499999999999999E-2</v>
      </c>
      <c r="F39">
        <v>0.19</v>
      </c>
      <c r="G39">
        <v>1.554E-3</v>
      </c>
      <c r="H39">
        <v>0</v>
      </c>
      <c r="I39">
        <v>0</v>
      </c>
      <c r="J39">
        <v>1</v>
      </c>
    </row>
    <row r="40" spans="2:10" hidden="1" x14ac:dyDescent="0.25">
      <c r="B40" t="s">
        <v>596</v>
      </c>
      <c r="C40" t="s">
        <v>354</v>
      </c>
      <c r="D40">
        <v>6</v>
      </c>
      <c r="E40">
        <v>2.6429999999999999E-2</v>
      </c>
      <c r="F40">
        <v>0.16039999999999999</v>
      </c>
      <c r="G40">
        <v>1.2440000000000001E-3</v>
      </c>
      <c r="H40">
        <v>0</v>
      </c>
      <c r="I40">
        <v>0</v>
      </c>
      <c r="J40">
        <v>1</v>
      </c>
    </row>
    <row r="41" spans="2:10" hidden="1" x14ac:dyDescent="0.25">
      <c r="B41" t="s">
        <v>597</v>
      </c>
      <c r="C41" t="s">
        <v>354</v>
      </c>
      <c r="D41">
        <v>7</v>
      </c>
      <c r="E41">
        <v>1.23E-2</v>
      </c>
      <c r="F41">
        <v>0.11020000000000001</v>
      </c>
      <c r="G41">
        <v>8.7560000000000003E-4</v>
      </c>
      <c r="H41">
        <v>0</v>
      </c>
      <c r="I41">
        <v>0</v>
      </c>
      <c r="J41">
        <v>0</v>
      </c>
    </row>
    <row r="42" spans="2:10" hidden="1" x14ac:dyDescent="0.25">
      <c r="B42" t="s">
        <v>598</v>
      </c>
      <c r="C42" t="s">
        <v>354</v>
      </c>
      <c r="D42">
        <v>8</v>
      </c>
      <c r="E42">
        <v>3.3E-3</v>
      </c>
      <c r="F42">
        <v>5.7349999999999998E-2</v>
      </c>
      <c r="G42">
        <v>3.7050000000000001E-4</v>
      </c>
      <c r="H42">
        <v>0</v>
      </c>
      <c r="I42">
        <v>0</v>
      </c>
      <c r="J42">
        <v>0</v>
      </c>
    </row>
    <row r="43" spans="2:10" hidden="1" x14ac:dyDescent="0.25">
      <c r="B43" t="s">
        <v>599</v>
      </c>
      <c r="C43" t="s">
        <v>354</v>
      </c>
      <c r="D43">
        <v>9</v>
      </c>
      <c r="E43">
        <v>1.0330000000000001E-3</v>
      </c>
      <c r="F43">
        <v>3.2129999999999999E-2</v>
      </c>
      <c r="G43">
        <v>2.2169999999999999E-4</v>
      </c>
      <c r="H43">
        <v>0</v>
      </c>
      <c r="I43">
        <v>0</v>
      </c>
      <c r="J43">
        <v>0</v>
      </c>
    </row>
    <row r="44" spans="2:10" hidden="1" x14ac:dyDescent="0.25">
      <c r="B44" t="s">
        <v>600</v>
      </c>
      <c r="C44" t="s">
        <v>354</v>
      </c>
      <c r="D44">
        <v>10</v>
      </c>
      <c r="E44">
        <v>0</v>
      </c>
      <c r="F44">
        <v>0</v>
      </c>
      <c r="G44">
        <v>3.333E-13</v>
      </c>
      <c r="H44">
        <v>0</v>
      </c>
      <c r="I44">
        <v>0</v>
      </c>
      <c r="J44">
        <v>0</v>
      </c>
    </row>
    <row r="45" spans="2:10" hidden="1" x14ac:dyDescent="0.25">
      <c r="B45" t="s">
        <v>601</v>
      </c>
      <c r="C45" t="s">
        <v>355</v>
      </c>
      <c r="D45">
        <v>1</v>
      </c>
      <c r="E45">
        <v>0.37959999999999999</v>
      </c>
      <c r="F45">
        <v>0.48530000000000001</v>
      </c>
      <c r="G45">
        <v>6.3720000000000001E-3</v>
      </c>
      <c r="H45">
        <v>0</v>
      </c>
      <c r="I45">
        <v>0</v>
      </c>
      <c r="J45">
        <v>1</v>
      </c>
    </row>
    <row r="46" spans="2:10" hidden="1" x14ac:dyDescent="0.25">
      <c r="B46" t="s">
        <v>602</v>
      </c>
      <c r="C46" t="s">
        <v>355</v>
      </c>
      <c r="D46">
        <v>2</v>
      </c>
      <c r="E46">
        <v>0.1459</v>
      </c>
      <c r="F46">
        <v>0.35299999999999998</v>
      </c>
      <c r="G46">
        <v>3.0300000000000001E-3</v>
      </c>
      <c r="H46">
        <v>0</v>
      </c>
      <c r="I46">
        <v>0</v>
      </c>
      <c r="J46">
        <v>1</v>
      </c>
    </row>
    <row r="47" spans="2:10" hidden="1" x14ac:dyDescent="0.25">
      <c r="B47" t="s">
        <v>603</v>
      </c>
      <c r="C47" t="s">
        <v>355</v>
      </c>
      <c r="D47">
        <v>3</v>
      </c>
      <c r="E47">
        <v>0.153</v>
      </c>
      <c r="F47">
        <v>0.36</v>
      </c>
      <c r="G47">
        <v>3.261E-3</v>
      </c>
      <c r="H47">
        <v>0</v>
      </c>
      <c r="I47">
        <v>0</v>
      </c>
      <c r="J47">
        <v>1</v>
      </c>
    </row>
    <row r="48" spans="2:10" hidden="1" x14ac:dyDescent="0.25">
      <c r="B48" t="s">
        <v>604</v>
      </c>
      <c r="C48" t="s">
        <v>355</v>
      </c>
      <c r="D48">
        <v>4</v>
      </c>
      <c r="E48">
        <v>8.5569999999999993E-2</v>
      </c>
      <c r="F48">
        <v>0.2797</v>
      </c>
      <c r="G48">
        <v>2.421E-3</v>
      </c>
      <c r="H48">
        <v>0</v>
      </c>
      <c r="I48">
        <v>0</v>
      </c>
      <c r="J48">
        <v>1</v>
      </c>
    </row>
    <row r="49" spans="2:10" hidden="1" x14ac:dyDescent="0.25">
      <c r="B49" t="s">
        <v>605</v>
      </c>
      <c r="C49" t="s">
        <v>355</v>
      </c>
      <c r="D49">
        <v>5</v>
      </c>
      <c r="E49">
        <v>6.123E-2</v>
      </c>
      <c r="F49">
        <v>0.23980000000000001</v>
      </c>
      <c r="G49">
        <v>1.7639999999999999E-3</v>
      </c>
      <c r="H49">
        <v>0</v>
      </c>
      <c r="I49">
        <v>0</v>
      </c>
      <c r="J49">
        <v>1</v>
      </c>
    </row>
    <row r="50" spans="2:10" hidden="1" x14ac:dyDescent="0.25">
      <c r="B50" t="s">
        <v>606</v>
      </c>
      <c r="C50" t="s">
        <v>355</v>
      </c>
      <c r="D50">
        <v>6</v>
      </c>
      <c r="E50">
        <v>7.1370000000000003E-2</v>
      </c>
      <c r="F50">
        <v>0.25740000000000002</v>
      </c>
      <c r="G50">
        <v>2.5460000000000001E-3</v>
      </c>
      <c r="H50">
        <v>0</v>
      </c>
      <c r="I50">
        <v>0</v>
      </c>
      <c r="J50">
        <v>1</v>
      </c>
    </row>
    <row r="51" spans="2:10" hidden="1" x14ac:dyDescent="0.25">
      <c r="B51" t="s">
        <v>607</v>
      </c>
      <c r="C51" t="s">
        <v>355</v>
      </c>
      <c r="D51">
        <v>7</v>
      </c>
      <c r="E51">
        <v>5.7529999999999998E-2</v>
      </c>
      <c r="F51">
        <v>0.2329</v>
      </c>
      <c r="G51">
        <v>2.019E-3</v>
      </c>
      <c r="H51">
        <v>0</v>
      </c>
      <c r="I51">
        <v>0</v>
      </c>
      <c r="J51">
        <v>1</v>
      </c>
    </row>
    <row r="52" spans="2:10" hidden="1" x14ac:dyDescent="0.25">
      <c r="B52" t="s">
        <v>608</v>
      </c>
      <c r="C52" t="s">
        <v>355</v>
      </c>
      <c r="D52">
        <v>8</v>
      </c>
      <c r="E52">
        <v>2.8799999999999999E-2</v>
      </c>
      <c r="F52">
        <v>0.16719999999999999</v>
      </c>
      <c r="G52">
        <v>1.361E-3</v>
      </c>
      <c r="H52">
        <v>0</v>
      </c>
      <c r="I52">
        <v>0</v>
      </c>
      <c r="J52">
        <v>1</v>
      </c>
    </row>
    <row r="53" spans="2:10" hidden="1" x14ac:dyDescent="0.25">
      <c r="B53" t="s">
        <v>609</v>
      </c>
      <c r="C53" t="s">
        <v>355</v>
      </c>
      <c r="D53">
        <v>9</v>
      </c>
      <c r="E53">
        <v>1.6199999999999999E-2</v>
      </c>
      <c r="F53">
        <v>0.12620000000000001</v>
      </c>
      <c r="G53">
        <v>9.8060000000000009E-4</v>
      </c>
      <c r="H53">
        <v>0</v>
      </c>
      <c r="I53">
        <v>0</v>
      </c>
      <c r="J53">
        <v>0</v>
      </c>
    </row>
    <row r="54" spans="2:10" hidden="1" x14ac:dyDescent="0.25">
      <c r="B54" t="s">
        <v>610</v>
      </c>
      <c r="C54" t="s">
        <v>355</v>
      </c>
      <c r="D54">
        <v>10</v>
      </c>
      <c r="E54">
        <v>8.3330000000000003E-4</v>
      </c>
      <c r="F54">
        <v>2.886E-2</v>
      </c>
      <c r="G54">
        <v>1.9799999999999999E-4</v>
      </c>
      <c r="H54">
        <v>0</v>
      </c>
      <c r="I54">
        <v>0</v>
      </c>
      <c r="J54">
        <v>0</v>
      </c>
    </row>
    <row r="55" spans="2:10" hidden="1" x14ac:dyDescent="0.25">
      <c r="B55" t="s">
        <v>611</v>
      </c>
      <c r="C55" t="s">
        <v>356</v>
      </c>
      <c r="D55">
        <v>1</v>
      </c>
      <c r="E55">
        <v>0.38350000000000001</v>
      </c>
      <c r="F55">
        <v>0.48620000000000002</v>
      </c>
      <c r="G55">
        <v>6.2859999999999999E-3</v>
      </c>
      <c r="H55">
        <v>0</v>
      </c>
      <c r="I55">
        <v>0</v>
      </c>
      <c r="J55">
        <v>1</v>
      </c>
    </row>
    <row r="56" spans="2:10" hidden="1" x14ac:dyDescent="0.25">
      <c r="B56" t="s">
        <v>612</v>
      </c>
      <c r="C56" t="s">
        <v>356</v>
      </c>
      <c r="D56">
        <v>2</v>
      </c>
      <c r="E56">
        <v>0.34289999999999998</v>
      </c>
      <c r="F56">
        <v>0.47470000000000001</v>
      </c>
      <c r="G56">
        <v>4.3169999999999997E-3</v>
      </c>
      <c r="H56">
        <v>0</v>
      </c>
      <c r="I56">
        <v>0</v>
      </c>
      <c r="J56">
        <v>1</v>
      </c>
    </row>
    <row r="57" spans="2:10" hidden="1" x14ac:dyDescent="0.25">
      <c r="B57" t="s">
        <v>613</v>
      </c>
      <c r="C57" t="s">
        <v>356</v>
      </c>
      <c r="D57">
        <v>3</v>
      </c>
      <c r="E57">
        <v>0.1641</v>
      </c>
      <c r="F57">
        <v>0.37040000000000001</v>
      </c>
      <c r="G57">
        <v>5.1929999999999997E-3</v>
      </c>
      <c r="H57">
        <v>0</v>
      </c>
      <c r="I57">
        <v>0</v>
      </c>
      <c r="J57">
        <v>1</v>
      </c>
    </row>
    <row r="58" spans="2:10" hidden="1" x14ac:dyDescent="0.25">
      <c r="B58" t="s">
        <v>614</v>
      </c>
      <c r="C58" t="s">
        <v>356</v>
      </c>
      <c r="D58">
        <v>4</v>
      </c>
      <c r="E58">
        <v>4.7300000000000002E-2</v>
      </c>
      <c r="F58">
        <v>0.21229999999999999</v>
      </c>
      <c r="G58">
        <v>1.5740000000000001E-3</v>
      </c>
      <c r="H58">
        <v>0</v>
      </c>
      <c r="I58">
        <v>0</v>
      </c>
      <c r="J58">
        <v>1</v>
      </c>
    </row>
    <row r="59" spans="2:10" hidden="1" x14ac:dyDescent="0.25">
      <c r="B59" t="s">
        <v>615</v>
      </c>
      <c r="C59" t="s">
        <v>356</v>
      </c>
      <c r="D59">
        <v>5</v>
      </c>
      <c r="E59">
        <v>2.7830000000000001E-2</v>
      </c>
      <c r="F59">
        <v>0.16450000000000001</v>
      </c>
      <c r="G59">
        <v>1.1900000000000001E-3</v>
      </c>
      <c r="H59">
        <v>0</v>
      </c>
      <c r="I59">
        <v>0</v>
      </c>
      <c r="J59">
        <v>1</v>
      </c>
    </row>
    <row r="60" spans="2:10" hidden="1" x14ac:dyDescent="0.25">
      <c r="B60" t="s">
        <v>616</v>
      </c>
      <c r="C60" t="s">
        <v>356</v>
      </c>
      <c r="D60">
        <v>6</v>
      </c>
      <c r="E60">
        <v>2.043E-2</v>
      </c>
      <c r="F60">
        <v>0.14149999999999999</v>
      </c>
      <c r="G60">
        <v>1.1310000000000001E-3</v>
      </c>
      <c r="H60">
        <v>0</v>
      </c>
      <c r="I60">
        <v>0</v>
      </c>
      <c r="J60">
        <v>0</v>
      </c>
    </row>
    <row r="61" spans="2:10" hidden="1" x14ac:dyDescent="0.25">
      <c r="B61" t="s">
        <v>617</v>
      </c>
      <c r="C61" t="s">
        <v>356</v>
      </c>
      <c r="D61">
        <v>7</v>
      </c>
      <c r="E61">
        <v>9.7999999999999997E-3</v>
      </c>
      <c r="F61">
        <v>9.851E-2</v>
      </c>
      <c r="G61">
        <v>6.9939999999999998E-4</v>
      </c>
      <c r="H61">
        <v>0</v>
      </c>
      <c r="I61">
        <v>0</v>
      </c>
      <c r="J61">
        <v>0</v>
      </c>
    </row>
    <row r="62" spans="2:10" hidden="1" x14ac:dyDescent="0.25">
      <c r="B62" t="s">
        <v>618</v>
      </c>
      <c r="C62" t="s">
        <v>356</v>
      </c>
      <c r="D62">
        <v>8</v>
      </c>
      <c r="E62">
        <v>3.1670000000000001E-3</v>
      </c>
      <c r="F62">
        <v>5.6180000000000001E-2</v>
      </c>
      <c r="G62">
        <v>3.3990000000000002E-4</v>
      </c>
      <c r="H62">
        <v>0</v>
      </c>
      <c r="I62">
        <v>0</v>
      </c>
      <c r="J62">
        <v>0</v>
      </c>
    </row>
    <row r="63" spans="2:10" hidden="1" x14ac:dyDescent="0.25">
      <c r="B63" t="s">
        <v>619</v>
      </c>
      <c r="C63" t="s">
        <v>356</v>
      </c>
      <c r="D63">
        <v>9</v>
      </c>
      <c r="E63">
        <v>1E-3</v>
      </c>
      <c r="F63">
        <v>3.1609999999999999E-2</v>
      </c>
      <c r="G63">
        <v>2.0379999999999999E-4</v>
      </c>
      <c r="H63">
        <v>0</v>
      </c>
      <c r="I63">
        <v>0</v>
      </c>
      <c r="J63">
        <v>0</v>
      </c>
    </row>
    <row r="64" spans="2:10" hidden="1" x14ac:dyDescent="0.25">
      <c r="B64" t="s">
        <v>620</v>
      </c>
      <c r="C64" t="s">
        <v>356</v>
      </c>
      <c r="D64">
        <v>10</v>
      </c>
      <c r="E64">
        <v>0</v>
      </c>
      <c r="F64">
        <v>0</v>
      </c>
      <c r="G64">
        <v>3.333E-13</v>
      </c>
      <c r="H64">
        <v>0</v>
      </c>
      <c r="I64">
        <v>0</v>
      </c>
      <c r="J64">
        <v>0</v>
      </c>
    </row>
    <row r="65" spans="2:10" hidden="1" x14ac:dyDescent="0.25">
      <c r="B65" t="s">
        <v>621</v>
      </c>
      <c r="C65" t="s">
        <v>357</v>
      </c>
      <c r="D65">
        <v>1</v>
      </c>
      <c r="E65">
        <v>2.5000000000000001E-3</v>
      </c>
      <c r="F65">
        <v>4.9939999999999998E-2</v>
      </c>
      <c r="G65">
        <v>2.8479999999999998E-4</v>
      </c>
      <c r="H65">
        <v>0</v>
      </c>
      <c r="I65">
        <v>0</v>
      </c>
      <c r="J65">
        <v>0</v>
      </c>
    </row>
    <row r="66" spans="2:10" hidden="1" x14ac:dyDescent="0.25">
      <c r="B66" t="s">
        <v>622</v>
      </c>
      <c r="C66" t="s">
        <v>357</v>
      </c>
      <c r="D66">
        <v>2</v>
      </c>
      <c r="E66">
        <v>6.8669999999999998E-3</v>
      </c>
      <c r="F66">
        <v>8.2580000000000001E-2</v>
      </c>
      <c r="G66">
        <v>5.174E-4</v>
      </c>
      <c r="H66">
        <v>0</v>
      </c>
      <c r="I66">
        <v>0</v>
      </c>
      <c r="J66">
        <v>0</v>
      </c>
    </row>
    <row r="67" spans="2:10" hidden="1" x14ac:dyDescent="0.25">
      <c r="B67" t="s">
        <v>623</v>
      </c>
      <c r="C67" t="s">
        <v>357</v>
      </c>
      <c r="D67">
        <v>3</v>
      </c>
      <c r="E67">
        <v>1.0500000000000001E-2</v>
      </c>
      <c r="F67">
        <v>0.1019</v>
      </c>
      <c r="G67">
        <v>6.7020000000000003E-4</v>
      </c>
      <c r="H67">
        <v>0</v>
      </c>
      <c r="I67">
        <v>0</v>
      </c>
      <c r="J67">
        <v>0</v>
      </c>
    </row>
    <row r="68" spans="2:10" hidden="1" x14ac:dyDescent="0.25">
      <c r="B68" t="s">
        <v>624</v>
      </c>
      <c r="C68" t="s">
        <v>357</v>
      </c>
      <c r="D68">
        <v>4</v>
      </c>
      <c r="E68">
        <v>1.66E-2</v>
      </c>
      <c r="F68">
        <v>0.1278</v>
      </c>
      <c r="G68">
        <v>8.497E-4</v>
      </c>
      <c r="H68">
        <v>0</v>
      </c>
      <c r="I68">
        <v>0</v>
      </c>
      <c r="J68">
        <v>0</v>
      </c>
    </row>
    <row r="69" spans="2:10" hidden="1" x14ac:dyDescent="0.25">
      <c r="B69" t="s">
        <v>625</v>
      </c>
      <c r="C69" t="s">
        <v>357</v>
      </c>
      <c r="D69">
        <v>5</v>
      </c>
      <c r="E69">
        <v>2.257E-2</v>
      </c>
      <c r="F69">
        <v>0.14849999999999999</v>
      </c>
      <c r="G69">
        <v>9.8769999999999999E-4</v>
      </c>
      <c r="H69">
        <v>0</v>
      </c>
      <c r="I69">
        <v>0</v>
      </c>
      <c r="J69">
        <v>0</v>
      </c>
    </row>
    <row r="70" spans="2:10" hidden="1" x14ac:dyDescent="0.25">
      <c r="B70" t="s">
        <v>626</v>
      </c>
      <c r="C70" t="s">
        <v>357</v>
      </c>
      <c r="D70">
        <v>6</v>
      </c>
      <c r="E70">
        <v>3.5830000000000001E-2</v>
      </c>
      <c r="F70">
        <v>0.18590000000000001</v>
      </c>
      <c r="G70">
        <v>1.279E-3</v>
      </c>
      <c r="H70">
        <v>0</v>
      </c>
      <c r="I70">
        <v>0</v>
      </c>
      <c r="J70">
        <v>1</v>
      </c>
    </row>
    <row r="71" spans="2:10" hidden="1" x14ac:dyDescent="0.25">
      <c r="B71" t="s">
        <v>627</v>
      </c>
      <c r="C71" t="s">
        <v>357</v>
      </c>
      <c r="D71">
        <v>7</v>
      </c>
      <c r="E71">
        <v>9.7170000000000006E-2</v>
      </c>
      <c r="F71">
        <v>0.29620000000000002</v>
      </c>
      <c r="G71">
        <v>2.3379999999999998E-3</v>
      </c>
      <c r="H71">
        <v>0</v>
      </c>
      <c r="I71">
        <v>0</v>
      </c>
      <c r="J71">
        <v>1</v>
      </c>
    </row>
    <row r="72" spans="2:10" hidden="1" x14ac:dyDescent="0.25">
      <c r="B72" t="s">
        <v>628</v>
      </c>
      <c r="C72" t="s">
        <v>357</v>
      </c>
      <c r="D72">
        <v>8</v>
      </c>
      <c r="E72">
        <v>0.17</v>
      </c>
      <c r="F72">
        <v>0.37569999999999998</v>
      </c>
      <c r="G72">
        <v>2.9629999999999999E-3</v>
      </c>
      <c r="H72">
        <v>0</v>
      </c>
      <c r="I72">
        <v>0</v>
      </c>
      <c r="J72">
        <v>1</v>
      </c>
    </row>
    <row r="73" spans="2:10" hidden="1" x14ac:dyDescent="0.25">
      <c r="B73" t="s">
        <v>629</v>
      </c>
      <c r="C73" t="s">
        <v>357</v>
      </c>
      <c r="D73">
        <v>9</v>
      </c>
      <c r="E73">
        <v>0.56000000000000005</v>
      </c>
      <c r="F73">
        <v>0.49640000000000001</v>
      </c>
      <c r="G73">
        <v>4.9069999999999999E-3</v>
      </c>
      <c r="H73">
        <v>0</v>
      </c>
      <c r="I73">
        <v>1</v>
      </c>
      <c r="J73">
        <v>1</v>
      </c>
    </row>
    <row r="74" spans="2:10" hidden="1" x14ac:dyDescent="0.25">
      <c r="B74" t="s">
        <v>630</v>
      </c>
      <c r="C74" t="s">
        <v>357</v>
      </c>
      <c r="D74">
        <v>10</v>
      </c>
      <c r="E74">
        <v>7.7899999999999997E-2</v>
      </c>
      <c r="F74">
        <v>0.26800000000000002</v>
      </c>
      <c r="G74">
        <v>2.552E-3</v>
      </c>
      <c r="H74">
        <v>0</v>
      </c>
      <c r="I74">
        <v>0</v>
      </c>
      <c r="J74">
        <v>1</v>
      </c>
    </row>
    <row r="75" spans="2:10" hidden="1" x14ac:dyDescent="0.25">
      <c r="B75" t="s">
        <v>631</v>
      </c>
      <c r="C75" t="s">
        <v>358</v>
      </c>
      <c r="D75">
        <v>1</v>
      </c>
      <c r="E75">
        <v>1.2670000000000001E-2</v>
      </c>
      <c r="F75">
        <v>0.1118</v>
      </c>
      <c r="G75">
        <v>1.088E-3</v>
      </c>
      <c r="H75">
        <v>0</v>
      </c>
      <c r="I75">
        <v>0</v>
      </c>
      <c r="J75">
        <v>0</v>
      </c>
    </row>
    <row r="76" spans="2:10" hidden="1" x14ac:dyDescent="0.25">
      <c r="B76" t="s">
        <v>632</v>
      </c>
      <c r="C76" t="s">
        <v>358</v>
      </c>
      <c r="D76">
        <v>2</v>
      </c>
      <c r="E76">
        <v>3.0970000000000001E-2</v>
      </c>
      <c r="F76">
        <v>0.17319999999999999</v>
      </c>
      <c r="G76">
        <v>2.062E-3</v>
      </c>
      <c r="H76">
        <v>0</v>
      </c>
      <c r="I76">
        <v>0</v>
      </c>
      <c r="J76">
        <v>1</v>
      </c>
    </row>
    <row r="77" spans="2:10" hidden="1" x14ac:dyDescent="0.25">
      <c r="B77" t="s">
        <v>633</v>
      </c>
      <c r="C77" t="s">
        <v>358</v>
      </c>
      <c r="D77">
        <v>3</v>
      </c>
      <c r="E77">
        <v>5.04E-2</v>
      </c>
      <c r="F77">
        <v>0.21879999999999999</v>
      </c>
      <c r="G77">
        <v>2.153E-3</v>
      </c>
      <c r="H77">
        <v>0</v>
      </c>
      <c r="I77">
        <v>0</v>
      </c>
      <c r="J77">
        <v>1</v>
      </c>
    </row>
    <row r="78" spans="2:10" hidden="1" x14ac:dyDescent="0.25">
      <c r="B78" t="s">
        <v>634</v>
      </c>
      <c r="C78" t="s">
        <v>358</v>
      </c>
      <c r="D78">
        <v>4</v>
      </c>
      <c r="E78">
        <v>6.6699999999999995E-2</v>
      </c>
      <c r="F78">
        <v>0.2495</v>
      </c>
      <c r="G78">
        <v>2.4299999999999999E-3</v>
      </c>
      <c r="H78">
        <v>0</v>
      </c>
      <c r="I78">
        <v>0</v>
      </c>
      <c r="J78">
        <v>1</v>
      </c>
    </row>
    <row r="79" spans="2:10" hidden="1" x14ac:dyDescent="0.25">
      <c r="B79" t="s">
        <v>635</v>
      </c>
      <c r="C79" t="s">
        <v>358</v>
      </c>
      <c r="D79">
        <v>5</v>
      </c>
      <c r="E79">
        <v>8.8569999999999996E-2</v>
      </c>
      <c r="F79">
        <v>0.28410000000000002</v>
      </c>
      <c r="G79">
        <v>2.6480000000000002E-3</v>
      </c>
      <c r="H79">
        <v>0</v>
      </c>
      <c r="I79">
        <v>0</v>
      </c>
      <c r="J79">
        <v>1</v>
      </c>
    </row>
    <row r="80" spans="2:10" hidden="1" x14ac:dyDescent="0.25">
      <c r="B80" t="s">
        <v>636</v>
      </c>
      <c r="C80" t="s">
        <v>358</v>
      </c>
      <c r="D80">
        <v>6</v>
      </c>
      <c r="E80">
        <v>0.1217</v>
      </c>
      <c r="F80">
        <v>0.32690000000000002</v>
      </c>
      <c r="G80">
        <v>3.8180000000000002E-3</v>
      </c>
      <c r="H80">
        <v>0</v>
      </c>
      <c r="I80">
        <v>0</v>
      </c>
      <c r="J80">
        <v>1</v>
      </c>
    </row>
    <row r="81" spans="2:10" hidden="1" x14ac:dyDescent="0.25">
      <c r="B81" t="s">
        <v>637</v>
      </c>
      <c r="C81" t="s">
        <v>358</v>
      </c>
      <c r="D81">
        <v>7</v>
      </c>
      <c r="E81">
        <v>0.28399999999999997</v>
      </c>
      <c r="F81">
        <v>0.45090000000000002</v>
      </c>
      <c r="G81">
        <v>4.6730000000000001E-3</v>
      </c>
      <c r="H81">
        <v>0</v>
      </c>
      <c r="I81">
        <v>0</v>
      </c>
      <c r="J81">
        <v>1</v>
      </c>
    </row>
    <row r="82" spans="2:10" hidden="1" x14ac:dyDescent="0.25">
      <c r="B82" t="s">
        <v>638</v>
      </c>
      <c r="C82" t="s">
        <v>358</v>
      </c>
      <c r="D82">
        <v>8</v>
      </c>
      <c r="E82">
        <v>0.19600000000000001</v>
      </c>
      <c r="F82">
        <v>0.39700000000000002</v>
      </c>
      <c r="G82">
        <v>4.1679999999999998E-3</v>
      </c>
      <c r="H82">
        <v>0</v>
      </c>
      <c r="I82">
        <v>0</v>
      </c>
      <c r="J82">
        <v>1</v>
      </c>
    </row>
    <row r="83" spans="2:10" hidden="1" x14ac:dyDescent="0.25">
      <c r="B83" t="s">
        <v>639</v>
      </c>
      <c r="C83" t="s">
        <v>358</v>
      </c>
      <c r="D83">
        <v>9</v>
      </c>
      <c r="E83">
        <v>0.14360000000000001</v>
      </c>
      <c r="F83">
        <v>0.35070000000000001</v>
      </c>
      <c r="G83">
        <v>4.2839999999999996E-3</v>
      </c>
      <c r="H83">
        <v>0</v>
      </c>
      <c r="I83">
        <v>0</v>
      </c>
      <c r="J83">
        <v>1</v>
      </c>
    </row>
    <row r="84" spans="2:10" hidden="1" x14ac:dyDescent="0.25">
      <c r="B84" t="s">
        <v>640</v>
      </c>
      <c r="C84" t="s">
        <v>358</v>
      </c>
      <c r="D84">
        <v>10</v>
      </c>
      <c r="E84">
        <v>5.4330000000000003E-3</v>
      </c>
      <c r="F84">
        <v>7.3510000000000006E-2</v>
      </c>
      <c r="G84">
        <v>6.0709999999999996E-4</v>
      </c>
      <c r="H84">
        <v>0</v>
      </c>
      <c r="I84">
        <v>0</v>
      </c>
      <c r="J84">
        <v>0</v>
      </c>
    </row>
    <row r="85" spans="2:10" hidden="1" x14ac:dyDescent="0.25">
      <c r="B85" t="s">
        <v>641</v>
      </c>
      <c r="C85" t="s">
        <v>359</v>
      </c>
      <c r="D85">
        <v>1</v>
      </c>
      <c r="E85">
        <v>1.2E-2</v>
      </c>
      <c r="F85">
        <v>0.1089</v>
      </c>
      <c r="G85">
        <v>8.8380000000000002E-4</v>
      </c>
      <c r="H85">
        <v>0</v>
      </c>
      <c r="I85">
        <v>0</v>
      </c>
      <c r="J85">
        <v>0</v>
      </c>
    </row>
    <row r="86" spans="2:10" hidden="1" x14ac:dyDescent="0.25">
      <c r="B86" t="s">
        <v>642</v>
      </c>
      <c r="C86" t="s">
        <v>359</v>
      </c>
      <c r="D86">
        <v>2</v>
      </c>
      <c r="E86">
        <v>4.3400000000000001E-2</v>
      </c>
      <c r="F86">
        <v>0.20380000000000001</v>
      </c>
      <c r="G86">
        <v>1.6570000000000001E-3</v>
      </c>
      <c r="H86">
        <v>0</v>
      </c>
      <c r="I86">
        <v>0</v>
      </c>
      <c r="J86">
        <v>1</v>
      </c>
    </row>
    <row r="87" spans="2:10" hidden="1" x14ac:dyDescent="0.25">
      <c r="B87" t="s">
        <v>643</v>
      </c>
      <c r="C87" t="s">
        <v>359</v>
      </c>
      <c r="D87">
        <v>3</v>
      </c>
      <c r="E87">
        <v>9.9570000000000006E-2</v>
      </c>
      <c r="F87">
        <v>0.2994</v>
      </c>
      <c r="G87">
        <v>2.728E-3</v>
      </c>
      <c r="H87">
        <v>0</v>
      </c>
      <c r="I87">
        <v>0</v>
      </c>
      <c r="J87">
        <v>1</v>
      </c>
    </row>
    <row r="88" spans="2:10" hidden="1" x14ac:dyDescent="0.25">
      <c r="B88" t="s">
        <v>644</v>
      </c>
      <c r="C88" t="s">
        <v>359</v>
      </c>
      <c r="D88">
        <v>4</v>
      </c>
      <c r="E88">
        <v>0.1903</v>
      </c>
      <c r="F88">
        <v>0.39250000000000002</v>
      </c>
      <c r="G88">
        <v>3.7759999999999998E-3</v>
      </c>
      <c r="H88">
        <v>0</v>
      </c>
      <c r="I88">
        <v>0</v>
      </c>
      <c r="J88">
        <v>1</v>
      </c>
    </row>
    <row r="89" spans="2:10" hidden="1" x14ac:dyDescent="0.25">
      <c r="B89" t="s">
        <v>645</v>
      </c>
      <c r="C89" t="s">
        <v>359</v>
      </c>
      <c r="D89">
        <v>5</v>
      </c>
      <c r="E89">
        <v>0.27150000000000002</v>
      </c>
      <c r="F89">
        <v>0.44479999999999997</v>
      </c>
      <c r="G89">
        <v>4.359E-3</v>
      </c>
      <c r="H89">
        <v>0</v>
      </c>
      <c r="I89">
        <v>0</v>
      </c>
      <c r="J89">
        <v>1</v>
      </c>
    </row>
    <row r="90" spans="2:10" hidden="1" x14ac:dyDescent="0.25">
      <c r="B90" t="s">
        <v>646</v>
      </c>
      <c r="C90" t="s">
        <v>359</v>
      </c>
      <c r="D90">
        <v>6</v>
      </c>
      <c r="E90">
        <v>0.2283</v>
      </c>
      <c r="F90">
        <v>0.41980000000000001</v>
      </c>
      <c r="G90">
        <v>4.6979999999999999E-3</v>
      </c>
      <c r="H90">
        <v>0</v>
      </c>
      <c r="I90">
        <v>0</v>
      </c>
      <c r="J90">
        <v>1</v>
      </c>
    </row>
    <row r="91" spans="2:10" hidden="1" x14ac:dyDescent="0.25">
      <c r="B91" t="s">
        <v>647</v>
      </c>
      <c r="C91" t="s">
        <v>359</v>
      </c>
      <c r="D91">
        <v>7</v>
      </c>
      <c r="E91">
        <v>0.12709999999999999</v>
      </c>
      <c r="F91">
        <v>0.33310000000000001</v>
      </c>
      <c r="G91">
        <v>5.3270000000000001E-3</v>
      </c>
      <c r="H91">
        <v>0</v>
      </c>
      <c r="I91">
        <v>0</v>
      </c>
      <c r="J91">
        <v>1</v>
      </c>
    </row>
    <row r="92" spans="2:10" hidden="1" x14ac:dyDescent="0.25">
      <c r="B92" t="s">
        <v>648</v>
      </c>
      <c r="C92" t="s">
        <v>359</v>
      </c>
      <c r="D92">
        <v>8</v>
      </c>
      <c r="E92">
        <v>2.3429999999999999E-2</v>
      </c>
      <c r="F92">
        <v>0.15129999999999999</v>
      </c>
      <c r="G92">
        <v>1.2589999999999999E-3</v>
      </c>
      <c r="H92">
        <v>0</v>
      </c>
      <c r="I92">
        <v>0</v>
      </c>
      <c r="J92">
        <v>0</v>
      </c>
    </row>
    <row r="93" spans="2:10" hidden="1" x14ac:dyDescent="0.25">
      <c r="B93" t="s">
        <v>649</v>
      </c>
      <c r="C93" t="s">
        <v>359</v>
      </c>
      <c r="D93">
        <v>9</v>
      </c>
      <c r="E93">
        <v>4.3670000000000002E-3</v>
      </c>
      <c r="F93">
        <v>6.5939999999999999E-2</v>
      </c>
      <c r="G93">
        <v>4.8759999999999998E-4</v>
      </c>
      <c r="H93">
        <v>0</v>
      </c>
      <c r="I93">
        <v>0</v>
      </c>
      <c r="J93">
        <v>0</v>
      </c>
    </row>
    <row r="94" spans="2:10" hidden="1" x14ac:dyDescent="0.25">
      <c r="B94" t="s">
        <v>650</v>
      </c>
      <c r="C94" t="s">
        <v>359</v>
      </c>
      <c r="D94">
        <v>10</v>
      </c>
      <c r="E94">
        <v>0</v>
      </c>
      <c r="F94">
        <v>0</v>
      </c>
      <c r="G94">
        <v>3.333E-13</v>
      </c>
      <c r="H94">
        <v>0</v>
      </c>
      <c r="I94">
        <v>0</v>
      </c>
      <c r="J94">
        <v>0</v>
      </c>
    </row>
    <row r="95" spans="2:10" hidden="1" x14ac:dyDescent="0.25">
      <c r="B95" t="s">
        <v>651</v>
      </c>
      <c r="C95" t="s">
        <v>360</v>
      </c>
      <c r="D95">
        <v>1</v>
      </c>
      <c r="E95">
        <v>0</v>
      </c>
      <c r="F95">
        <v>0</v>
      </c>
      <c r="G95">
        <v>3.333E-13</v>
      </c>
      <c r="H95">
        <v>0</v>
      </c>
      <c r="I95">
        <v>0</v>
      </c>
      <c r="J95">
        <v>0</v>
      </c>
    </row>
    <row r="96" spans="2:10" hidden="1" x14ac:dyDescent="0.25">
      <c r="B96" t="s">
        <v>652</v>
      </c>
      <c r="C96" t="s">
        <v>360</v>
      </c>
      <c r="D96">
        <v>2</v>
      </c>
      <c r="E96">
        <v>0</v>
      </c>
      <c r="F96">
        <v>0</v>
      </c>
      <c r="G96">
        <v>3.333E-13</v>
      </c>
      <c r="H96">
        <v>0</v>
      </c>
      <c r="I96">
        <v>0</v>
      </c>
      <c r="J96">
        <v>0</v>
      </c>
    </row>
    <row r="97" spans="2:10" hidden="1" x14ac:dyDescent="0.25">
      <c r="B97" t="s">
        <v>653</v>
      </c>
      <c r="C97" t="s">
        <v>360</v>
      </c>
      <c r="D97">
        <v>3</v>
      </c>
      <c r="E97">
        <v>0</v>
      </c>
      <c r="F97">
        <v>0</v>
      </c>
      <c r="G97">
        <v>3.333E-13</v>
      </c>
      <c r="H97">
        <v>0</v>
      </c>
      <c r="I97">
        <v>0</v>
      </c>
      <c r="J97">
        <v>0</v>
      </c>
    </row>
    <row r="98" spans="2:10" hidden="1" x14ac:dyDescent="0.25">
      <c r="B98" t="s">
        <v>654</v>
      </c>
      <c r="C98" t="s">
        <v>360</v>
      </c>
      <c r="D98">
        <v>4</v>
      </c>
      <c r="E98">
        <v>0</v>
      </c>
      <c r="F98">
        <v>0</v>
      </c>
      <c r="G98">
        <v>3.333E-13</v>
      </c>
      <c r="H98">
        <v>0</v>
      </c>
      <c r="I98">
        <v>0</v>
      </c>
      <c r="J98">
        <v>0</v>
      </c>
    </row>
    <row r="99" spans="2:10" hidden="1" x14ac:dyDescent="0.25">
      <c r="B99" t="s">
        <v>655</v>
      </c>
      <c r="C99" t="s">
        <v>360</v>
      </c>
      <c r="D99">
        <v>5</v>
      </c>
      <c r="E99">
        <v>0</v>
      </c>
      <c r="F99">
        <v>0</v>
      </c>
      <c r="G99">
        <v>3.333E-13</v>
      </c>
      <c r="H99">
        <v>0</v>
      </c>
      <c r="I99">
        <v>0</v>
      </c>
      <c r="J99">
        <v>0</v>
      </c>
    </row>
    <row r="100" spans="2:10" hidden="1" x14ac:dyDescent="0.25">
      <c r="B100" t="s">
        <v>656</v>
      </c>
      <c r="C100" t="s">
        <v>360</v>
      </c>
      <c r="D100">
        <v>6</v>
      </c>
      <c r="E100">
        <v>0</v>
      </c>
      <c r="F100">
        <v>0</v>
      </c>
      <c r="G100">
        <v>3.333E-13</v>
      </c>
      <c r="H100">
        <v>0</v>
      </c>
      <c r="I100">
        <v>0</v>
      </c>
      <c r="J100">
        <v>0</v>
      </c>
    </row>
    <row r="101" spans="2:10" hidden="1" x14ac:dyDescent="0.25">
      <c r="B101" t="s">
        <v>657</v>
      </c>
      <c r="C101" t="s">
        <v>360</v>
      </c>
      <c r="D101">
        <v>7</v>
      </c>
      <c r="E101">
        <v>6.6669999999999997E-5</v>
      </c>
      <c r="F101">
        <v>8.1650000000000004E-3</v>
      </c>
      <c r="G101">
        <v>4.7219999999999999E-5</v>
      </c>
      <c r="H101">
        <v>0</v>
      </c>
      <c r="I101">
        <v>0</v>
      </c>
      <c r="J101">
        <v>0</v>
      </c>
    </row>
    <row r="102" spans="2:10" hidden="1" x14ac:dyDescent="0.25">
      <c r="B102" t="s">
        <v>658</v>
      </c>
      <c r="C102" t="s">
        <v>360</v>
      </c>
      <c r="D102">
        <v>8</v>
      </c>
      <c r="E102">
        <v>2.1329999999999999E-3</v>
      </c>
      <c r="F102">
        <v>4.614E-2</v>
      </c>
      <c r="G102">
        <v>3.1129999999999998E-4</v>
      </c>
      <c r="H102">
        <v>0</v>
      </c>
      <c r="I102">
        <v>0</v>
      </c>
      <c r="J102">
        <v>0</v>
      </c>
    </row>
    <row r="103" spans="2:10" hidden="1" x14ac:dyDescent="0.25">
      <c r="B103" t="s">
        <v>659</v>
      </c>
      <c r="C103" t="s">
        <v>360</v>
      </c>
      <c r="D103">
        <v>9</v>
      </c>
      <c r="E103">
        <v>8.2000000000000003E-2</v>
      </c>
      <c r="F103">
        <v>0.27439999999999998</v>
      </c>
      <c r="G103">
        <v>2.637E-3</v>
      </c>
      <c r="H103">
        <v>0</v>
      </c>
      <c r="I103">
        <v>0</v>
      </c>
      <c r="J103">
        <v>1</v>
      </c>
    </row>
    <row r="104" spans="2:10" hidden="1" x14ac:dyDescent="0.25">
      <c r="B104" t="s">
        <v>660</v>
      </c>
      <c r="C104" t="s">
        <v>360</v>
      </c>
      <c r="D104">
        <v>10</v>
      </c>
      <c r="E104">
        <v>0.91579999999999995</v>
      </c>
      <c r="F104">
        <v>0.2777</v>
      </c>
      <c r="G104">
        <v>2.6949999999999999E-3</v>
      </c>
      <c r="H104">
        <v>0</v>
      </c>
      <c r="I104">
        <v>1</v>
      </c>
      <c r="J104">
        <v>1</v>
      </c>
    </row>
    <row r="105" spans="2:10" hidden="1" x14ac:dyDescent="0.25"/>
    <row r="106" spans="2:10" hidden="1" x14ac:dyDescent="0.25"/>
    <row r="107" spans="2:10" hidden="1" x14ac:dyDescent="0.25"/>
    <row r="108" spans="2:10" hidden="1" x14ac:dyDescent="0.25"/>
    <row r="109" spans="2:10" hidden="1" x14ac:dyDescent="0.25"/>
    <row r="110" spans="2:10" hidden="1" x14ac:dyDescent="0.25"/>
    <row r="111" spans="2:10" hidden="1" x14ac:dyDescent="0.25"/>
    <row r="112" spans="2:10"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sheetData>
  <dataConsolidate/>
  <mergeCells count="1">
    <mergeCell ref="B3:J3"/>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549E"/>
  </sheetPr>
  <dimension ref="B2:P46"/>
  <sheetViews>
    <sheetView showGridLines="0" topLeftCell="A2" zoomScale="120" zoomScaleNormal="120" workbookViewId="0">
      <selection activeCell="D38" sqref="D38"/>
    </sheetView>
  </sheetViews>
  <sheetFormatPr defaultRowHeight="15" x14ac:dyDescent="0.25"/>
  <cols>
    <col min="1" max="1" width="12.140625" customWidth="1"/>
    <col min="3" max="3" width="44.7109375" customWidth="1"/>
    <col min="4" max="4" width="29.28515625" customWidth="1"/>
    <col min="5" max="5" width="8.28515625" customWidth="1"/>
    <col min="8" max="8" width="37.140625" customWidth="1"/>
    <col min="9" max="9" width="10" customWidth="1"/>
  </cols>
  <sheetData>
    <row r="2" spans="2:16" x14ac:dyDescent="0.25">
      <c r="P2" t="s">
        <v>230</v>
      </c>
    </row>
    <row r="3" spans="2:16" x14ac:dyDescent="0.25">
      <c r="P3" t="s">
        <v>229</v>
      </c>
    </row>
    <row r="7" spans="2:16" ht="15.75" thickBot="1" x14ac:dyDescent="0.3">
      <c r="F7" s="149"/>
      <c r="G7" s="149"/>
      <c r="H7" s="149"/>
    </row>
    <row r="8" spans="2:16" ht="15.75" thickTop="1" x14ac:dyDescent="0.25">
      <c r="B8" s="20"/>
      <c r="C8" s="18" t="s">
        <v>35</v>
      </c>
      <c r="D8" s="175">
        <f>'Winbugs Settings '!burn_in</f>
        <v>10000</v>
      </c>
      <c r="F8" s="150"/>
      <c r="G8" s="151"/>
      <c r="H8" s="152"/>
    </row>
    <row r="9" spans="2:16" ht="15.75" thickBot="1" x14ac:dyDescent="0.3">
      <c r="B9" s="20"/>
      <c r="C9" s="18" t="s">
        <v>36</v>
      </c>
      <c r="D9" s="175">
        <f>'Winbugs Settings '!model_runs</f>
        <v>10000</v>
      </c>
      <c r="F9" s="153"/>
      <c r="G9" s="154"/>
      <c r="H9" s="155"/>
    </row>
    <row r="10" spans="2:16" ht="15.75" customHeight="1" thickTop="1" thickBot="1" x14ac:dyDescent="0.3">
      <c r="B10" s="21"/>
      <c r="C10" s="23" t="s">
        <v>130</v>
      </c>
      <c r="D10" s="72" t="b">
        <v>0</v>
      </c>
      <c r="F10" s="156"/>
      <c r="G10" s="157"/>
      <c r="H10" s="158"/>
    </row>
    <row r="11" spans="2:16" ht="15.75" customHeight="1" thickTop="1" thickBot="1" x14ac:dyDescent="0.3">
      <c r="B11" s="21"/>
      <c r="C11" s="23" t="s">
        <v>216</v>
      </c>
      <c r="D11" s="72" t="b">
        <v>1</v>
      </c>
      <c r="F11" s="156"/>
      <c r="G11" s="157"/>
      <c r="H11" s="158"/>
    </row>
    <row r="12" spans="2:16" ht="15.75" customHeight="1" thickTop="1" x14ac:dyDescent="0.25">
      <c r="B12" s="20"/>
      <c r="C12" s="18" t="s">
        <v>125</v>
      </c>
      <c r="D12" s="72" t="b">
        <v>1</v>
      </c>
      <c r="F12" s="150"/>
      <c r="G12" s="159"/>
      <c r="H12" s="160"/>
    </row>
    <row r="13" spans="2:16" x14ac:dyDescent="0.25">
      <c r="B13" s="20"/>
      <c r="C13" s="18" t="s">
        <v>66</v>
      </c>
      <c r="D13" s="72" t="b">
        <v>0</v>
      </c>
      <c r="F13" s="161"/>
      <c r="G13" s="162"/>
      <c r="H13" s="163"/>
    </row>
    <row r="14" spans="2:16" x14ac:dyDescent="0.25">
      <c r="B14" s="20"/>
      <c r="C14" s="18" t="s">
        <v>161</v>
      </c>
      <c r="D14" s="72" t="b">
        <v>0</v>
      </c>
      <c r="F14" s="161"/>
      <c r="G14" s="162"/>
      <c r="H14" s="163"/>
    </row>
    <row r="15" spans="2:16" x14ac:dyDescent="0.25">
      <c r="B15" s="20"/>
      <c r="C15" s="18" t="s">
        <v>131</v>
      </c>
      <c r="D15" s="72" t="b">
        <v>0</v>
      </c>
      <c r="F15" s="161"/>
      <c r="G15" s="162"/>
      <c r="H15" s="163"/>
    </row>
    <row r="16" spans="2:16" x14ac:dyDescent="0.25">
      <c r="B16" s="20"/>
      <c r="C16" s="18" t="s">
        <v>38</v>
      </c>
      <c r="D16" s="72" t="b">
        <v>1</v>
      </c>
      <c r="F16" s="161"/>
      <c r="G16" s="162"/>
      <c r="H16" s="163"/>
    </row>
    <row r="17" spans="2:8" x14ac:dyDescent="0.25">
      <c r="B17" s="20"/>
      <c r="C17" s="18" t="s">
        <v>39</v>
      </c>
      <c r="D17" s="72" t="b">
        <v>1</v>
      </c>
      <c r="F17" s="161"/>
      <c r="G17" s="162"/>
      <c r="H17" s="163"/>
    </row>
    <row r="18" spans="2:8" x14ac:dyDescent="0.25">
      <c r="B18" s="20"/>
      <c r="C18" s="18" t="s">
        <v>224</v>
      </c>
      <c r="D18" s="72" t="b">
        <v>1</v>
      </c>
      <c r="F18" s="161"/>
      <c r="G18" s="162"/>
      <c r="H18" s="163"/>
    </row>
    <row r="19" spans="2:8" ht="15.75" thickBot="1" x14ac:dyDescent="0.3">
      <c r="B19" s="20"/>
      <c r="C19" s="18" t="s">
        <v>124</v>
      </c>
      <c r="D19" s="72" t="b">
        <v>1</v>
      </c>
      <c r="F19" s="164"/>
      <c r="G19" s="165"/>
      <c r="H19" s="166"/>
    </row>
    <row r="20" spans="2:8" ht="15.75" thickTop="1" x14ac:dyDescent="0.25">
      <c r="B20" s="20"/>
      <c r="C20" s="18" t="s">
        <v>68</v>
      </c>
      <c r="D20" s="72" t="b">
        <f>'Winbugs Settings '!trace_or</f>
        <v>1</v>
      </c>
      <c r="F20" s="150"/>
      <c r="G20" s="159"/>
      <c r="H20" s="160"/>
    </row>
    <row r="21" spans="2:8" x14ac:dyDescent="0.25">
      <c r="B21" s="20"/>
      <c r="C21" s="18" t="s">
        <v>69</v>
      </c>
      <c r="D21" s="72" t="b">
        <v>0</v>
      </c>
      <c r="F21" s="161"/>
      <c r="G21" s="162"/>
      <c r="H21" s="163"/>
    </row>
    <row r="22" spans="2:8" x14ac:dyDescent="0.25">
      <c r="B22" s="20"/>
      <c r="C22" s="18" t="s">
        <v>67</v>
      </c>
      <c r="D22" s="72" t="b">
        <f>'Winbugs Settings '!gr_or</f>
        <v>1</v>
      </c>
      <c r="F22" s="161"/>
      <c r="G22" s="162"/>
      <c r="H22" s="163"/>
    </row>
    <row r="23" spans="2:8" ht="15.75" thickBot="1" x14ac:dyDescent="0.3">
      <c r="B23" s="20"/>
      <c r="C23" s="18" t="s">
        <v>70</v>
      </c>
      <c r="D23" s="72" t="b">
        <v>0</v>
      </c>
      <c r="F23" s="164"/>
      <c r="G23" s="165"/>
      <c r="H23" s="166"/>
    </row>
    <row r="24" spans="2:8" ht="15.75" thickTop="1" x14ac:dyDescent="0.25">
      <c r="B24" s="20"/>
      <c r="C24" s="18" t="s">
        <v>40</v>
      </c>
      <c r="D24" s="72" t="b">
        <v>1</v>
      </c>
      <c r="F24" s="150"/>
      <c r="G24" s="159"/>
      <c r="H24" s="160"/>
    </row>
    <row r="25" spans="2:8" ht="15.75" thickBot="1" x14ac:dyDescent="0.3">
      <c r="B25" s="20"/>
      <c r="C25" s="18" t="s">
        <v>72</v>
      </c>
      <c r="D25" s="72" t="b">
        <v>1</v>
      </c>
      <c r="F25" s="164"/>
      <c r="G25" s="165"/>
      <c r="H25" s="166"/>
    </row>
    <row r="26" spans="2:8" ht="17.25" customHeight="1" thickTop="1" x14ac:dyDescent="0.25">
      <c r="B26" s="20"/>
      <c r="C26" s="18" t="s">
        <v>152</v>
      </c>
      <c r="D26" s="175" t="s">
        <v>227</v>
      </c>
      <c r="F26" s="150"/>
      <c r="G26" s="159"/>
      <c r="H26" s="160"/>
    </row>
    <row r="27" spans="2:8" ht="17.25" customHeight="1" thickBot="1" x14ac:dyDescent="0.3">
      <c r="B27" s="20"/>
      <c r="C27" s="18" t="s">
        <v>153</v>
      </c>
      <c r="D27" s="175" t="s">
        <v>144</v>
      </c>
      <c r="F27" s="164"/>
      <c r="G27" s="165"/>
      <c r="H27" s="166"/>
    </row>
    <row r="28" spans="2:8" ht="15.75" customHeight="1" thickTop="1" x14ac:dyDescent="0.25">
      <c r="B28" s="20"/>
      <c r="C28" s="18" t="s">
        <v>136</v>
      </c>
      <c r="D28" s="74">
        <f>'Winbugs Settings '!inits_low</f>
        <v>0</v>
      </c>
      <c r="F28" s="150"/>
      <c r="G28" s="159"/>
      <c r="H28" s="160"/>
    </row>
    <row r="29" spans="2:8" ht="15" customHeight="1" x14ac:dyDescent="0.25">
      <c r="B29" s="20"/>
      <c r="C29" s="18" t="s">
        <v>137</v>
      </c>
      <c r="D29" s="74">
        <f>'Winbugs Settings '!inits_high</f>
        <v>2</v>
      </c>
      <c r="F29" s="161"/>
      <c r="G29" s="162"/>
      <c r="H29" s="163"/>
    </row>
    <row r="30" spans="2:8" ht="15" customHeight="1" x14ac:dyDescent="0.25">
      <c r="B30" s="20"/>
      <c r="C30" s="18" t="s">
        <v>134</v>
      </c>
      <c r="D30" s="74">
        <f>'Winbugs Settings '!sd_low</f>
        <v>1</v>
      </c>
      <c r="F30" s="161"/>
      <c r="G30" s="162"/>
      <c r="H30" s="163"/>
    </row>
    <row r="31" spans="2:8" ht="15.75" customHeight="1" thickBot="1" x14ac:dyDescent="0.3">
      <c r="B31" s="20"/>
      <c r="C31" s="18" t="s">
        <v>135</v>
      </c>
      <c r="D31" s="74">
        <f>'Winbugs Settings '!sd_high</f>
        <v>2</v>
      </c>
      <c r="F31" s="164"/>
      <c r="G31" s="165"/>
      <c r="H31" s="166"/>
    </row>
    <row r="32" spans="2:8" ht="16.5" thickTop="1" thickBot="1" x14ac:dyDescent="0.3">
      <c r="C32" s="24" t="s">
        <v>34</v>
      </c>
      <c r="D32" s="71" t="str">
        <f>'Winbugs Settings '!winbugs_directory</f>
        <v>C:\Program Files\WinBUGS14\</v>
      </c>
      <c r="E32" t="s">
        <v>82</v>
      </c>
      <c r="F32" s="156"/>
      <c r="G32" s="157"/>
      <c r="H32" s="158"/>
    </row>
    <row r="33" spans="3:8" ht="15.75" thickTop="1" x14ac:dyDescent="0.25">
      <c r="C33" s="25" t="s">
        <v>48</v>
      </c>
      <c r="D33" s="71" t="str">
        <f>'Winbugs Settings '!data_directory</f>
        <v>C:\WinBUGS data\</v>
      </c>
      <c r="F33" s="150"/>
      <c r="G33" s="159"/>
      <c r="H33" s="160"/>
    </row>
    <row r="34" spans="3:8" ht="15.75" thickBot="1" x14ac:dyDescent="0.3">
      <c r="C34" s="24" t="s">
        <v>49</v>
      </c>
      <c r="D34" s="71" t="str">
        <f>'Winbugs Settings '!results_directory</f>
        <v>C:\WinBUGS Results\</v>
      </c>
      <c r="F34" s="164"/>
      <c r="G34" s="165"/>
      <c r="H34" s="166"/>
    </row>
    <row r="35" spans="3:8" ht="15.75" thickTop="1" x14ac:dyDescent="0.25">
      <c r="C35" s="18" t="s">
        <v>56</v>
      </c>
      <c r="D35" s="72" t="str">
        <f>'Winbugs Settings '!FEresults_name</f>
        <v>Fixed Effect Results</v>
      </c>
      <c r="F35" s="150"/>
      <c r="G35" s="159"/>
      <c r="H35" s="160"/>
    </row>
    <row r="36" spans="3:8" ht="15.75" thickBot="1" x14ac:dyDescent="0.3">
      <c r="C36" s="18" t="s">
        <v>57</v>
      </c>
      <c r="D36" s="72" t="str">
        <f>CONCATENATE('Winbugs Settings '!REresults_name, " (", IF(vague_prior,"Vague )","Informative)"))</f>
        <v>Random Effect Results (Vague )</v>
      </c>
      <c r="F36" s="164"/>
      <c r="G36" s="165"/>
      <c r="H36" s="166"/>
    </row>
    <row r="37" spans="3:8" ht="15.75" thickTop="1" x14ac:dyDescent="0.25">
      <c r="C37" s="18" t="s">
        <v>51</v>
      </c>
      <c r="D37" s="72" t="str">
        <f>'Winbugs Settings '!FEmodel_name</f>
        <v>Fixed Effect Model</v>
      </c>
      <c r="F37" s="149"/>
      <c r="G37" s="149"/>
      <c r="H37" s="149"/>
    </row>
    <row r="38" spans="3:8" x14ac:dyDescent="0.25">
      <c r="C38" s="18" t="s">
        <v>52</v>
      </c>
      <c r="D38" s="72" t="str">
        <f>CONCATENATE('Winbugs Settings '!REmodel_name, " (", IF(vague_prior,"Vague)","Informative)"))</f>
        <v>Random Effect Model (Vague)</v>
      </c>
      <c r="F38" s="149"/>
      <c r="G38" s="149"/>
      <c r="H38" s="149"/>
    </row>
    <row r="39" spans="3:8" x14ac:dyDescent="0.25">
      <c r="C39" s="18" t="s">
        <v>50</v>
      </c>
      <c r="D39" s="72" t="str">
        <f>'Winbugs Settings '!data_name</f>
        <v>Data Table</v>
      </c>
      <c r="F39" s="149"/>
      <c r="G39" s="149"/>
      <c r="H39" s="149"/>
    </row>
    <row r="40" spans="3:8" x14ac:dyDescent="0.25">
      <c r="C40" s="18" t="s">
        <v>53</v>
      </c>
      <c r="D40" s="72" t="str">
        <f>'Winbugs Settings '!datalist_name</f>
        <v>Data List</v>
      </c>
      <c r="F40" s="149"/>
      <c r="G40" s="149"/>
      <c r="H40" s="149"/>
    </row>
    <row r="41" spans="3:8" x14ac:dyDescent="0.25">
      <c r="C41" s="18" t="s">
        <v>55</v>
      </c>
      <c r="D41" s="72" t="str">
        <f>'Winbugs Settings '!FEinits_name</f>
        <v>Fixed Effect Inits</v>
      </c>
      <c r="F41" s="149"/>
      <c r="G41" s="149"/>
      <c r="H41" s="149"/>
    </row>
    <row r="42" spans="3:8" x14ac:dyDescent="0.25">
      <c r="C42" s="18" t="s">
        <v>267</v>
      </c>
      <c r="D42" s="72" t="str">
        <f>CONCATENATE('Winbugs Settings '!REVinits_name, " (", IF(vague_prior,"Vague)","Informative)"))</f>
        <v>Random Effect Inits (Vague)</v>
      </c>
      <c r="F42" s="149"/>
      <c r="G42" s="149"/>
      <c r="H42" s="149"/>
    </row>
    <row r="43" spans="3:8" x14ac:dyDescent="0.25">
      <c r="C43" s="18" t="s">
        <v>41</v>
      </c>
      <c r="D43" s="73" t="str">
        <f ca="1">IF('Winbugs Settings '!date_time,TEXT(NOW()," m d yyyy h mm ss AM/PM"),"")</f>
        <v xml:space="preserve"> 2 5 2018 3 55 13 PM</v>
      </c>
      <c r="F43" s="149"/>
      <c r="G43" s="149"/>
      <c r="H43" s="149"/>
    </row>
    <row r="44" spans="3:8" x14ac:dyDescent="0.25">
      <c r="C44" s="18" t="s">
        <v>107</v>
      </c>
      <c r="D44" s="74" t="b">
        <v>1</v>
      </c>
      <c r="F44" s="149"/>
      <c r="G44" s="149"/>
      <c r="H44" s="149"/>
    </row>
    <row r="45" spans="3:8" x14ac:dyDescent="0.25">
      <c r="C45" s="18" t="s">
        <v>162</v>
      </c>
      <c r="D45" s="74" t="b">
        <v>1</v>
      </c>
      <c r="F45" s="149"/>
      <c r="G45" s="149"/>
      <c r="H45" s="149"/>
    </row>
    <row r="46" spans="3:8" x14ac:dyDescent="0.25">
      <c r="F46" s="149"/>
      <c r="G46" s="149"/>
      <c r="H46" s="149"/>
    </row>
  </sheetData>
  <sheetProtection formatRows="0"/>
  <dataValidations disablePrompts="1" count="2">
    <dataValidation type="list" allowBlank="1" showInputMessage="1" showErrorMessage="1" sqref="D26">
      <formula1>intervention_type</formula1>
    </dataValidation>
    <dataValidation type="list" allowBlank="1" showInputMessage="1" showErrorMessage="1" sqref="D27">
      <formula1>outcome_type</formula1>
    </dataValidation>
  </dataValidations>
  <pageMargins left="0.7" right="0.7" top="0.75" bottom="0.75" header="0.3" footer="0.3"/>
  <pageSetup orientation="portrait" r:id="rId1"/>
  <customProperties>
    <customPr name="SSCSheetTrackingNo" r:id="rId2"/>
  </customProperties>
  <drawing r:id="rId3"/>
</worksheet>
</file>

<file path=customUI/customUI.xml><?xml version="1.0" encoding="utf-8"?>
<customUI xmlns="http://schemas.microsoft.com/office/2006/01/customui">
  <ribbon>
    <tabs>
      <tab id="simTab" label="WinBUGS">
        <group id="grp1" label="Run Analyses">
          <button id="convert" label="Convert Data" imageMso="DatabaseEncodeDecode" size="large" onAction="Make_WinBUGS_table"/>
          <button id="runWinBUGS" label="Run WinBUGS" imageMso="MacroPlay" size="large" onAction="Run_winbugs"/>
          <button id="openWinBUGS" label="Open WinBUGS" imageMso="StartTimer" size="large" onAction="Open_winbugs"/>
        </group>
        <group id="grp2" label="Fixed Effects">
          <button id="FeText" label="Text Results" imageMso="AcceptInvitation" size="large" onAction="FE_results"/>
          <button id="FeForest" label="Forest Plot" imageMso="Chart3DBarChart" size="large" onAction="FE_forest"/>
          <button id="FeLeague" label="League Table" imageMso="ViewGridlinesWord" size="large" onAction="FE_step"/>
          <button id="FeRank" label="Rankogram" imageMso="Chart3DColumnChart" size="large" onAction="FE_rankogram"/>
          <button id="FeWinbugs" label="View In WinBUGS" imageMso="ImportSavedImports" size="large" onAction="open_FE_results"/>
        </group>
        <group id="grp3" label="Random Effects (Vague Prior)">
          <button id="ReText" label="Text Results" imageMso="AcceptInvitation" size="large" onAction="RE_results"/>
          <button id="ReForest" label="Forest Plot" imageMso="Chart3DBarChart" size="large" onAction="RE_forest"/>
          <button id="ReVLeague" label="League Table" imageMso="ViewGridlinesWord" size="large" onAction="ReV_step"/>
          <button id="ReRank" label="Rankogram" imageMso="Chart3DColumnChart" size="large" onAction="RE_rankogram"/>
          <button id="ReWinbugs" label="View In WinBUGS" imageMso="ImportSavedImports" size="large" onAction="open_RE_results"/>
        </group>
        <group id="grp4" label="Random Effects (Informative Prior)">
          <button id="InforText" label="Text Results" imageMso="AcceptInvitation" size="large" onAction="infor_results"/>
          <button id="InforForest" label="Forest Plot" imageMso="Chart3DBarChart" size="large" onAction="infor_forest"/>
          <button id="ReILeague" label="League Table" imageMso="ViewGridlinesWord" size="large" onAction="ReI_step"/>
          <button id="InforRank" label="Rankogram" imageMso="Chart3DColumnChart" size="large" onAction="infor_rankogram"/>
          <button id="InforWinbugs" label="View In WinBUGS" imageMso="ImportSavedImports" size="large" onAction="open_infor_results"/>
        </group>
        <group id="grp5" label="Inconsistency" tag="Incon_show">
          <button id="InconResults" label="Inconsistency Graph" imageMso="AcceptInvitation" size="large" onAction="Incon_results"/>
        </group>
        <group id="grp6" label="Delete">
          <button id="runDelInp" label="Delete Inputs" imageMso="Delete" size="large" onAction="Delete_inputs"/>
          <button id="runDelRel" label="Delete Results" imageMso="Delete" size="large" onAction="Delete_results"/>
        </group>
        <group id="grp7" label="Network Diagram" tag="Diagram_show">
          <button id="generateDiag" label="Generate Diagram" imageMso="CreateModule" size="large" onAction="radius"/>
          <button id="reConnect" label="ReDraw Connectsions" imageMso="RecurrenceEdit" size="large" onAction="ReConnector"/>
          <button id="deleteDiag" label="Delete Diagram" imageMso="Delete" size="large" onAction="DeleteAllAutoShapes"/>
        </group>
        <group id="grp8" label="Information">
          <button id="showLegend" label="Legend" imageMso="ViewsLayoutView" size="large" onAction="show_legend"/>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108</vt:i4>
      </vt:variant>
    </vt:vector>
  </HeadingPairs>
  <TitlesOfParts>
    <vt:vector size="142" baseType="lpstr">
      <vt:lpstr>Cover</vt:lpstr>
      <vt:lpstr>Winbugs Settings </vt:lpstr>
      <vt:lpstr>DATA Input</vt:lpstr>
      <vt:lpstr>Diagram Data</vt:lpstr>
      <vt:lpstr>WINBUGS data</vt:lpstr>
      <vt:lpstr>WINBUGS Data Inconsistency</vt:lpstr>
      <vt:lpstr>Data Summary</vt:lpstr>
      <vt:lpstr>Network Diagram</vt:lpstr>
      <vt:lpstr>Forest Plot</vt:lpstr>
      <vt:lpstr>League Table</vt:lpstr>
      <vt:lpstr>Rankogram</vt:lpstr>
      <vt:lpstr>Inconsistency Data</vt:lpstr>
      <vt:lpstr>Inconsistency Results</vt:lpstr>
      <vt:lpstr>FE Results</vt:lpstr>
      <vt:lpstr>RE Results (Vague Prior)</vt:lpstr>
      <vt:lpstr>RE Results (Informative Prior)</vt:lpstr>
      <vt:lpstr>FE Inconsistency Results</vt:lpstr>
      <vt:lpstr>RE Inconsistency Results</vt:lpstr>
      <vt:lpstr>Informative Priors</vt:lpstr>
      <vt:lpstr>Data Table</vt:lpstr>
      <vt:lpstr>FE Script</vt:lpstr>
      <vt:lpstr>RE Script</vt:lpstr>
      <vt:lpstr>FE Inconsistency Script </vt:lpstr>
      <vt:lpstr>RE Inconsistency Script</vt:lpstr>
      <vt:lpstr>FE Model</vt:lpstr>
      <vt:lpstr>Fixed Effects</vt:lpstr>
      <vt:lpstr>RE Model</vt:lpstr>
      <vt:lpstr>League Table Data</vt:lpstr>
      <vt:lpstr>Random Effects  (Informative)</vt:lpstr>
      <vt:lpstr>Random Effects (Vague)</vt:lpstr>
      <vt:lpstr>FE Inconsistency Model</vt:lpstr>
      <vt:lpstr>RE Inconsistency Model</vt:lpstr>
      <vt:lpstr>Rankogram Data</vt:lpstr>
      <vt:lpstr>Variables</vt:lpstr>
      <vt:lpstr>ab_names</vt:lpstr>
      <vt:lpstr>auto_run</vt:lpstr>
      <vt:lpstr>best</vt:lpstr>
      <vt:lpstr>bottom</vt:lpstr>
      <vt:lpstr>'Winbugs Settings '!burn_in</vt:lpstr>
      <vt:lpstr>burn_in</vt:lpstr>
      <vt:lpstr>chart_type</vt:lpstr>
      <vt:lpstr>'Winbugs Settings '!data_directory</vt:lpstr>
      <vt:lpstr>data_directory</vt:lpstr>
      <vt:lpstr>'Winbugs Settings '!data_name</vt:lpstr>
      <vt:lpstr>data_name</vt:lpstr>
      <vt:lpstr>'Winbugs Settings '!datalist_name</vt:lpstr>
      <vt:lpstr>datalist_name</vt:lpstr>
      <vt:lpstr>'Winbugs Settings '!date_time</vt:lpstr>
      <vt:lpstr>date_time</vt:lpstr>
      <vt:lpstr>diag_radius</vt:lpstr>
      <vt:lpstr>DIC</vt:lpstr>
      <vt:lpstr>events_bad</vt:lpstr>
      <vt:lpstr>'Diagram Data'!Extract</vt:lpstr>
      <vt:lpstr>'WINBUGS Data Inconsistency'!FE_inits</vt:lpstr>
      <vt:lpstr>FE_inits</vt:lpstr>
      <vt:lpstr>'Winbugs Settings '!FEinits_name</vt:lpstr>
      <vt:lpstr>FEinits_name</vt:lpstr>
      <vt:lpstr>'Winbugs Settings '!FEmodel_name</vt:lpstr>
      <vt:lpstr>FEmodel_name</vt:lpstr>
      <vt:lpstr>'Winbugs Settings '!FEresults_name</vt:lpstr>
      <vt:lpstr>FEresults_name</vt:lpstr>
      <vt:lpstr>Forest</vt:lpstr>
      <vt:lpstr>'Winbugs Settings '!gr_or</vt:lpstr>
      <vt:lpstr>gr_or</vt:lpstr>
      <vt:lpstr>gr_rr</vt:lpstr>
      <vt:lpstr>'Winbugs Settings '!incon</vt:lpstr>
      <vt:lpstr>incon</vt:lpstr>
      <vt:lpstr>'Winbugs Settings '!incon_list</vt:lpstr>
      <vt:lpstr>incon_list</vt:lpstr>
      <vt:lpstr>'Winbugs Settings '!inits_high</vt:lpstr>
      <vt:lpstr>inits_high</vt:lpstr>
      <vt:lpstr>'Winbugs Settings '!inits_low</vt:lpstr>
      <vt:lpstr>inits_low</vt:lpstr>
      <vt:lpstr>'Winbugs Settings '!Inits_settings</vt:lpstr>
      <vt:lpstr>intervention_selection</vt:lpstr>
      <vt:lpstr>intervention_type</vt:lpstr>
      <vt:lpstr>'WINBUGS Data Inconsistency'!Legend</vt:lpstr>
      <vt:lpstr>Legend</vt:lpstr>
      <vt:lpstr>list</vt:lpstr>
      <vt:lpstr>list_1</vt:lpstr>
      <vt:lpstr>list_2</vt:lpstr>
      <vt:lpstr>list_3</vt:lpstr>
      <vt:lpstr>list_statement</vt:lpstr>
      <vt:lpstr>marker</vt:lpstr>
      <vt:lpstr>max_logOR</vt:lpstr>
      <vt:lpstr>max_total</vt:lpstr>
      <vt:lpstr>min_total</vt:lpstr>
      <vt:lpstr>'Winbugs Settings '!model_runs</vt:lpstr>
      <vt:lpstr>model_runs</vt:lpstr>
      <vt:lpstr>monitor_nnt</vt:lpstr>
      <vt:lpstr>monitor_or</vt:lpstr>
      <vt:lpstr>monitor_rd</vt:lpstr>
      <vt:lpstr>monitor_resdev</vt:lpstr>
      <vt:lpstr>monitor_rr</vt:lpstr>
      <vt:lpstr>monitor_SUCRA</vt:lpstr>
      <vt:lpstr>'WINBUGS Data Inconsistency'!names</vt:lpstr>
      <vt:lpstr>names</vt:lpstr>
      <vt:lpstr>num_studies</vt:lpstr>
      <vt:lpstr>num_treatment_1_studies</vt:lpstr>
      <vt:lpstr>num_treatments</vt:lpstr>
      <vt:lpstr>outcome_selection</vt:lpstr>
      <vt:lpstr>outcome_type</vt:lpstr>
      <vt:lpstr>patient_totals</vt:lpstr>
      <vt:lpstr>prior_mean</vt:lpstr>
      <vt:lpstr>prior_sigma</vt:lpstr>
      <vt:lpstr>prior_sigma2</vt:lpstr>
      <vt:lpstr>prob</vt:lpstr>
      <vt:lpstr>'Winbugs Settings '!Program_settings</vt:lpstr>
      <vt:lpstr>rank</vt:lpstr>
      <vt:lpstr>rank_analysis</vt:lpstr>
      <vt:lpstr>rank_legend</vt:lpstr>
      <vt:lpstr>'WINBUGS Data Inconsistency'!RE_inits</vt:lpstr>
      <vt:lpstr>REI_inits</vt:lpstr>
      <vt:lpstr>REinits_name</vt:lpstr>
      <vt:lpstr>'Winbugs Settings '!REmodel_name</vt:lpstr>
      <vt:lpstr>REmodel_name</vt:lpstr>
      <vt:lpstr>'Winbugs Settings '!REresults_name</vt:lpstr>
      <vt:lpstr>REresults_name</vt:lpstr>
      <vt:lpstr>'Winbugs Settings '!results_directory</vt:lpstr>
      <vt:lpstr>results_directory</vt:lpstr>
      <vt:lpstr>REV_inits</vt:lpstr>
      <vt:lpstr>'Winbugs Settings '!REVinits_name</vt:lpstr>
      <vt:lpstr>'Winbugs Settings '!sd_high</vt:lpstr>
      <vt:lpstr>sd_high</vt:lpstr>
      <vt:lpstr>'Winbugs Settings '!sd_low</vt:lpstr>
      <vt:lpstr>sd_low</vt:lpstr>
      <vt:lpstr>spacing</vt:lpstr>
      <vt:lpstr>step</vt:lpstr>
      <vt:lpstr>study_arms</vt:lpstr>
      <vt:lpstr>sucra_list</vt:lpstr>
      <vt:lpstr>sucra_table</vt:lpstr>
      <vt:lpstr>sum_total</vt:lpstr>
      <vt:lpstr>top</vt:lpstr>
      <vt:lpstr>'Winbugs Settings '!trace_or</vt:lpstr>
      <vt:lpstr>trace_or</vt:lpstr>
      <vt:lpstr>trace_rr</vt:lpstr>
      <vt:lpstr>treatment_selection</vt:lpstr>
      <vt:lpstr>vague_prior</vt:lpstr>
      <vt:lpstr>'Winbugs Settings '!winbugs_directory</vt:lpstr>
      <vt:lpstr>winbugs_directory</vt:lpstr>
      <vt:lpstr>'Winbugs Settings '!Winbugs_settings</vt:lpstr>
      <vt:lpstr>zero_corr</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gawells</dc:creator>
  <cp:lastModifiedBy>Souvik Mitra</cp:lastModifiedBy>
  <cp:lastPrinted>2013-12-11T19:47:01Z</cp:lastPrinted>
  <dcterms:created xsi:type="dcterms:W3CDTF">2012-06-03T02:15:13Z</dcterms:created>
  <dcterms:modified xsi:type="dcterms:W3CDTF">2018-02-05T19:55:36Z</dcterms:modified>
</cp:coreProperties>
</file>